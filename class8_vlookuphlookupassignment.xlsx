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eep_lab\"/>
    </mc:Choice>
  </mc:AlternateContent>
  <xr:revisionPtr revIDLastSave="0" documentId="13_ncr:1_{55AE4097-D4F4-48FB-BB3B-DD5BAD1F2D96}" xr6:coauthVersionLast="47" xr6:coauthVersionMax="47" xr10:uidLastSave="{00000000-0000-0000-0000-000000000000}"/>
  <bookViews>
    <workbookView xWindow="-108" yWindow="-108" windowWidth="23256" windowHeight="12456" xr2:uid="{6F1D1E57-1EE9-4C31-9B9B-954BC7097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4" i="1" l="1"/>
  <c r="J80" i="1"/>
  <c r="J76" i="1"/>
  <c r="J72" i="1"/>
  <c r="J68" i="1"/>
  <c r="H63" i="1"/>
  <c r="H59" i="1"/>
  <c r="H55" i="1"/>
  <c r="H51" i="1"/>
  <c r="I45" i="1"/>
  <c r="I41" i="1"/>
  <c r="I37" i="1"/>
  <c r="I33" i="1"/>
  <c r="I29" i="1"/>
  <c r="I23" i="1"/>
  <c r="I19" i="1"/>
  <c r="I15" i="1"/>
  <c r="I11" i="1"/>
  <c r="I7" i="1"/>
  <c r="I3" i="1"/>
</calcChain>
</file>

<file path=xl/sharedStrings.xml><?xml version="1.0" encoding="utf-8"?>
<sst xmlns="http://schemas.openxmlformats.org/spreadsheetml/2006/main" count="165" uniqueCount="96">
  <si>
    <t>Emp ID</t>
  </si>
  <si>
    <t>Name</t>
  </si>
  <si>
    <t>Department</t>
  </si>
  <si>
    <t>Salary</t>
  </si>
  <si>
    <t>City</t>
  </si>
  <si>
    <t>E101</t>
  </si>
  <si>
    <t>E102</t>
  </si>
  <si>
    <t>E103</t>
  </si>
  <si>
    <t>E104</t>
  </si>
  <si>
    <t>E105</t>
  </si>
  <si>
    <t>E106</t>
  </si>
  <si>
    <t>E107</t>
  </si>
  <si>
    <t>E108</t>
  </si>
  <si>
    <t xml:space="preserve">Amit </t>
  </si>
  <si>
    <t>Neha</t>
  </si>
  <si>
    <t>Rahul</t>
  </si>
  <si>
    <t>Priya</t>
  </si>
  <si>
    <t>Arjun</t>
  </si>
  <si>
    <t>Riya</t>
  </si>
  <si>
    <t>Karan</t>
  </si>
  <si>
    <t>Sneha</t>
  </si>
  <si>
    <t>HR</t>
  </si>
  <si>
    <t>IT</t>
  </si>
  <si>
    <t>Finance</t>
  </si>
  <si>
    <t>Marketing</t>
  </si>
  <si>
    <t>Delhi</t>
  </si>
  <si>
    <t>Mumbai</t>
  </si>
  <si>
    <t>Kolkata</t>
  </si>
  <si>
    <t>Bangalore</t>
  </si>
  <si>
    <t>Pune</t>
  </si>
  <si>
    <t>Chennai</t>
  </si>
  <si>
    <t>find the name of employee with emp id E104 using vlookup</t>
  </si>
  <si>
    <t>find the department of employee E103</t>
  </si>
  <si>
    <t>find the salary of employee E108</t>
  </si>
  <si>
    <t>find the city of employee E105</t>
  </si>
  <si>
    <t>if emp id is entered in any cell, retrieve the salary automatically</t>
  </si>
  <si>
    <t>if emp id is entered in any cell, retrieve the department automatically</t>
  </si>
  <si>
    <t>Student ID</t>
  </si>
  <si>
    <t>Maths</t>
  </si>
  <si>
    <t>Science</t>
  </si>
  <si>
    <t>English</t>
  </si>
  <si>
    <t>S101</t>
  </si>
  <si>
    <t>S102</t>
  </si>
  <si>
    <t>S103</t>
  </si>
  <si>
    <t>S104</t>
  </si>
  <si>
    <t>S105</t>
  </si>
  <si>
    <t>Asha</t>
  </si>
  <si>
    <t>Ravi</t>
  </si>
  <si>
    <t>Meena</t>
  </si>
  <si>
    <t>Kiran</t>
  </si>
  <si>
    <t>find the maths mark of S103</t>
  </si>
  <si>
    <t>find science marks of S102</t>
  </si>
  <si>
    <t>find the english marks of S105</t>
  </si>
  <si>
    <t>if student id is entered in any cell, return the name</t>
  </si>
  <si>
    <t>retrieve science marks dynamically using studentid in any cell</t>
  </si>
  <si>
    <t>ID</t>
  </si>
  <si>
    <t>Course</t>
  </si>
  <si>
    <t>Fees</t>
  </si>
  <si>
    <t>C101</t>
  </si>
  <si>
    <t>C102</t>
  </si>
  <si>
    <t>C103</t>
  </si>
  <si>
    <t>C104</t>
  </si>
  <si>
    <t>C105</t>
  </si>
  <si>
    <t>Rohan</t>
  </si>
  <si>
    <t>Ananya</t>
  </si>
  <si>
    <t>Vikram</t>
  </si>
  <si>
    <t>Aman</t>
  </si>
  <si>
    <t>Excel</t>
  </si>
  <si>
    <t>Power BI</t>
  </si>
  <si>
    <t>Sql</t>
  </si>
  <si>
    <t>Python</t>
  </si>
  <si>
    <t>Tableau</t>
  </si>
  <si>
    <t>retrieve course name for C103</t>
  </si>
  <si>
    <t>retrieve fees for C104</t>
  </si>
  <si>
    <t>fees</t>
  </si>
  <si>
    <t>if course id entered in any cell, display name</t>
  </si>
  <si>
    <t>if course id entered in any cell,desplay fees</t>
  </si>
  <si>
    <t xml:space="preserve">Product ID </t>
  </si>
  <si>
    <t>P101</t>
  </si>
  <si>
    <t>P102</t>
  </si>
  <si>
    <t>P103</t>
  </si>
  <si>
    <t>P104</t>
  </si>
  <si>
    <t>P105</t>
  </si>
  <si>
    <t>Product Name</t>
  </si>
  <si>
    <t>laptop</t>
  </si>
  <si>
    <t>mouse</t>
  </si>
  <si>
    <t>keyboard</t>
  </si>
  <si>
    <t>monitor</t>
  </si>
  <si>
    <t xml:space="preserve">printer </t>
  </si>
  <si>
    <t>price</t>
  </si>
  <si>
    <t>stock</t>
  </si>
  <si>
    <t>find the price of P103</t>
  </si>
  <si>
    <t>find the stock of P104</t>
  </si>
  <si>
    <t>Retrieve product name of P101</t>
  </si>
  <si>
    <t xml:space="preserve">if product id is entered in any cell, return the price </t>
  </si>
  <si>
    <t>if product id is entered in any cell, return the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</si>
</sst>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61E1-BC60-472D-893C-E3E22C84DA7F}">
  <dimension ref="A1:J84"/>
  <sheetViews>
    <sheetView tabSelected="1" topLeftCell="A56" workbookViewId="0">
      <selection activeCell="J87" sqref="J87"/>
    </sheetView>
  </sheetViews>
  <sheetFormatPr defaultRowHeight="14.4" x14ac:dyDescent="0.3"/>
  <cols>
    <col min="1" max="1" width="9.88671875" bestFit="1" customWidth="1"/>
    <col min="2" max="2" width="12.6640625" bestFit="1" customWidth="1"/>
    <col min="3" max="3" width="10.77734375" bestFit="1" customWidth="1"/>
    <col min="8" max="8" width="10.33203125" customWidth="1"/>
    <col min="9" max="9" width="11.1093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3" t="s">
        <v>31</v>
      </c>
    </row>
    <row r="2" spans="1:9" x14ac:dyDescent="0.3">
      <c r="A2" s="1" t="s">
        <v>5</v>
      </c>
      <c r="B2" s="1" t="s">
        <v>13</v>
      </c>
      <c r="C2" s="1" t="s">
        <v>21</v>
      </c>
      <c r="D2" s="1">
        <v>35000</v>
      </c>
      <c r="E2" s="1" t="s">
        <v>25</v>
      </c>
      <c r="H2" s="2" t="s">
        <v>0</v>
      </c>
      <c r="I2" s="2" t="s">
        <v>1</v>
      </c>
    </row>
    <row r="3" spans="1:9" x14ac:dyDescent="0.3">
      <c r="A3" s="1" t="s">
        <v>6</v>
      </c>
      <c r="B3" s="1" t="s">
        <v>14</v>
      </c>
      <c r="C3" s="1" t="s">
        <v>22</v>
      </c>
      <c r="D3" s="1">
        <v>50000</v>
      </c>
      <c r="E3" s="1" t="s">
        <v>26</v>
      </c>
      <c r="H3" s="1" t="s">
        <v>8</v>
      </c>
      <c r="I3" s="1" t="str">
        <f>VLOOKUP(H3,A1:E9,2,FALSE)</f>
        <v>Priya</v>
      </c>
    </row>
    <row r="4" spans="1:9" x14ac:dyDescent="0.3">
      <c r="A4" s="1" t="s">
        <v>7</v>
      </c>
      <c r="B4" s="1" t="s">
        <v>15</v>
      </c>
      <c r="C4" s="1" t="s">
        <v>23</v>
      </c>
      <c r="D4" s="1">
        <v>45000</v>
      </c>
      <c r="E4" s="1" t="s">
        <v>27</v>
      </c>
    </row>
    <row r="5" spans="1:9" x14ac:dyDescent="0.3">
      <c r="A5" s="1" t="s">
        <v>8</v>
      </c>
      <c r="B5" s="1" t="s">
        <v>16</v>
      </c>
      <c r="C5" s="1" t="s">
        <v>22</v>
      </c>
      <c r="D5" s="1">
        <v>52000</v>
      </c>
      <c r="E5" s="1" t="s">
        <v>28</v>
      </c>
      <c r="H5" s="4" t="s">
        <v>32</v>
      </c>
    </row>
    <row r="6" spans="1:9" x14ac:dyDescent="0.3">
      <c r="A6" s="1" t="s">
        <v>9</v>
      </c>
      <c r="B6" s="1" t="s">
        <v>17</v>
      </c>
      <c r="C6" s="1" t="s">
        <v>24</v>
      </c>
      <c r="D6" s="1">
        <v>40000</v>
      </c>
      <c r="E6" s="1" t="s">
        <v>29</v>
      </c>
      <c r="H6" s="2" t="s">
        <v>0</v>
      </c>
      <c r="I6" s="2" t="s">
        <v>2</v>
      </c>
    </row>
    <row r="7" spans="1:9" x14ac:dyDescent="0.3">
      <c r="A7" s="1" t="s">
        <v>10</v>
      </c>
      <c r="B7" s="1" t="s">
        <v>18</v>
      </c>
      <c r="C7" s="1" t="s">
        <v>21</v>
      </c>
      <c r="D7" s="1">
        <v>36000</v>
      </c>
      <c r="E7" s="1" t="s">
        <v>25</v>
      </c>
      <c r="H7" s="1" t="s">
        <v>7</v>
      </c>
      <c r="I7" s="1" t="str">
        <f>VLOOKUP(H7,A1:E9,3,FALSE)</f>
        <v>Finance</v>
      </c>
    </row>
    <row r="8" spans="1:9" x14ac:dyDescent="0.3">
      <c r="A8" s="1" t="s">
        <v>11</v>
      </c>
      <c r="B8" s="1" t="s">
        <v>19</v>
      </c>
      <c r="C8" s="1" t="s">
        <v>23</v>
      </c>
      <c r="D8" s="1">
        <v>47000</v>
      </c>
      <c r="E8" s="1" t="s">
        <v>26</v>
      </c>
    </row>
    <row r="9" spans="1:9" x14ac:dyDescent="0.3">
      <c r="A9" s="1" t="s">
        <v>12</v>
      </c>
      <c r="B9" s="1" t="s">
        <v>20</v>
      </c>
      <c r="C9" s="1" t="s">
        <v>24</v>
      </c>
      <c r="D9" s="1">
        <v>42000</v>
      </c>
      <c r="E9" s="1" t="s">
        <v>30</v>
      </c>
      <c r="H9" s="4" t="s">
        <v>33</v>
      </c>
    </row>
    <row r="10" spans="1:9" x14ac:dyDescent="0.3">
      <c r="H10" s="2" t="s">
        <v>0</v>
      </c>
      <c r="I10" s="2" t="s">
        <v>3</v>
      </c>
    </row>
    <row r="11" spans="1:9" x14ac:dyDescent="0.3">
      <c r="H11" s="1" t="s">
        <v>12</v>
      </c>
      <c r="I11" s="1">
        <f>VLOOKUP(H11,A1:E9,4,FALSE)</f>
        <v>42000</v>
      </c>
    </row>
    <row r="13" spans="1:9" x14ac:dyDescent="0.3">
      <c r="H13" s="4" t="s">
        <v>34</v>
      </c>
    </row>
    <row r="14" spans="1:9" x14ac:dyDescent="0.3">
      <c r="H14" s="2" t="s">
        <v>0</v>
      </c>
      <c r="I14" s="2" t="s">
        <v>4</v>
      </c>
    </row>
    <row r="15" spans="1:9" x14ac:dyDescent="0.3">
      <c r="H15" s="1" t="s">
        <v>9</v>
      </c>
      <c r="I15" s="1" t="str">
        <f>VLOOKUP(H15,A1:E9,5,0)</f>
        <v>Pune</v>
      </c>
    </row>
    <row r="17" spans="1:9" x14ac:dyDescent="0.3">
      <c r="H17" s="4" t="s">
        <v>35</v>
      </c>
    </row>
    <row r="18" spans="1:9" x14ac:dyDescent="0.3">
      <c r="H18" s="2" t="s">
        <v>0</v>
      </c>
      <c r="I18" s="2" t="s">
        <v>3</v>
      </c>
    </row>
    <row r="19" spans="1:9" x14ac:dyDescent="0.3">
      <c r="H19" t="s">
        <v>10</v>
      </c>
      <c r="I19">
        <f>VLOOKUP(H19,A1:E9,4,0)</f>
        <v>36000</v>
      </c>
    </row>
    <row r="21" spans="1:9" x14ac:dyDescent="0.3">
      <c r="H21" s="4" t="s">
        <v>36</v>
      </c>
    </row>
    <row r="22" spans="1:9" x14ac:dyDescent="0.3">
      <c r="H22" s="2" t="s">
        <v>0</v>
      </c>
      <c r="I22" s="2" t="s">
        <v>2</v>
      </c>
    </row>
    <row r="23" spans="1:9" x14ac:dyDescent="0.3">
      <c r="H23" t="s">
        <v>8</v>
      </c>
      <c r="I23" t="str">
        <f>VLOOKUP(H23,A1:E9,3,0)</f>
        <v>IT</v>
      </c>
    </row>
    <row r="27" spans="1:9" x14ac:dyDescent="0.3">
      <c r="A27" s="2" t="s">
        <v>37</v>
      </c>
      <c r="B27" s="2" t="s">
        <v>1</v>
      </c>
      <c r="C27" s="2" t="s">
        <v>38</v>
      </c>
      <c r="D27" s="2" t="s">
        <v>39</v>
      </c>
      <c r="E27" s="2" t="s">
        <v>40</v>
      </c>
      <c r="H27" s="3" t="s">
        <v>50</v>
      </c>
    </row>
    <row r="28" spans="1:9" x14ac:dyDescent="0.3">
      <c r="A28" s="1" t="s">
        <v>41</v>
      </c>
      <c r="B28" s="1" t="s">
        <v>46</v>
      </c>
      <c r="C28" s="1">
        <v>78</v>
      </c>
      <c r="D28" s="1">
        <v>82</v>
      </c>
      <c r="E28" s="1">
        <v>74</v>
      </c>
      <c r="H28" s="2" t="s">
        <v>37</v>
      </c>
      <c r="I28" s="2" t="s">
        <v>38</v>
      </c>
    </row>
    <row r="29" spans="1:9" x14ac:dyDescent="0.3">
      <c r="A29" s="1" t="s">
        <v>42</v>
      </c>
      <c r="B29" s="1" t="s">
        <v>47</v>
      </c>
      <c r="C29" s="1">
        <v>65</v>
      </c>
      <c r="D29" s="1">
        <v>70</v>
      </c>
      <c r="E29" s="1">
        <v>68</v>
      </c>
      <c r="H29" s="1" t="s">
        <v>43</v>
      </c>
      <c r="I29" s="1">
        <f>VLOOKUP(H29,A27:E32,3,0)</f>
        <v>88</v>
      </c>
    </row>
    <row r="30" spans="1:9" x14ac:dyDescent="0.3">
      <c r="A30" s="1" t="s">
        <v>43</v>
      </c>
      <c r="B30" s="1" t="s">
        <v>48</v>
      </c>
      <c r="C30" s="1">
        <v>88</v>
      </c>
      <c r="D30" s="1">
        <v>91</v>
      </c>
      <c r="E30" s="1">
        <v>85</v>
      </c>
    </row>
    <row r="31" spans="1:9" x14ac:dyDescent="0.3">
      <c r="A31" s="1" t="s">
        <v>44</v>
      </c>
      <c r="B31" s="1" t="s">
        <v>17</v>
      </c>
      <c r="C31" s="1">
        <v>72</v>
      </c>
      <c r="D31" s="1">
        <v>75</v>
      </c>
      <c r="E31" s="1">
        <v>70</v>
      </c>
      <c r="H31" s="4" t="s">
        <v>51</v>
      </c>
    </row>
    <row r="32" spans="1:9" x14ac:dyDescent="0.3">
      <c r="A32" s="1" t="s">
        <v>45</v>
      </c>
      <c r="B32" s="1" t="s">
        <v>49</v>
      </c>
      <c r="C32" s="1">
        <v>90</v>
      </c>
      <c r="D32" s="1">
        <v>93</v>
      </c>
      <c r="E32" s="1">
        <v>89</v>
      </c>
      <c r="H32" s="2" t="s">
        <v>37</v>
      </c>
      <c r="I32" s="2" t="s">
        <v>39</v>
      </c>
    </row>
    <row r="33" spans="8:9" x14ac:dyDescent="0.3">
      <c r="H33" s="1" t="s">
        <v>42</v>
      </c>
      <c r="I33">
        <f>VLOOKUP(H33,A27:E32,4,0)</f>
        <v>70</v>
      </c>
    </row>
    <row r="35" spans="8:9" x14ac:dyDescent="0.3">
      <c r="H35" s="4" t="s">
        <v>52</v>
      </c>
    </row>
    <row r="36" spans="8:9" x14ac:dyDescent="0.3">
      <c r="H36" s="2" t="s">
        <v>37</v>
      </c>
      <c r="I36" s="2" t="s">
        <v>40</v>
      </c>
    </row>
    <row r="37" spans="8:9" x14ac:dyDescent="0.3">
      <c r="H37" s="1" t="s">
        <v>45</v>
      </c>
      <c r="I37" s="1">
        <f>VLOOKUP(H37,A27:E32,5,0)</f>
        <v>89</v>
      </c>
    </row>
    <row r="39" spans="8:9" x14ac:dyDescent="0.3">
      <c r="H39" s="4" t="s">
        <v>53</v>
      </c>
    </row>
    <row r="40" spans="8:9" x14ac:dyDescent="0.3">
      <c r="H40" s="2" t="s">
        <v>37</v>
      </c>
      <c r="I40" s="2" t="s">
        <v>1</v>
      </c>
    </row>
    <row r="41" spans="8:9" x14ac:dyDescent="0.3">
      <c r="H41" s="1" t="s">
        <v>41</v>
      </c>
      <c r="I41" s="1" t="str">
        <f>VLOOKUP(H41,A27:E32,2,0)</f>
        <v>Asha</v>
      </c>
    </row>
    <row r="43" spans="8:9" x14ac:dyDescent="0.3">
      <c r="H43" s="4" t="s">
        <v>54</v>
      </c>
    </row>
    <row r="44" spans="8:9" x14ac:dyDescent="0.3">
      <c r="H44" s="2" t="s">
        <v>37</v>
      </c>
      <c r="I44" s="2" t="s">
        <v>39</v>
      </c>
    </row>
    <row r="45" spans="8:9" x14ac:dyDescent="0.3">
      <c r="H45" s="1" t="s">
        <v>41</v>
      </c>
      <c r="I45" s="1">
        <f>VLOOKUP(H45,A27:E32,4,0)</f>
        <v>82</v>
      </c>
    </row>
    <row r="49" spans="1:8" x14ac:dyDescent="0.3">
      <c r="A49" s="2" t="s">
        <v>55</v>
      </c>
      <c r="B49" s="2" t="s">
        <v>1</v>
      </c>
      <c r="C49" s="2" t="s">
        <v>56</v>
      </c>
      <c r="D49" s="2" t="s">
        <v>57</v>
      </c>
      <c r="G49" s="3" t="s">
        <v>72</v>
      </c>
    </row>
    <row r="50" spans="1:8" x14ac:dyDescent="0.3">
      <c r="A50" s="1" t="s">
        <v>58</v>
      </c>
      <c r="B50" s="1" t="s">
        <v>63</v>
      </c>
      <c r="C50" s="1" t="s">
        <v>67</v>
      </c>
      <c r="D50" s="1">
        <v>3000</v>
      </c>
      <c r="G50" s="2" t="s">
        <v>55</v>
      </c>
      <c r="H50" s="2" t="s">
        <v>56</v>
      </c>
    </row>
    <row r="51" spans="1:8" x14ac:dyDescent="0.3">
      <c r="A51" s="1" t="s">
        <v>59</v>
      </c>
      <c r="B51" s="1" t="s">
        <v>64</v>
      </c>
      <c r="C51" s="1" t="s">
        <v>68</v>
      </c>
      <c r="D51" s="1">
        <v>5000</v>
      </c>
      <c r="G51" s="1" t="s">
        <v>60</v>
      </c>
      <c r="H51" s="1" t="str">
        <f>VLOOKUP(G51,A49:D54,3,0)</f>
        <v>Sql</v>
      </c>
    </row>
    <row r="52" spans="1:8" x14ac:dyDescent="0.3">
      <c r="A52" s="1" t="s">
        <v>60</v>
      </c>
      <c r="B52" s="1" t="s">
        <v>65</v>
      </c>
      <c r="C52" s="1" t="s">
        <v>69</v>
      </c>
      <c r="D52" s="1">
        <v>4000</v>
      </c>
    </row>
    <row r="53" spans="1:8" x14ac:dyDescent="0.3">
      <c r="A53" s="1" t="s">
        <v>61</v>
      </c>
      <c r="B53" s="1" t="s">
        <v>14</v>
      </c>
      <c r="C53" s="1" t="s">
        <v>70</v>
      </c>
      <c r="D53" s="1">
        <v>6000</v>
      </c>
      <c r="G53" s="4" t="s">
        <v>73</v>
      </c>
    </row>
    <row r="54" spans="1:8" x14ac:dyDescent="0.3">
      <c r="A54" s="1" t="s">
        <v>62</v>
      </c>
      <c r="B54" s="1" t="s">
        <v>66</v>
      </c>
      <c r="C54" s="1" t="s">
        <v>71</v>
      </c>
      <c r="D54" s="1">
        <v>4500</v>
      </c>
      <c r="G54" s="2" t="s">
        <v>55</v>
      </c>
      <c r="H54" s="1" t="s">
        <v>74</v>
      </c>
    </row>
    <row r="55" spans="1:8" x14ac:dyDescent="0.3">
      <c r="G55" s="1" t="s">
        <v>61</v>
      </c>
      <c r="H55" s="1">
        <f>VLOOKUP(G55,A49:D54,4,0)</f>
        <v>6000</v>
      </c>
    </row>
    <row r="57" spans="1:8" x14ac:dyDescent="0.3">
      <c r="G57" t="s">
        <v>75</v>
      </c>
    </row>
    <row r="58" spans="1:8" x14ac:dyDescent="0.3">
      <c r="G58" s="2" t="s">
        <v>55</v>
      </c>
      <c r="H58" s="2" t="s">
        <v>1</v>
      </c>
    </row>
    <row r="59" spans="1:8" x14ac:dyDescent="0.3">
      <c r="G59" s="1" t="s">
        <v>59</v>
      </c>
      <c r="H59" s="1" t="str">
        <f>VLOOKUP(G59,A49:D54,2,0)</f>
        <v>Ananya</v>
      </c>
    </row>
    <row r="61" spans="1:8" x14ac:dyDescent="0.3">
      <c r="G61" s="4" t="s">
        <v>76</v>
      </c>
    </row>
    <row r="62" spans="1:8" x14ac:dyDescent="0.3">
      <c r="G62" s="2" t="s">
        <v>55</v>
      </c>
      <c r="H62" s="2" t="s">
        <v>57</v>
      </c>
    </row>
    <row r="63" spans="1:8" x14ac:dyDescent="0.3">
      <c r="G63" s="1" t="s">
        <v>60</v>
      </c>
      <c r="H63" s="1">
        <f>VLOOKUP(G63,A49:D54,4,0)</f>
        <v>4000</v>
      </c>
    </row>
    <row r="66" spans="1:10" x14ac:dyDescent="0.3">
      <c r="A66" s="2" t="s">
        <v>77</v>
      </c>
      <c r="B66" s="1" t="s">
        <v>78</v>
      </c>
      <c r="C66" s="1" t="s">
        <v>79</v>
      </c>
      <c r="D66" s="1" t="s">
        <v>80</v>
      </c>
      <c r="E66" s="1" t="s">
        <v>81</v>
      </c>
      <c r="F66" s="1" t="s">
        <v>82</v>
      </c>
      <c r="I66" s="4" t="s">
        <v>91</v>
      </c>
    </row>
    <row r="67" spans="1:10" x14ac:dyDescent="0.3">
      <c r="A67" s="2" t="s">
        <v>83</v>
      </c>
      <c r="B67" s="1" t="s">
        <v>84</v>
      </c>
      <c r="C67" s="1" t="s">
        <v>85</v>
      </c>
      <c r="D67" s="1" t="s">
        <v>86</v>
      </c>
      <c r="E67" s="1" t="s">
        <v>87</v>
      </c>
      <c r="F67" s="1" t="s">
        <v>88</v>
      </c>
      <c r="I67" s="2" t="s">
        <v>77</v>
      </c>
      <c r="J67" s="2" t="s">
        <v>89</v>
      </c>
    </row>
    <row r="68" spans="1:10" x14ac:dyDescent="0.3">
      <c r="A68" s="2" t="s">
        <v>89</v>
      </c>
      <c r="B68" s="1">
        <v>55000</v>
      </c>
      <c r="C68" s="1">
        <v>500</v>
      </c>
      <c r="D68" s="1">
        <v>1200</v>
      </c>
      <c r="E68" s="1">
        <v>9000</v>
      </c>
      <c r="F68" s="1">
        <v>7000</v>
      </c>
      <c r="I68" s="1" t="s">
        <v>80</v>
      </c>
      <c r="J68">
        <f>HLOOKUP(I68,A66:F69,3,0)</f>
        <v>1200</v>
      </c>
    </row>
    <row r="69" spans="1:10" x14ac:dyDescent="0.3">
      <c r="A69" s="2" t="s">
        <v>90</v>
      </c>
      <c r="B69" s="1">
        <v>25</v>
      </c>
      <c r="C69" s="1">
        <v>150</v>
      </c>
      <c r="D69" s="1">
        <v>80</v>
      </c>
      <c r="E69" s="1">
        <v>40</v>
      </c>
      <c r="F69" s="1">
        <v>35</v>
      </c>
    </row>
    <row r="70" spans="1:10" x14ac:dyDescent="0.3">
      <c r="A70" s="1"/>
      <c r="B70" s="1"/>
      <c r="C70" s="1"/>
      <c r="D70" s="1"/>
      <c r="I70" s="4" t="s">
        <v>92</v>
      </c>
    </row>
    <row r="71" spans="1:10" x14ac:dyDescent="0.3">
      <c r="A71" s="1"/>
      <c r="B71" s="1"/>
      <c r="C71" s="1"/>
      <c r="D71" s="1"/>
      <c r="I71" s="2" t="s">
        <v>77</v>
      </c>
      <c r="J71" s="2" t="s">
        <v>90</v>
      </c>
    </row>
    <row r="72" spans="1:10" x14ac:dyDescent="0.3">
      <c r="I72" s="1" t="s">
        <v>81</v>
      </c>
      <c r="J72">
        <f>HLOOKUP(I72,A66:F69,4,0)</f>
        <v>40</v>
      </c>
    </row>
    <row r="74" spans="1:10" x14ac:dyDescent="0.3">
      <c r="I74" s="4" t="s">
        <v>93</v>
      </c>
    </row>
    <row r="75" spans="1:10" x14ac:dyDescent="0.3">
      <c r="I75" s="2" t="s">
        <v>77</v>
      </c>
      <c r="J75" s="2" t="s">
        <v>83</v>
      </c>
    </row>
    <row r="76" spans="1:10" x14ac:dyDescent="0.3">
      <c r="I76" s="1" t="s">
        <v>78</v>
      </c>
      <c r="J76" t="str">
        <f>HLOOKUP(I76,A66:F69,2,0)</f>
        <v>laptop</v>
      </c>
    </row>
    <row r="78" spans="1:10" x14ac:dyDescent="0.3">
      <c r="I78" s="4" t="s">
        <v>94</v>
      </c>
    </row>
    <row r="79" spans="1:10" x14ac:dyDescent="0.3">
      <c r="I79" s="2" t="s">
        <v>77</v>
      </c>
      <c r="J79" s="2" t="s">
        <v>89</v>
      </c>
    </row>
    <row r="80" spans="1:10" x14ac:dyDescent="0.3">
      <c r="I80" t="s">
        <v>79</v>
      </c>
      <c r="J80" t="str">
        <f>HLOOKUP(I79,A66:F69,3,0)</f>
        <v>price</v>
      </c>
    </row>
    <row r="82" spans="9:10" x14ac:dyDescent="0.3">
      <c r="I82" s="4" t="s">
        <v>95</v>
      </c>
    </row>
    <row r="83" spans="9:10" x14ac:dyDescent="0.3">
      <c r="I83" s="2" t="s">
        <v>77</v>
      </c>
      <c r="J83" s="2" t="s">
        <v>90</v>
      </c>
    </row>
    <row r="84" spans="9:10" x14ac:dyDescent="0.3">
      <c r="I84" t="s">
        <v>79</v>
      </c>
      <c r="J84">
        <f>HLOOKUP(I84,A66:F69,4,0)</f>
        <v>150</v>
      </c>
    </row>
  </sheetData>
  <dataValidations count="4">
    <dataValidation type="list" allowBlank="1" showInputMessage="1" showErrorMessage="1" sqref="H19 H23:H25" xr:uid="{458BF93A-94B2-4898-9DC0-D8B488A72677}">
      <formula1>$A$2:$A$9</formula1>
    </dataValidation>
    <dataValidation type="list" allowBlank="1" showInputMessage="1" showErrorMessage="1" sqref="H41 H45" xr:uid="{1A040F2F-9B9E-4E71-ACE8-B57975AFE991}">
      <formula1>$A$28:$A$32</formula1>
    </dataValidation>
    <dataValidation type="list" allowBlank="1" showInputMessage="1" showErrorMessage="1" sqref="G59 G63" xr:uid="{BA2863C4-D749-4BF7-AB40-EB2C5E3E1DC0}">
      <formula1>$A$50:$A$54</formula1>
    </dataValidation>
    <dataValidation type="list" allowBlank="1" showInputMessage="1" showErrorMessage="1" sqref="I80 I84" xr:uid="{F8F589BD-FA23-4D0B-A3CA-5DE18EB2DF96}">
      <formula1>$B$66:$F$66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AISWARJA ROY</dc:creator>
  <cp:lastModifiedBy>AISWARJA ROY</cp:lastModifiedBy>
  <dcterms:created xsi:type="dcterms:W3CDTF">2026-05-22T05:26:30Z</dcterms:created>
  <dcterms:modified xsi:type="dcterms:W3CDTF">2026-05-22T08:23:47Z</dcterms:modified>
</cp:coreProperties>
</file>