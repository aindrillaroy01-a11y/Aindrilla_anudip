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esktop bkp\anudeep_lab\"/>
    </mc:Choice>
  </mc:AlternateContent>
  <xr:revisionPtr revIDLastSave="0" documentId="8_{FA18019F-43A2-43C7-8D3C-52BD2F239C9B}" xr6:coauthVersionLast="47" xr6:coauthVersionMax="47" xr10:uidLastSave="{00000000-0000-0000-0000-000000000000}"/>
  <bookViews>
    <workbookView xWindow="-108" yWindow="-108" windowWidth="23256" windowHeight="12456" activeTab="2" xr2:uid="{FD1B15AD-B0F4-4FF7-9C87-AFC512FC76B6}"/>
  </bookViews>
  <sheets>
    <sheet name="Sheet3" sheetId="3" r:id="rId1"/>
    <sheet name="Sheet1" sheetId="1" r:id="rId2"/>
    <sheet name="Sheet2" sheetId="2" r:id="rId3"/>
  </sheets>
  <definedNames>
    <definedName name="Slicer_Death_Avg">#N/A</definedName>
    <definedName name="Slicer_Discharge_Avg">#N/A</definedName>
    <definedName name="Slicer_Zone">#N/A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3" l="1"/>
</calcChain>
</file>

<file path=xl/sharedStrings.xml><?xml version="1.0" encoding="utf-8"?>
<sst xmlns="http://schemas.openxmlformats.org/spreadsheetml/2006/main" count="453" uniqueCount="79">
  <si>
    <t>State/UTs</t>
  </si>
  <si>
    <t>Zone</t>
  </si>
  <si>
    <t>Total Cases</t>
  </si>
  <si>
    <t>Active</t>
  </si>
  <si>
    <t>Discharged</t>
  </si>
  <si>
    <t>Deaths</t>
  </si>
  <si>
    <t>Active Ratio</t>
  </si>
  <si>
    <t>Discharge Ratio</t>
  </si>
  <si>
    <t>Discharge Avg</t>
  </si>
  <si>
    <t>Death Ratio</t>
  </si>
  <si>
    <t>Death Avg</t>
  </si>
  <si>
    <t>Population</t>
  </si>
  <si>
    <t>Andaman and Nicobar</t>
  </si>
  <si>
    <t>South</t>
  </si>
  <si>
    <t>Below Average</t>
  </si>
  <si>
    <t>Above Average</t>
  </si>
  <si>
    <t>Andhra Pradesh</t>
  </si>
  <si>
    <t>Arunachal Pradesh</t>
  </si>
  <si>
    <t>East</t>
  </si>
  <si>
    <t>Assam</t>
  </si>
  <si>
    <t>Bihar</t>
  </si>
  <si>
    <t>Chandigarh</t>
  </si>
  <si>
    <t>North</t>
  </si>
  <si>
    <t>Chhattisgarh</t>
  </si>
  <si>
    <t>Daman and Diu</t>
  </si>
  <si>
    <t>West</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</si>
  <si>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</si>
  <si>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</si>
  <si>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</si>
  <si>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</si>
  <si>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</si>
  <si>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</si>
  <si>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</si>
  <si>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</si>
  <si>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</si>
  <si>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</si>
  <si>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</si>
  <si>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</si>
  <si>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</si>
  <si>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</si>
  <si>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</si>
  <si>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</si>
  <si>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</si>
  <si>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</si>
  <si>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</si>
  <si>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</si>
  <si>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</si>
  <si>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</si>
  <si>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</si>
  <si>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Telengana</t>
  </si>
  <si>
    <t>Tripura</t>
  </si>
  <si>
    <t>Uttar Pradesh</t>
  </si>
  <si>
    <t>Uttarakhand</t>
  </si>
  <si>
    <t>West Bengal</t>
  </si>
  <si>
    <t>Row Labels</t>
  </si>
  <si>
    <t>Grand Total</t>
  </si>
  <si>
    <t>Sum of Total Cases</t>
  </si>
  <si>
    <t>Sum of Active</t>
  </si>
  <si>
    <t>Sum of Discharged</t>
  </si>
  <si>
    <t>Sum of Deaths</t>
  </si>
  <si>
    <t>STATES</t>
  </si>
  <si>
    <t>DEATH (%)</t>
  </si>
  <si>
    <t>HIGHEST</t>
  </si>
  <si>
    <t>LOWEST</t>
  </si>
  <si>
    <t>DEATH</t>
  </si>
  <si>
    <t>Cases</t>
  </si>
  <si>
    <t>TOTAL CASES</t>
  </si>
  <si>
    <t>Recovered (%)</t>
  </si>
  <si>
    <t>Sum of Discharge Ratio</t>
  </si>
  <si>
    <t>Sum of Active Ratio</t>
  </si>
  <si>
    <t>Active Cases (%)</t>
  </si>
  <si>
    <t>RECOVERED</t>
  </si>
  <si>
    <t>ACTIVE</t>
  </si>
  <si>
    <t>(All)</t>
  </si>
  <si>
    <t>Sum of Death Ratio</t>
  </si>
  <si>
    <t>Death</t>
  </si>
  <si>
    <t>Actives</t>
  </si>
  <si>
    <t>Total_Cases</t>
  </si>
  <si>
    <t>Dischargedcases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</si>
</sst>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4"/>
      <color theme="1"/>
      <name val="Calibri"/>
      <family val="2"/>
      <scheme val="minor"/>
    </font>
    <font>
      <b/>
      <sz val="11"/>
      <color theme="1"/>
      <name val="Calibri"/>
      <family val="2"/>
      <scheme val="minor"/>
    </font>
    <font>
      <b/>
      <sz val="11"/>
      <name val="Calibri"/>
      <family val="2"/>
      <scheme val="minor"/>
    </font>
  </fonts>
  <fills count="9">
    <fill>
      <patternFill patternType="none"/>
    </fill>
    <fill>
      <patternFill patternType="gray125"/>
    </fill>
    <fill>
      <patternFill patternType="solid">
        <fgColor theme="7" tint="0.39997558519241921"/>
        <bgColor indexed="64"/>
      </patternFill>
    </fill>
    <fill>
      <patternFill patternType="solid">
        <fgColor theme="4" tint="0.79998168889431442"/>
        <bgColor indexed="64"/>
      </patternFill>
    </fill>
    <fill>
      <patternFill patternType="solid">
        <fgColor theme="5"/>
        <bgColor indexed="64"/>
      </patternFill>
    </fill>
    <fill>
      <patternFill patternType="solid">
        <fgColor rgb="FF92D050"/>
        <bgColor indexed="64"/>
      </patternFill>
    </fill>
    <fill>
      <patternFill patternType="solid">
        <fgColor rgb="FFC189F7"/>
        <bgColor indexed="64"/>
      </patternFill>
    </fill>
    <fill>
      <patternFill patternType="solid">
        <fgColor rgb="FFFF7474"/>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0" fillId="0" borderId="0" xfId="0" pivotButton="1"/>
    <xf numFmtId="0" fontId="0" fillId="0" borderId="0" xfId="0" applyAlignment="1">
      <alignment horizontal="left"/>
    </xf>
    <xf numFmtId="0" fontId="0" fillId="3" borderId="0" xfId="0" applyFill="1"/>
    <xf numFmtId="164" fontId="0" fillId="0" borderId="0" xfId="0" applyNumberFormat="1"/>
    <xf numFmtId="0" fontId="0" fillId="0" borderId="0" xfId="0" applyNumberFormat="1"/>
    <xf numFmtId="0" fontId="0" fillId="7" borderId="0" xfId="0" applyFill="1" applyAlignment="1">
      <alignment horizontal="center"/>
    </xf>
    <xf numFmtId="0" fontId="0" fillId="8" borderId="0" xfId="0" applyFill="1" applyAlignment="1">
      <alignment horizontal="center"/>
    </xf>
    <xf numFmtId="0" fontId="2" fillId="6" borderId="0" xfId="0" applyFont="1" applyFill="1" applyAlignment="1">
      <alignment horizontal="center"/>
    </xf>
    <xf numFmtId="0" fontId="2" fillId="7" borderId="0" xfId="0" applyFont="1" applyFill="1" applyAlignment="1">
      <alignment horizontal="center"/>
    </xf>
    <xf numFmtId="0" fontId="2" fillId="8" borderId="0" xfId="0" applyFont="1" applyFill="1" applyAlignment="1">
      <alignment horizontal="center"/>
    </xf>
    <xf numFmtId="0" fontId="2" fillId="5" borderId="0" xfId="0" applyFont="1" applyFill="1" applyAlignment="1">
      <alignment horizontal="center"/>
    </xf>
    <xf numFmtId="0" fontId="3" fillId="4" borderId="0" xfId="0" applyFont="1" applyFill="1" applyAlignment="1">
      <alignment horizontal="center"/>
    </xf>
    <xf numFmtId="0" fontId="2" fillId="7" borderId="0" xfId="0" applyFont="1" applyFill="1" applyAlignment="1">
      <alignment horizontal="center"/>
    </xf>
    <xf numFmtId="0" fontId="2" fillId="8"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FAD7D0"/>
      <color rgb="FFDC3939"/>
      <color rgb="FFD731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[DASHBOARD_CREATION.xlsx]Sheet3!PivotTable13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lgerian" panose="04020705040A02060702" pitchFamily="82" charset="0"/>
              </a:rPr>
              <a:t>DEATH</a:t>
            </a:r>
            <a:r>
              <a:rPr lang="en-US" b="1" baseline="0">
                <a:latin typeface="Algerian" panose="04020705040A02060702" pitchFamily="82" charset="0"/>
              </a:rPr>
              <a:t> RATE</a:t>
            </a:r>
            <a:endParaRPr lang="en-US" b="1">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69247594050742"/>
          <c:y val="0.20419655876348788"/>
          <c:w val="0.7169741907261592"/>
          <c:h val="0.7115522018081073"/>
        </c:manualLayout>
      </c:layout>
      <c:barChart>
        <c:barDir val="bar"/>
        <c:grouping val="clustered"/>
        <c:varyColors val="0"/>
        <c:ser>
          <c:idx val="0"/>
          <c:order val="0"/>
          <c:tx>
            <c:strRef>
              <c:f>Sheet3!$I$16</c:f>
              <c:strCache>
                <c:ptCount val="1"/>
                <c:pt idx="0">
                  <c:v>Total</c:v>
                </c:pt>
              </c:strCache>
            </c:strRef>
          </c:tx>
          <c:spPr>
            <a:solidFill>
              <a:schemeClr val="accent1"/>
            </a:solidFill>
            <a:ln>
              <a:noFill/>
            </a:ln>
            <a:effectLst/>
          </c:spPr>
          <c:invertIfNegative val="0"/>
          <c:cat>
            <c:strRef>
              <c:f>Sheet3!$H$17:$H$53</c:f>
              <c:strCache>
                <c:ptCount val="36"/>
                <c:pt idx="0">
                  <c:v>Punjab</c:v>
                </c:pt>
                <c:pt idx="1">
                  <c:v>Nagaland</c:v>
                </c:pt>
                <c:pt idx="2">
                  <c:v>Uttarakhand</c:v>
                </c:pt>
                <c:pt idx="3">
                  <c:v>Maharashtra</c:v>
                </c:pt>
                <c:pt idx="4">
                  <c:v>Goa</c:v>
                </c:pt>
                <c:pt idx="5">
                  <c:v>Meghalaya</c:v>
                </c:pt>
                <c:pt idx="6">
                  <c:v>Delhi</c:v>
                </c:pt>
                <c:pt idx="7">
                  <c:v>Himachal Pradesh</c:v>
                </c:pt>
                <c:pt idx="8">
                  <c:v>Andaman and Nicobar</c:v>
                </c:pt>
                <c:pt idx="9">
                  <c:v>Manipur</c:v>
                </c:pt>
                <c:pt idx="10">
                  <c:v>Jharkhand</c:v>
                </c:pt>
                <c:pt idx="11">
                  <c:v>Puducherry</c:v>
                </c:pt>
                <c:pt idx="12">
                  <c:v>Chhattisgarh</c:v>
                </c:pt>
                <c:pt idx="13">
                  <c:v>Tamil Nadu</c:v>
                </c:pt>
                <c:pt idx="14">
                  <c:v>Uttar Pradesh</c:v>
                </c:pt>
                <c:pt idx="15">
                  <c:v>Jammu and Kashmir</c:v>
                </c:pt>
                <c:pt idx="16">
                  <c:v>Madhya Pradesh</c:v>
                </c:pt>
                <c:pt idx="17">
                  <c:v>Bihar</c:v>
                </c:pt>
                <c:pt idx="18">
                  <c:v>Haryana</c:v>
                </c:pt>
                <c:pt idx="19">
                  <c:v>Karnataka</c:v>
                </c:pt>
                <c:pt idx="20">
                  <c:v>Chandigarh</c:v>
                </c:pt>
                <c:pt idx="21">
                  <c:v>Sikkim</c:v>
                </c:pt>
                <c:pt idx="22">
                  <c:v>Gujarat</c:v>
                </c:pt>
                <c:pt idx="23">
                  <c:v>West Bengal</c:v>
                </c:pt>
                <c:pt idx="24">
                  <c:v>Ladakh</c:v>
                </c:pt>
                <c:pt idx="25">
                  <c:v>Assam</c:v>
                </c:pt>
                <c:pt idx="26">
                  <c:v>Tripura</c:v>
                </c:pt>
                <c:pt idx="27">
                  <c:v>Rajasthan</c:v>
                </c:pt>
                <c:pt idx="28">
                  <c:v>Odisha</c:v>
                </c:pt>
                <c:pt idx="29">
                  <c:v>Kerala</c:v>
                </c:pt>
                <c:pt idx="30">
                  <c:v>Andhra Pradesh</c:v>
                </c:pt>
                <c:pt idx="31">
                  <c:v>Telengana</c:v>
                </c:pt>
                <c:pt idx="32">
                  <c:v>Arunachal Pradesh</c:v>
                </c:pt>
                <c:pt idx="33">
                  <c:v>Lakshadweep</c:v>
                </c:pt>
                <c:pt idx="34">
                  <c:v>Mizoram</c:v>
                </c:pt>
                <c:pt idx="35">
                  <c:v>Daman and Diu</c:v>
                </c:pt>
              </c:strCache>
            </c:strRef>
          </c:cat>
          <c:val>
            <c:numRef>
              <c:f>Sheet3!$I$17:$I$53</c:f>
              <c:numCache>
                <c:formatCode>General</c:formatCode>
                <c:ptCount val="36"/>
                <c:pt idx="0">
                  <c:v>2.75</c:v>
                </c:pt>
                <c:pt idx="1">
                  <c:v>2.16</c:v>
                </c:pt>
                <c:pt idx="2">
                  <c:v>2.15</c:v>
                </c:pt>
                <c:pt idx="3">
                  <c:v>2.12</c:v>
                </c:pt>
                <c:pt idx="4">
                  <c:v>1.89</c:v>
                </c:pt>
                <c:pt idx="5">
                  <c:v>1.74</c:v>
                </c:pt>
                <c:pt idx="6">
                  <c:v>1.74</c:v>
                </c:pt>
                <c:pt idx="7">
                  <c:v>1.69</c:v>
                </c:pt>
                <c:pt idx="8">
                  <c:v>1.68</c:v>
                </c:pt>
                <c:pt idx="9">
                  <c:v>1.56</c:v>
                </c:pt>
                <c:pt idx="10">
                  <c:v>1.47</c:v>
                </c:pt>
                <c:pt idx="11">
                  <c:v>1.45</c:v>
                </c:pt>
                <c:pt idx="12">
                  <c:v>1.35</c:v>
                </c:pt>
                <c:pt idx="13">
                  <c:v>1.34</c:v>
                </c:pt>
                <c:pt idx="14">
                  <c:v>1.34</c:v>
                </c:pt>
                <c:pt idx="15">
                  <c:v>1.33</c:v>
                </c:pt>
                <c:pt idx="16">
                  <c:v>1.33</c:v>
                </c:pt>
                <c:pt idx="17">
                  <c:v>1.33</c:v>
                </c:pt>
                <c:pt idx="18">
                  <c:v>1.3</c:v>
                </c:pt>
                <c:pt idx="19">
                  <c:v>1.27</c:v>
                </c:pt>
                <c:pt idx="20">
                  <c:v>1.25</c:v>
                </c:pt>
                <c:pt idx="21">
                  <c:v>1.25</c:v>
                </c:pt>
                <c:pt idx="22">
                  <c:v>1.22</c:v>
                </c:pt>
                <c:pt idx="23">
                  <c:v>1.2</c:v>
                </c:pt>
                <c:pt idx="24">
                  <c:v>1</c:v>
                </c:pt>
                <c:pt idx="25">
                  <c:v>0.99</c:v>
                </c:pt>
                <c:pt idx="26">
                  <c:v>0.96</c:v>
                </c:pt>
                <c:pt idx="27">
                  <c:v>0.94</c:v>
                </c:pt>
                <c:pt idx="28">
                  <c:v>0.8</c:v>
                </c:pt>
                <c:pt idx="29">
                  <c:v>0.71</c:v>
                </c:pt>
                <c:pt idx="30">
                  <c:v>0.7</c:v>
                </c:pt>
                <c:pt idx="31">
                  <c:v>0.59</c:v>
                </c:pt>
                <c:pt idx="32">
                  <c:v>0.51</c:v>
                </c:pt>
                <c:pt idx="33">
                  <c:v>0.49</c:v>
                </c:pt>
                <c:pt idx="34">
                  <c:v>0.36</c:v>
                </c:pt>
                <c:pt idx="35">
                  <c:v>0.04</c:v>
                </c:pt>
              </c:numCache>
            </c:numRef>
          </c:val>
          <c:extLst>
            <c:ext xmlns:c16="http://schemas.microsoft.com/office/drawing/2014/chart" uri="{C3380CC4-5D6E-409C-BE32-E72D297353CC}">
              <c16:uniqueId val="{00000000-655C-4A1F-9A48-414125D1F95F}"/>
            </c:ext>
          </c:extLst>
        </c:ser>
        <c:dLbls>
          <c:showLegendKey val="0"/>
          <c:showVal val="0"/>
          <c:showCatName val="0"/>
          <c:showSerName val="0"/>
          <c:showPercent val="0"/>
          <c:showBubbleSize val="0"/>
        </c:dLbls>
        <c:gapWidth val="182"/>
        <c:axId val="730373823"/>
        <c:axId val="730381023"/>
      </c:barChart>
      <c:catAx>
        <c:axId val="73037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381023"/>
        <c:crosses val="autoZero"/>
        <c:auto val="1"/>
        <c:lblAlgn val="ctr"/>
        <c:lblOffset val="100"/>
        <c:noMultiLvlLbl val="0"/>
      </c:catAx>
      <c:valAx>
        <c:axId val="730381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37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[DASHBOARD_CREATION.xlsx]Sheet3!PivotTable14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lgerian" panose="04020705040A02060702" pitchFamily="82" charset="0"/>
              </a:rPr>
              <a:t>RECOVERED</a:t>
            </a:r>
            <a:r>
              <a:rPr lang="en-US" b="1" baseline="0">
                <a:latin typeface="Algerian" panose="04020705040A02060702" pitchFamily="82" charset="0"/>
              </a:rPr>
              <a:t> RATE</a:t>
            </a:r>
            <a:endParaRPr lang="en-US" b="1">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02580927384078"/>
          <c:y val="0.16688027503939987"/>
          <c:w val="0.7043075240594926"/>
          <c:h val="0.76426513655146111"/>
        </c:manualLayout>
      </c:layout>
      <c:barChart>
        <c:barDir val="bar"/>
        <c:grouping val="clustered"/>
        <c:varyColors val="0"/>
        <c:ser>
          <c:idx val="0"/>
          <c:order val="0"/>
          <c:tx>
            <c:strRef>
              <c:f>Sheet3!$M$29</c:f>
              <c:strCache>
                <c:ptCount val="1"/>
                <c:pt idx="0">
                  <c:v>Total</c:v>
                </c:pt>
              </c:strCache>
            </c:strRef>
          </c:tx>
          <c:spPr>
            <a:solidFill>
              <a:schemeClr val="accent1"/>
            </a:solidFill>
            <a:ln>
              <a:noFill/>
            </a:ln>
            <a:effectLst/>
          </c:spPr>
          <c:invertIfNegative val="0"/>
          <c:cat>
            <c:strRef>
              <c:f>Sheet3!$L$30:$L$66</c:f>
              <c:strCache>
                <c:ptCount val="36"/>
                <c:pt idx="0">
                  <c:v>Daman and Diu</c:v>
                </c:pt>
                <c:pt idx="1">
                  <c:v>Lakshadweep</c:v>
                </c:pt>
                <c:pt idx="2">
                  <c:v>Arunachal Pradesh</c:v>
                </c:pt>
                <c:pt idx="3">
                  <c:v>Andhra Pradesh</c:v>
                </c:pt>
                <c:pt idx="4">
                  <c:v>Rajasthan</c:v>
                </c:pt>
                <c:pt idx="5">
                  <c:v>Odisha</c:v>
                </c:pt>
                <c:pt idx="6">
                  <c:v>Tripura</c:v>
                </c:pt>
                <c:pt idx="7">
                  <c:v>Telengana</c:v>
                </c:pt>
                <c:pt idx="8">
                  <c:v>Gujarat</c:v>
                </c:pt>
                <c:pt idx="9">
                  <c:v>Chandigarh</c:v>
                </c:pt>
                <c:pt idx="10">
                  <c:v>Haryana</c:v>
                </c:pt>
                <c:pt idx="11">
                  <c:v>Bihar</c:v>
                </c:pt>
                <c:pt idx="12">
                  <c:v>Uttar Pradesh</c:v>
                </c:pt>
                <c:pt idx="13">
                  <c:v>Madhya Pradesh</c:v>
                </c:pt>
                <c:pt idx="14">
                  <c:v>Chhattisgarh</c:v>
                </c:pt>
                <c:pt idx="15">
                  <c:v>Jharkhand</c:v>
                </c:pt>
                <c:pt idx="16">
                  <c:v>Assam</c:v>
                </c:pt>
                <c:pt idx="17">
                  <c:v>Karnataka</c:v>
                </c:pt>
                <c:pt idx="18">
                  <c:v>Sikkim</c:v>
                </c:pt>
                <c:pt idx="19">
                  <c:v>Puducherry</c:v>
                </c:pt>
                <c:pt idx="20">
                  <c:v>Tamil Nadu</c:v>
                </c:pt>
                <c:pt idx="21">
                  <c:v>West Bengal</c:v>
                </c:pt>
                <c:pt idx="22">
                  <c:v>Ladakh</c:v>
                </c:pt>
                <c:pt idx="23">
                  <c:v>Delhi</c:v>
                </c:pt>
                <c:pt idx="24">
                  <c:v>Jammu and Kashmir</c:v>
                </c:pt>
                <c:pt idx="25">
                  <c:v>Andaman and Nicobar</c:v>
                </c:pt>
                <c:pt idx="26">
                  <c:v>Goa</c:v>
                </c:pt>
                <c:pt idx="27">
                  <c:v>Meghalaya</c:v>
                </c:pt>
                <c:pt idx="28">
                  <c:v>Kerala</c:v>
                </c:pt>
                <c:pt idx="29">
                  <c:v>Himachal Pradesh</c:v>
                </c:pt>
                <c:pt idx="30">
                  <c:v>Uttarakhand</c:v>
                </c:pt>
                <c:pt idx="31">
                  <c:v>Manipur</c:v>
                </c:pt>
                <c:pt idx="32">
                  <c:v>Maharashtra</c:v>
                </c:pt>
                <c:pt idx="33">
                  <c:v>Nagaland</c:v>
                </c:pt>
                <c:pt idx="34">
                  <c:v>Punjab</c:v>
                </c:pt>
                <c:pt idx="35">
                  <c:v>Mizoram</c:v>
                </c:pt>
              </c:strCache>
            </c:strRef>
          </c:cat>
          <c:val>
            <c:numRef>
              <c:f>Sheet3!$M$30:$M$66</c:f>
              <c:numCache>
                <c:formatCode>General</c:formatCode>
                <c:ptCount val="36"/>
                <c:pt idx="0">
                  <c:v>99.96</c:v>
                </c:pt>
                <c:pt idx="1">
                  <c:v>99.51</c:v>
                </c:pt>
                <c:pt idx="2">
                  <c:v>99.42</c:v>
                </c:pt>
                <c:pt idx="3">
                  <c:v>99.15</c:v>
                </c:pt>
                <c:pt idx="4">
                  <c:v>99.05</c:v>
                </c:pt>
                <c:pt idx="5">
                  <c:v>98.96</c:v>
                </c:pt>
                <c:pt idx="6">
                  <c:v>98.9</c:v>
                </c:pt>
                <c:pt idx="7">
                  <c:v>98.85</c:v>
                </c:pt>
                <c:pt idx="8">
                  <c:v>98.75</c:v>
                </c:pt>
                <c:pt idx="9">
                  <c:v>98.71</c:v>
                </c:pt>
                <c:pt idx="10">
                  <c:v>98.68</c:v>
                </c:pt>
                <c:pt idx="11">
                  <c:v>98.67</c:v>
                </c:pt>
                <c:pt idx="12">
                  <c:v>98.66</c:v>
                </c:pt>
                <c:pt idx="13">
                  <c:v>98.66</c:v>
                </c:pt>
                <c:pt idx="14">
                  <c:v>98.63</c:v>
                </c:pt>
                <c:pt idx="15">
                  <c:v>98.49</c:v>
                </c:pt>
                <c:pt idx="16">
                  <c:v>98.48</c:v>
                </c:pt>
                <c:pt idx="17">
                  <c:v>98.46</c:v>
                </c:pt>
                <c:pt idx="18">
                  <c:v>98.38</c:v>
                </c:pt>
                <c:pt idx="19">
                  <c:v>98.33</c:v>
                </c:pt>
                <c:pt idx="20">
                  <c:v>98.3</c:v>
                </c:pt>
                <c:pt idx="21">
                  <c:v>98.29</c:v>
                </c:pt>
                <c:pt idx="22">
                  <c:v>98.27</c:v>
                </c:pt>
                <c:pt idx="23">
                  <c:v>98.23</c:v>
                </c:pt>
                <c:pt idx="24">
                  <c:v>98.23</c:v>
                </c:pt>
                <c:pt idx="25">
                  <c:v>98.23</c:v>
                </c:pt>
                <c:pt idx="26">
                  <c:v>97.96</c:v>
                </c:pt>
                <c:pt idx="27">
                  <c:v>97.93</c:v>
                </c:pt>
                <c:pt idx="28">
                  <c:v>97.92</c:v>
                </c:pt>
                <c:pt idx="29">
                  <c:v>97.82</c:v>
                </c:pt>
                <c:pt idx="30">
                  <c:v>97.8</c:v>
                </c:pt>
                <c:pt idx="31">
                  <c:v>97.79</c:v>
                </c:pt>
                <c:pt idx="32">
                  <c:v>97.64</c:v>
                </c:pt>
                <c:pt idx="33">
                  <c:v>97.33</c:v>
                </c:pt>
                <c:pt idx="34">
                  <c:v>97.2</c:v>
                </c:pt>
                <c:pt idx="35">
                  <c:v>95.25</c:v>
                </c:pt>
              </c:numCache>
            </c:numRef>
          </c:val>
          <c:extLst>
            <c:ext xmlns:c16="http://schemas.microsoft.com/office/drawing/2014/chart" uri="{C3380CC4-5D6E-409C-BE32-E72D297353CC}">
              <c16:uniqueId val="{00000000-9CC8-4B60-90DB-980716A0A010}"/>
            </c:ext>
          </c:extLst>
        </c:ser>
        <c:dLbls>
          <c:showLegendKey val="0"/>
          <c:showVal val="0"/>
          <c:showCatName val="0"/>
          <c:showSerName val="0"/>
          <c:showPercent val="0"/>
          <c:showBubbleSize val="0"/>
        </c:dLbls>
        <c:gapWidth val="182"/>
        <c:axId val="817483839"/>
        <c:axId val="817489599"/>
      </c:barChart>
      <c:catAx>
        <c:axId val="817483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89599"/>
        <c:crosses val="autoZero"/>
        <c:auto val="1"/>
        <c:lblAlgn val="ctr"/>
        <c:lblOffset val="100"/>
        <c:noMultiLvlLbl val="0"/>
      </c:catAx>
      <c:valAx>
        <c:axId val="817489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8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[DASHBOARD_CREATION.xlsx]Sheet3!PivotTable15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34387504840584"/>
          <c:y val="4.5758535726856737E-2"/>
          <c:w val="0.84164407727722557"/>
          <c:h val="0.75561754622277288"/>
        </c:manualLayout>
      </c:layout>
      <c:barChart>
        <c:barDir val="col"/>
        <c:grouping val="clustered"/>
        <c:varyColors val="0"/>
        <c:ser>
          <c:idx val="0"/>
          <c:order val="0"/>
          <c:tx>
            <c:strRef>
              <c:f>Sheet3!$Z$11</c:f>
              <c:strCache>
                <c:ptCount val="1"/>
                <c:pt idx="0">
                  <c:v>Death</c:v>
                </c:pt>
              </c:strCache>
            </c:strRef>
          </c:tx>
          <c:spPr>
            <a:solidFill>
              <a:schemeClr val="accent1"/>
            </a:solidFill>
            <a:ln>
              <a:noFill/>
            </a:ln>
            <a:effectLst/>
          </c:spPr>
          <c:invertIfNegative val="0"/>
          <c:cat>
            <c:strRef>
              <c:f>Sheet3!$Y$12:$Y$48</c:f>
              <c:strCache>
                <c:ptCount val="36"/>
                <c:pt idx="0">
                  <c:v>Maharashtra</c:v>
                </c:pt>
                <c:pt idx="1">
                  <c:v>Karnataka</c:v>
                </c:pt>
                <c:pt idx="2">
                  <c:v>Tamil Nadu</c:v>
                </c:pt>
                <c:pt idx="3">
                  <c:v>Kerala</c:v>
                </c:pt>
                <c:pt idx="4">
                  <c:v>Delhi</c:v>
                </c:pt>
                <c:pt idx="5">
                  <c:v>Uttar Pradesh</c:v>
                </c:pt>
                <c:pt idx="6">
                  <c:v>West Bengal</c:v>
                </c:pt>
                <c:pt idx="7">
                  <c:v>Punjab</c:v>
                </c:pt>
                <c:pt idx="8">
                  <c:v>Andhra Pradesh</c:v>
                </c:pt>
                <c:pt idx="9">
                  <c:v>Chhattisgarh</c:v>
                </c:pt>
                <c:pt idx="10">
                  <c:v>Madhya Pradesh</c:v>
                </c:pt>
                <c:pt idx="11">
                  <c:v>Gujarat</c:v>
                </c:pt>
                <c:pt idx="12">
                  <c:v>Haryana</c:v>
                </c:pt>
                <c:pt idx="13">
                  <c:v>Bihar</c:v>
                </c:pt>
                <c:pt idx="14">
                  <c:v>Rajasthan</c:v>
                </c:pt>
                <c:pt idx="15">
                  <c:v>Odisha</c:v>
                </c:pt>
                <c:pt idx="16">
                  <c:v>Uttarakhand</c:v>
                </c:pt>
                <c:pt idx="17">
                  <c:v>Assam</c:v>
                </c:pt>
                <c:pt idx="18">
                  <c:v>Jharkhand</c:v>
                </c:pt>
                <c:pt idx="19">
                  <c:v>Jammu and Kashmir</c:v>
                </c:pt>
                <c:pt idx="20">
                  <c:v>Telengana</c:v>
                </c:pt>
                <c:pt idx="21">
                  <c:v>Himachal Pradesh</c:v>
                </c:pt>
                <c:pt idx="22">
                  <c:v>Goa</c:v>
                </c:pt>
                <c:pt idx="23">
                  <c:v>Manipur</c:v>
                </c:pt>
                <c:pt idx="24">
                  <c:v>Puducherry</c:v>
                </c:pt>
                <c:pt idx="25">
                  <c:v>Meghalaya</c:v>
                </c:pt>
                <c:pt idx="26">
                  <c:v>Chandigarh</c:v>
                </c:pt>
                <c:pt idx="27">
                  <c:v>Tripura</c:v>
                </c:pt>
                <c:pt idx="28">
                  <c:v>Nagaland</c:v>
                </c:pt>
                <c:pt idx="29">
                  <c:v>Mizoram</c:v>
                </c:pt>
                <c:pt idx="30">
                  <c:v>Sikkim</c:v>
                </c:pt>
                <c:pt idx="31">
                  <c:v>Arunachal Pradesh</c:v>
                </c:pt>
                <c:pt idx="32">
                  <c:v>Ladakh</c:v>
                </c:pt>
                <c:pt idx="33">
                  <c:v>Andaman and Nicobar</c:v>
                </c:pt>
                <c:pt idx="34">
                  <c:v>Lakshadweep</c:v>
                </c:pt>
                <c:pt idx="35">
                  <c:v>Daman and Diu</c:v>
                </c:pt>
              </c:strCache>
            </c:strRef>
          </c:cat>
          <c:val>
            <c:numRef>
              <c:f>Sheet3!$Z$12:$Z$48</c:f>
              <c:numCache>
                <c:formatCode>General</c:formatCode>
                <c:ptCount val="36"/>
                <c:pt idx="0">
                  <c:v>140565</c:v>
                </c:pt>
                <c:pt idx="1">
                  <c:v>38143</c:v>
                </c:pt>
                <c:pt idx="2">
                  <c:v>36273</c:v>
                </c:pt>
                <c:pt idx="3">
                  <c:v>35685</c:v>
                </c:pt>
                <c:pt idx="4">
                  <c:v>25093</c:v>
                </c:pt>
                <c:pt idx="5">
                  <c:v>22909</c:v>
                </c:pt>
                <c:pt idx="6">
                  <c:v>19307</c:v>
                </c:pt>
                <c:pt idx="7">
                  <c:v>16571</c:v>
                </c:pt>
                <c:pt idx="8">
                  <c:v>14412</c:v>
                </c:pt>
                <c:pt idx="9">
                  <c:v>13588</c:v>
                </c:pt>
                <c:pt idx="10">
                  <c:v>10524</c:v>
                </c:pt>
                <c:pt idx="11">
                  <c:v>10090</c:v>
                </c:pt>
                <c:pt idx="12">
                  <c:v>10050</c:v>
                </c:pt>
                <c:pt idx="13">
                  <c:v>9662</c:v>
                </c:pt>
                <c:pt idx="14">
                  <c:v>8954</c:v>
                </c:pt>
                <c:pt idx="15">
                  <c:v>8375</c:v>
                </c:pt>
                <c:pt idx="16">
                  <c:v>7403</c:v>
                </c:pt>
                <c:pt idx="17">
                  <c:v>6047</c:v>
                </c:pt>
                <c:pt idx="18">
                  <c:v>5138</c:v>
                </c:pt>
                <c:pt idx="19">
                  <c:v>4448</c:v>
                </c:pt>
                <c:pt idx="20">
                  <c:v>3973</c:v>
                </c:pt>
                <c:pt idx="21">
                  <c:v>3812</c:v>
                </c:pt>
                <c:pt idx="22">
                  <c:v>3374</c:v>
                </c:pt>
                <c:pt idx="23">
                  <c:v>1946</c:v>
                </c:pt>
                <c:pt idx="24">
                  <c:v>1863</c:v>
                </c:pt>
                <c:pt idx="25">
                  <c:v>1462</c:v>
                </c:pt>
                <c:pt idx="26">
                  <c:v>820</c:v>
                </c:pt>
                <c:pt idx="27">
                  <c:v>817</c:v>
                </c:pt>
                <c:pt idx="28">
                  <c:v>692</c:v>
                </c:pt>
                <c:pt idx="29">
                  <c:v>459</c:v>
                </c:pt>
                <c:pt idx="30">
                  <c:v>400</c:v>
                </c:pt>
                <c:pt idx="31">
                  <c:v>280</c:v>
                </c:pt>
                <c:pt idx="32">
                  <c:v>211</c:v>
                </c:pt>
                <c:pt idx="33">
                  <c:v>129</c:v>
                </c:pt>
                <c:pt idx="34">
                  <c:v>51</c:v>
                </c:pt>
                <c:pt idx="35">
                  <c:v>4</c:v>
                </c:pt>
              </c:numCache>
            </c:numRef>
          </c:val>
          <c:extLst>
            <c:ext xmlns:c16="http://schemas.microsoft.com/office/drawing/2014/chart" uri="{C3380CC4-5D6E-409C-BE32-E72D297353CC}">
              <c16:uniqueId val="{00000000-AE63-42AE-B4FB-47D154FC6D99}"/>
            </c:ext>
          </c:extLst>
        </c:ser>
        <c:ser>
          <c:idx val="1"/>
          <c:order val="1"/>
          <c:tx>
            <c:strRef>
              <c:f>Sheet3!$AA$11</c:f>
              <c:strCache>
                <c:ptCount val="1"/>
                <c:pt idx="0">
                  <c:v>Actives</c:v>
                </c:pt>
              </c:strCache>
            </c:strRef>
          </c:tx>
          <c:spPr>
            <a:solidFill>
              <a:schemeClr val="accent2"/>
            </a:solidFill>
            <a:ln>
              <a:noFill/>
            </a:ln>
            <a:effectLst/>
          </c:spPr>
          <c:invertIfNegative val="0"/>
          <c:cat>
            <c:strRef>
              <c:f>Sheet3!$Y$12:$Y$48</c:f>
              <c:strCache>
                <c:ptCount val="36"/>
                <c:pt idx="0">
                  <c:v>Maharashtra</c:v>
                </c:pt>
                <c:pt idx="1">
                  <c:v>Karnataka</c:v>
                </c:pt>
                <c:pt idx="2">
                  <c:v>Tamil Nadu</c:v>
                </c:pt>
                <c:pt idx="3">
                  <c:v>Kerala</c:v>
                </c:pt>
                <c:pt idx="4">
                  <c:v>Delhi</c:v>
                </c:pt>
                <c:pt idx="5">
                  <c:v>Uttar Pradesh</c:v>
                </c:pt>
                <c:pt idx="6">
                  <c:v>West Bengal</c:v>
                </c:pt>
                <c:pt idx="7">
                  <c:v>Punjab</c:v>
                </c:pt>
                <c:pt idx="8">
                  <c:v>Andhra Pradesh</c:v>
                </c:pt>
                <c:pt idx="9">
                  <c:v>Chhattisgarh</c:v>
                </c:pt>
                <c:pt idx="10">
                  <c:v>Madhya Pradesh</c:v>
                </c:pt>
                <c:pt idx="11">
                  <c:v>Gujarat</c:v>
                </c:pt>
                <c:pt idx="12">
                  <c:v>Haryana</c:v>
                </c:pt>
                <c:pt idx="13">
                  <c:v>Bihar</c:v>
                </c:pt>
                <c:pt idx="14">
                  <c:v>Rajasthan</c:v>
                </c:pt>
                <c:pt idx="15">
                  <c:v>Odisha</c:v>
                </c:pt>
                <c:pt idx="16">
                  <c:v>Uttarakhand</c:v>
                </c:pt>
                <c:pt idx="17">
                  <c:v>Assam</c:v>
                </c:pt>
                <c:pt idx="18">
                  <c:v>Jharkhand</c:v>
                </c:pt>
                <c:pt idx="19">
                  <c:v>Jammu and Kashmir</c:v>
                </c:pt>
                <c:pt idx="20">
                  <c:v>Telengana</c:v>
                </c:pt>
                <c:pt idx="21">
                  <c:v>Himachal Pradesh</c:v>
                </c:pt>
                <c:pt idx="22">
                  <c:v>Goa</c:v>
                </c:pt>
                <c:pt idx="23">
                  <c:v>Manipur</c:v>
                </c:pt>
                <c:pt idx="24">
                  <c:v>Puducherry</c:v>
                </c:pt>
                <c:pt idx="25">
                  <c:v>Meghalaya</c:v>
                </c:pt>
                <c:pt idx="26">
                  <c:v>Chandigarh</c:v>
                </c:pt>
                <c:pt idx="27">
                  <c:v>Tripura</c:v>
                </c:pt>
                <c:pt idx="28">
                  <c:v>Nagaland</c:v>
                </c:pt>
                <c:pt idx="29">
                  <c:v>Mizoram</c:v>
                </c:pt>
                <c:pt idx="30">
                  <c:v>Sikkim</c:v>
                </c:pt>
                <c:pt idx="31">
                  <c:v>Arunachal Pradesh</c:v>
                </c:pt>
                <c:pt idx="32">
                  <c:v>Ladakh</c:v>
                </c:pt>
                <c:pt idx="33">
                  <c:v>Andaman and Nicobar</c:v>
                </c:pt>
                <c:pt idx="34">
                  <c:v>Lakshadweep</c:v>
                </c:pt>
                <c:pt idx="35">
                  <c:v>Daman and Diu</c:v>
                </c:pt>
              </c:strCache>
            </c:strRef>
          </c:cat>
          <c:val>
            <c:numRef>
              <c:f>Sheet3!$AA$12:$AA$48</c:f>
              <c:numCache>
                <c:formatCode>General</c:formatCode>
                <c:ptCount val="36"/>
                <c:pt idx="0">
                  <c:v>15866</c:v>
                </c:pt>
                <c:pt idx="1">
                  <c:v>8056</c:v>
                </c:pt>
                <c:pt idx="2">
                  <c:v>9751</c:v>
                </c:pt>
                <c:pt idx="3">
                  <c:v>69258</c:v>
                </c:pt>
                <c:pt idx="4">
                  <c:v>361</c:v>
                </c:pt>
                <c:pt idx="5">
                  <c:v>90</c:v>
                </c:pt>
                <c:pt idx="6">
                  <c:v>8031</c:v>
                </c:pt>
                <c:pt idx="7">
                  <c:v>318</c:v>
                </c:pt>
                <c:pt idx="8">
                  <c:v>3128</c:v>
                </c:pt>
                <c:pt idx="9">
                  <c:v>230</c:v>
                </c:pt>
                <c:pt idx="10">
                  <c:v>75</c:v>
                </c:pt>
                <c:pt idx="11">
                  <c:v>226</c:v>
                </c:pt>
                <c:pt idx="12">
                  <c:v>140</c:v>
                </c:pt>
                <c:pt idx="13">
                  <c:v>29</c:v>
                </c:pt>
                <c:pt idx="14">
                  <c:v>71</c:v>
                </c:pt>
                <c:pt idx="15">
                  <c:v>2534</c:v>
                </c:pt>
                <c:pt idx="16">
                  <c:v>158</c:v>
                </c:pt>
                <c:pt idx="17">
                  <c:v>3272</c:v>
                </c:pt>
                <c:pt idx="18">
                  <c:v>141</c:v>
                </c:pt>
                <c:pt idx="19">
                  <c:v>1450</c:v>
                </c:pt>
                <c:pt idx="20">
                  <c:v>3741</c:v>
                </c:pt>
                <c:pt idx="21">
                  <c:v>1100</c:v>
                </c:pt>
                <c:pt idx="22">
                  <c:v>263</c:v>
                </c:pt>
                <c:pt idx="23">
                  <c:v>799</c:v>
                </c:pt>
                <c:pt idx="24">
                  <c:v>275</c:v>
                </c:pt>
                <c:pt idx="25">
                  <c:v>277</c:v>
                </c:pt>
                <c:pt idx="26">
                  <c:v>24</c:v>
                </c:pt>
                <c:pt idx="27">
                  <c:v>116</c:v>
                </c:pt>
                <c:pt idx="28">
                  <c:v>163</c:v>
                </c:pt>
                <c:pt idx="29">
                  <c:v>5651</c:v>
                </c:pt>
                <c:pt idx="30">
                  <c:v>121</c:v>
                </c:pt>
                <c:pt idx="31">
                  <c:v>42</c:v>
                </c:pt>
                <c:pt idx="32">
                  <c:v>154</c:v>
                </c:pt>
                <c:pt idx="33">
                  <c:v>7</c:v>
                </c:pt>
                <c:pt idx="34">
                  <c:v>0</c:v>
                </c:pt>
                <c:pt idx="35">
                  <c:v>0</c:v>
                </c:pt>
              </c:numCache>
            </c:numRef>
          </c:val>
          <c:extLst>
            <c:ext xmlns:c16="http://schemas.microsoft.com/office/drawing/2014/chart" uri="{C3380CC4-5D6E-409C-BE32-E72D297353CC}">
              <c16:uniqueId val="{00000003-AE63-42AE-B4FB-47D154FC6D99}"/>
            </c:ext>
          </c:extLst>
        </c:ser>
        <c:dLbls>
          <c:showLegendKey val="0"/>
          <c:showVal val="0"/>
          <c:showCatName val="0"/>
          <c:showSerName val="0"/>
          <c:showPercent val="0"/>
          <c:showBubbleSize val="0"/>
        </c:dLbls>
        <c:gapWidth val="219"/>
        <c:overlap val="-27"/>
        <c:axId val="817471359"/>
        <c:axId val="817472319"/>
      </c:barChart>
      <c:catAx>
        <c:axId val="81747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72319"/>
        <c:crosses val="autoZero"/>
        <c:auto val="1"/>
        <c:lblAlgn val="ctr"/>
        <c:lblOffset val="100"/>
        <c:noMultiLvlLbl val="0"/>
      </c:catAx>
      <c:valAx>
        <c:axId val="817472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71359"/>
        <c:crosses val="autoZero"/>
        <c:crossBetween val="between"/>
      </c:valAx>
      <c:spPr>
        <a:noFill/>
        <a:ln>
          <a:noFill/>
        </a:ln>
        <a:effectLst/>
      </c:spPr>
    </c:plotArea>
    <c:legend>
      <c:legendPos val="r"/>
      <c:layout>
        <c:manualLayout>
          <c:xMode val="edge"/>
          <c:yMode val="edge"/>
          <c:x val="0.20870129493481823"/>
          <c:y val="6.0453649735176973E-2"/>
          <c:w val="0.61935242383376121"/>
          <c:h val="6.24788321734334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[DASHBOARD_CREATION.xlsx]Sheet3!PivotTable16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lgerian" panose="04020705040A02060702" pitchFamily="82" charset="0"/>
              </a:rPr>
              <a:t>zone-wise</a:t>
            </a:r>
            <a:r>
              <a:rPr lang="en-US" b="1" baseline="0">
                <a:latin typeface="Algerian" panose="04020705040A02060702" pitchFamily="82" charset="0"/>
              </a:rPr>
              <a:t> total cases</a:t>
            </a:r>
            <a:endParaRPr lang="en-US" b="1">
              <a:latin typeface="Algerian" panose="04020705040A02060702" pitchFamily="82" charset="0"/>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Sheet3!$AJ$7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289-491A-874D-37532AD23E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02-498E-9B9A-DCF91CE953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02-498E-9B9A-DCF91CE953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02-498E-9B9A-DCF91CE953DA}"/>
              </c:ext>
            </c:extLst>
          </c:dPt>
          <c:cat>
            <c:strRef>
              <c:f>Sheet3!$AI$8:$AI$12</c:f>
              <c:strCache>
                <c:ptCount val="4"/>
                <c:pt idx="0">
                  <c:v>East</c:v>
                </c:pt>
                <c:pt idx="1">
                  <c:v>North</c:v>
                </c:pt>
                <c:pt idx="2">
                  <c:v>South</c:v>
                </c:pt>
                <c:pt idx="3">
                  <c:v>West</c:v>
                </c:pt>
              </c:strCache>
            </c:strRef>
          </c:cat>
          <c:val>
            <c:numRef>
              <c:f>Sheet3!$AJ$8:$AJ$12</c:f>
              <c:numCache>
                <c:formatCode>General</c:formatCode>
                <c:ptCount val="4"/>
                <c:pt idx="0">
                  <c:v>5884786</c:v>
                </c:pt>
                <c:pt idx="1">
                  <c:v>5515107</c:v>
                </c:pt>
                <c:pt idx="2">
                  <c:v>13650538</c:v>
                </c:pt>
                <c:pt idx="3">
                  <c:v>9386876</c:v>
                </c:pt>
              </c:numCache>
            </c:numRef>
          </c:val>
          <c:extLst>
            <c:ext xmlns:c16="http://schemas.microsoft.com/office/drawing/2014/chart" uri="{C3380CC4-5D6E-409C-BE32-E72D297353CC}">
              <c16:uniqueId val="{00000000-0289-491A-874D-37532AD23E1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[DASHBOARD_CREATION.xlsx]Sheet3!PivotTable8</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39900036418896E-2"/>
          <c:y val="5.0925925925925923E-2"/>
          <c:w val="0.88927196749927795"/>
          <c:h val="0.61510608048993876"/>
        </c:manualLayout>
      </c:layout>
      <c:barChart>
        <c:barDir val="col"/>
        <c:grouping val="clustered"/>
        <c:varyColors val="0"/>
        <c:ser>
          <c:idx val="0"/>
          <c:order val="0"/>
          <c:tx>
            <c:strRef>
              <c:f>Sheet3!$B$44</c:f>
              <c:strCache>
                <c:ptCount val="1"/>
                <c:pt idx="0">
                  <c:v>Total_Cases</c:v>
                </c:pt>
              </c:strCache>
            </c:strRef>
          </c:tx>
          <c:spPr>
            <a:solidFill>
              <a:schemeClr val="accent2"/>
            </a:solidFill>
            <a:ln>
              <a:noFill/>
            </a:ln>
            <a:effectLst/>
          </c:spPr>
          <c:invertIfNegative val="0"/>
          <c:cat>
            <c:strRef>
              <c:f>Sheet3!$A$45:$A$81</c:f>
              <c:strCache>
                <c:ptCount val="36"/>
                <c:pt idx="0">
                  <c:v>Maharashtra</c:v>
                </c:pt>
                <c:pt idx="1">
                  <c:v>Kerala</c:v>
                </c:pt>
                <c:pt idx="2">
                  <c:v>Karnataka</c:v>
                </c:pt>
                <c:pt idx="3">
                  <c:v>Tamil Nadu</c:v>
                </c:pt>
                <c:pt idx="4">
                  <c:v>Andhra Pradesh</c:v>
                </c:pt>
                <c:pt idx="5">
                  <c:v>Uttar Pradesh</c:v>
                </c:pt>
                <c:pt idx="6">
                  <c:v>West Bengal</c:v>
                </c:pt>
                <c:pt idx="7">
                  <c:v>Delhi</c:v>
                </c:pt>
                <c:pt idx="8">
                  <c:v>Odisha</c:v>
                </c:pt>
                <c:pt idx="9">
                  <c:v>Chhattisgarh</c:v>
                </c:pt>
                <c:pt idx="10">
                  <c:v>Rajasthan</c:v>
                </c:pt>
                <c:pt idx="11">
                  <c:v>Gujarat</c:v>
                </c:pt>
                <c:pt idx="12">
                  <c:v>Madhya Pradesh</c:v>
                </c:pt>
                <c:pt idx="13">
                  <c:v>Haryana</c:v>
                </c:pt>
                <c:pt idx="14">
                  <c:v>Bihar</c:v>
                </c:pt>
                <c:pt idx="15">
                  <c:v>Telengana</c:v>
                </c:pt>
                <c:pt idx="16">
                  <c:v>Assam</c:v>
                </c:pt>
                <c:pt idx="17">
                  <c:v>Punjab</c:v>
                </c:pt>
                <c:pt idx="18">
                  <c:v>Jharkhand</c:v>
                </c:pt>
                <c:pt idx="19">
                  <c:v>Uttarakhand</c:v>
                </c:pt>
                <c:pt idx="20">
                  <c:v>Jammu and Kashmir</c:v>
                </c:pt>
                <c:pt idx="21">
                  <c:v>Himachal Pradesh</c:v>
                </c:pt>
                <c:pt idx="22">
                  <c:v>Goa</c:v>
                </c:pt>
                <c:pt idx="23">
                  <c:v>Mizoram</c:v>
                </c:pt>
                <c:pt idx="24">
                  <c:v>Puducherry</c:v>
                </c:pt>
                <c:pt idx="25">
                  <c:v>Manipur</c:v>
                </c:pt>
                <c:pt idx="26">
                  <c:v>Tripura</c:v>
                </c:pt>
                <c:pt idx="27">
                  <c:v>Meghalaya</c:v>
                </c:pt>
                <c:pt idx="28">
                  <c:v>Chandigarh</c:v>
                </c:pt>
                <c:pt idx="29">
                  <c:v>Arunachal Pradesh</c:v>
                </c:pt>
                <c:pt idx="30">
                  <c:v>Sikkim</c:v>
                </c:pt>
                <c:pt idx="31">
                  <c:v>Nagaland</c:v>
                </c:pt>
                <c:pt idx="32">
                  <c:v>Ladakh</c:v>
                </c:pt>
                <c:pt idx="33">
                  <c:v>Daman and Diu</c:v>
                </c:pt>
                <c:pt idx="34">
                  <c:v>Lakshadweep</c:v>
                </c:pt>
                <c:pt idx="35">
                  <c:v>Andaman and Nicobar</c:v>
                </c:pt>
              </c:strCache>
            </c:strRef>
          </c:cat>
          <c:val>
            <c:numRef>
              <c:f>Sheet3!$B$45:$B$81</c:f>
              <c:numCache>
                <c:formatCode>General</c:formatCode>
                <c:ptCount val="36"/>
                <c:pt idx="0">
                  <c:v>6623344</c:v>
                </c:pt>
                <c:pt idx="1">
                  <c:v>5055224</c:v>
                </c:pt>
                <c:pt idx="2">
                  <c:v>2991614</c:v>
                </c:pt>
                <c:pt idx="3">
                  <c:v>2714025</c:v>
                </c:pt>
                <c:pt idx="4">
                  <c:v>2069770</c:v>
                </c:pt>
                <c:pt idx="5">
                  <c:v>1710261</c:v>
                </c:pt>
                <c:pt idx="6">
                  <c:v>1603318</c:v>
                </c:pt>
                <c:pt idx="7">
                  <c:v>1440388</c:v>
                </c:pt>
                <c:pt idx="8">
                  <c:v>1045209</c:v>
                </c:pt>
                <c:pt idx="9">
                  <c:v>1006326</c:v>
                </c:pt>
                <c:pt idx="10">
                  <c:v>954503</c:v>
                </c:pt>
                <c:pt idx="11">
                  <c:v>826924</c:v>
                </c:pt>
                <c:pt idx="12">
                  <c:v>792956</c:v>
                </c:pt>
                <c:pt idx="13">
                  <c:v>771420</c:v>
                </c:pt>
                <c:pt idx="14">
                  <c:v>726153</c:v>
                </c:pt>
                <c:pt idx="15">
                  <c:v>673469</c:v>
                </c:pt>
                <c:pt idx="16">
                  <c:v>613784</c:v>
                </c:pt>
                <c:pt idx="17">
                  <c:v>602778</c:v>
                </c:pt>
                <c:pt idx="18">
                  <c:v>348992</c:v>
                </c:pt>
                <c:pt idx="19">
                  <c:v>344014</c:v>
                </c:pt>
                <c:pt idx="20">
                  <c:v>334006</c:v>
                </c:pt>
                <c:pt idx="21">
                  <c:v>225712</c:v>
                </c:pt>
                <c:pt idx="22">
                  <c:v>178467</c:v>
                </c:pt>
                <c:pt idx="23">
                  <c:v>128604</c:v>
                </c:pt>
                <c:pt idx="24">
                  <c:v>128401</c:v>
                </c:pt>
                <c:pt idx="25">
                  <c:v>124432</c:v>
                </c:pt>
                <c:pt idx="26">
                  <c:v>84665</c:v>
                </c:pt>
                <c:pt idx="27">
                  <c:v>84013</c:v>
                </c:pt>
                <c:pt idx="28">
                  <c:v>65380</c:v>
                </c:pt>
                <c:pt idx="29">
                  <c:v>55216</c:v>
                </c:pt>
                <c:pt idx="30">
                  <c:v>32096</c:v>
                </c:pt>
                <c:pt idx="31">
                  <c:v>31978</c:v>
                </c:pt>
                <c:pt idx="32">
                  <c:v>21148</c:v>
                </c:pt>
                <c:pt idx="33">
                  <c:v>10682</c:v>
                </c:pt>
                <c:pt idx="34">
                  <c:v>10365</c:v>
                </c:pt>
                <c:pt idx="35">
                  <c:v>7670</c:v>
                </c:pt>
              </c:numCache>
            </c:numRef>
          </c:val>
          <c:extLst>
            <c:ext xmlns:c16="http://schemas.microsoft.com/office/drawing/2014/chart" uri="{C3380CC4-5D6E-409C-BE32-E72D297353CC}">
              <c16:uniqueId val="{00000000-43B9-4E4F-A293-41DEC3D8468B}"/>
            </c:ext>
          </c:extLst>
        </c:ser>
        <c:ser>
          <c:idx val="1"/>
          <c:order val="1"/>
          <c:tx>
            <c:strRef>
              <c:f>Sheet3!$C$44</c:f>
              <c:strCache>
                <c:ptCount val="1"/>
                <c:pt idx="0">
                  <c:v>Dischargedcases</c:v>
                </c:pt>
              </c:strCache>
            </c:strRef>
          </c:tx>
          <c:spPr>
            <a:solidFill>
              <a:schemeClr val="accent4"/>
            </a:solidFill>
            <a:ln>
              <a:noFill/>
            </a:ln>
            <a:effectLst/>
          </c:spPr>
          <c:invertIfNegative val="0"/>
          <c:cat>
            <c:strRef>
              <c:f>Sheet3!$A$45:$A$81</c:f>
              <c:strCache>
                <c:ptCount val="36"/>
                <c:pt idx="0">
                  <c:v>Maharashtra</c:v>
                </c:pt>
                <c:pt idx="1">
                  <c:v>Kerala</c:v>
                </c:pt>
                <c:pt idx="2">
                  <c:v>Karnataka</c:v>
                </c:pt>
                <c:pt idx="3">
                  <c:v>Tamil Nadu</c:v>
                </c:pt>
                <c:pt idx="4">
                  <c:v>Andhra Pradesh</c:v>
                </c:pt>
                <c:pt idx="5">
                  <c:v>Uttar Pradesh</c:v>
                </c:pt>
                <c:pt idx="6">
                  <c:v>West Bengal</c:v>
                </c:pt>
                <c:pt idx="7">
                  <c:v>Delhi</c:v>
                </c:pt>
                <c:pt idx="8">
                  <c:v>Odisha</c:v>
                </c:pt>
                <c:pt idx="9">
                  <c:v>Chhattisgarh</c:v>
                </c:pt>
                <c:pt idx="10">
                  <c:v>Rajasthan</c:v>
                </c:pt>
                <c:pt idx="11">
                  <c:v>Gujarat</c:v>
                </c:pt>
                <c:pt idx="12">
                  <c:v>Madhya Pradesh</c:v>
                </c:pt>
                <c:pt idx="13">
                  <c:v>Haryana</c:v>
                </c:pt>
                <c:pt idx="14">
                  <c:v>Bihar</c:v>
                </c:pt>
                <c:pt idx="15">
                  <c:v>Telengana</c:v>
                </c:pt>
                <c:pt idx="16">
                  <c:v>Assam</c:v>
                </c:pt>
                <c:pt idx="17">
                  <c:v>Punjab</c:v>
                </c:pt>
                <c:pt idx="18">
                  <c:v>Jharkhand</c:v>
                </c:pt>
                <c:pt idx="19">
                  <c:v>Uttarakhand</c:v>
                </c:pt>
                <c:pt idx="20">
                  <c:v>Jammu and Kashmir</c:v>
                </c:pt>
                <c:pt idx="21">
                  <c:v>Himachal Pradesh</c:v>
                </c:pt>
                <c:pt idx="22">
                  <c:v>Goa</c:v>
                </c:pt>
                <c:pt idx="23">
                  <c:v>Mizoram</c:v>
                </c:pt>
                <c:pt idx="24">
                  <c:v>Puducherry</c:v>
                </c:pt>
                <c:pt idx="25">
                  <c:v>Manipur</c:v>
                </c:pt>
                <c:pt idx="26">
                  <c:v>Tripura</c:v>
                </c:pt>
                <c:pt idx="27">
                  <c:v>Meghalaya</c:v>
                </c:pt>
                <c:pt idx="28">
                  <c:v>Chandigarh</c:v>
                </c:pt>
                <c:pt idx="29">
                  <c:v>Arunachal Pradesh</c:v>
                </c:pt>
                <c:pt idx="30">
                  <c:v>Sikkim</c:v>
                </c:pt>
                <c:pt idx="31">
                  <c:v>Nagaland</c:v>
                </c:pt>
                <c:pt idx="32">
                  <c:v>Ladakh</c:v>
                </c:pt>
                <c:pt idx="33">
                  <c:v>Daman and Diu</c:v>
                </c:pt>
                <c:pt idx="34">
                  <c:v>Lakshadweep</c:v>
                </c:pt>
                <c:pt idx="35">
                  <c:v>Andaman and Nicobar</c:v>
                </c:pt>
              </c:strCache>
            </c:strRef>
          </c:cat>
          <c:val>
            <c:numRef>
              <c:f>Sheet3!$C$45:$C$81</c:f>
              <c:numCache>
                <c:formatCode>General</c:formatCode>
                <c:ptCount val="36"/>
                <c:pt idx="0">
                  <c:v>6466913</c:v>
                </c:pt>
                <c:pt idx="1">
                  <c:v>4950281</c:v>
                </c:pt>
                <c:pt idx="2">
                  <c:v>2945415</c:v>
                </c:pt>
                <c:pt idx="3">
                  <c:v>2668001</c:v>
                </c:pt>
                <c:pt idx="4">
                  <c:v>2052230</c:v>
                </c:pt>
                <c:pt idx="5">
                  <c:v>1687262</c:v>
                </c:pt>
                <c:pt idx="6">
                  <c:v>1575980</c:v>
                </c:pt>
                <c:pt idx="7">
                  <c:v>1414934</c:v>
                </c:pt>
                <c:pt idx="8">
                  <c:v>1034300</c:v>
                </c:pt>
                <c:pt idx="9">
                  <c:v>992508</c:v>
                </c:pt>
                <c:pt idx="10">
                  <c:v>945478</c:v>
                </c:pt>
                <c:pt idx="11">
                  <c:v>816608</c:v>
                </c:pt>
                <c:pt idx="12">
                  <c:v>782357</c:v>
                </c:pt>
                <c:pt idx="13">
                  <c:v>761230</c:v>
                </c:pt>
                <c:pt idx="14">
                  <c:v>716462</c:v>
                </c:pt>
                <c:pt idx="15">
                  <c:v>665755</c:v>
                </c:pt>
                <c:pt idx="16">
                  <c:v>604465</c:v>
                </c:pt>
                <c:pt idx="17">
                  <c:v>585889</c:v>
                </c:pt>
                <c:pt idx="18">
                  <c:v>343713</c:v>
                </c:pt>
                <c:pt idx="19">
                  <c:v>336453</c:v>
                </c:pt>
                <c:pt idx="20">
                  <c:v>328108</c:v>
                </c:pt>
                <c:pt idx="21">
                  <c:v>220800</c:v>
                </c:pt>
                <c:pt idx="22">
                  <c:v>174830</c:v>
                </c:pt>
                <c:pt idx="23">
                  <c:v>122494</c:v>
                </c:pt>
                <c:pt idx="24">
                  <c:v>126263</c:v>
                </c:pt>
                <c:pt idx="25">
                  <c:v>121687</c:v>
                </c:pt>
                <c:pt idx="26">
                  <c:v>83732</c:v>
                </c:pt>
                <c:pt idx="27">
                  <c:v>82274</c:v>
                </c:pt>
                <c:pt idx="28">
                  <c:v>64536</c:v>
                </c:pt>
                <c:pt idx="29">
                  <c:v>54894</c:v>
                </c:pt>
                <c:pt idx="30">
                  <c:v>31575</c:v>
                </c:pt>
                <c:pt idx="31">
                  <c:v>31123</c:v>
                </c:pt>
                <c:pt idx="32">
                  <c:v>20783</c:v>
                </c:pt>
                <c:pt idx="33">
                  <c:v>10678</c:v>
                </c:pt>
                <c:pt idx="34">
                  <c:v>10314</c:v>
                </c:pt>
                <c:pt idx="35">
                  <c:v>7534</c:v>
                </c:pt>
              </c:numCache>
            </c:numRef>
          </c:val>
          <c:extLst>
            <c:ext xmlns:c16="http://schemas.microsoft.com/office/drawing/2014/chart" uri="{C3380CC4-5D6E-409C-BE32-E72D297353CC}">
              <c16:uniqueId val="{00000001-43B9-4E4F-A293-41DEC3D8468B}"/>
            </c:ext>
          </c:extLst>
        </c:ser>
        <c:dLbls>
          <c:showLegendKey val="0"/>
          <c:showVal val="0"/>
          <c:showCatName val="0"/>
          <c:showSerName val="0"/>
          <c:showPercent val="0"/>
          <c:showBubbleSize val="0"/>
        </c:dLbls>
        <c:gapWidth val="219"/>
        <c:overlap val="-27"/>
        <c:axId val="1015894800"/>
        <c:axId val="1015893360"/>
      </c:barChart>
      <c:catAx>
        <c:axId val="101589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93360"/>
        <c:crosses val="autoZero"/>
        <c:auto val="1"/>
        <c:lblAlgn val="ctr"/>
        <c:lblOffset val="100"/>
        <c:noMultiLvlLbl val="0"/>
      </c:catAx>
      <c:valAx>
        <c:axId val="101589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94800"/>
        <c:crosses val="autoZero"/>
        <c:crossBetween val="between"/>
      </c:valAx>
      <c:spPr>
        <a:noFill/>
        <a:ln>
          <a:noFill/>
        </a:ln>
        <a:effectLst/>
      </c:spPr>
    </c:plotArea>
    <c:legend>
      <c:legendPos val="r"/>
      <c:layout>
        <c:manualLayout>
          <c:xMode val="edge"/>
          <c:yMode val="edge"/>
          <c:x val="0.17649176179532577"/>
          <c:y val="5.6133712452610125E-2"/>
          <c:w val="0.56832482512652438"/>
          <c:h val="7.7547389909594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[DASHBOARD_CREATION.xlsx]Sheet3!PivotTable13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lgerian" panose="04020705040A02060702" pitchFamily="82" charset="0"/>
              </a:rPr>
              <a:t>DEATH</a:t>
            </a:r>
            <a:r>
              <a:rPr lang="en-US" b="1" baseline="0">
                <a:latin typeface="Algerian" panose="04020705040A02060702" pitchFamily="82" charset="0"/>
              </a:rPr>
              <a:t> RATE</a:t>
            </a:r>
            <a:endParaRPr lang="en-US" b="1">
              <a:latin typeface="Algerian" panose="04020705040A02060702" pitchFamily="82" charset="0"/>
            </a:endParaRPr>
          </a:p>
        </c:rich>
      </c:tx>
      <c:layout>
        <c:manualLayout>
          <c:xMode val="edge"/>
          <c:yMode val="edge"/>
          <c:x val="0.65881755165219735"/>
          <c:y val="0.184738955823293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14612916975122"/>
          <c:y val="3.8108778069407989E-2"/>
          <c:w val="0.70971711869349663"/>
          <c:h val="0.85449183435403908"/>
        </c:manualLayout>
      </c:layout>
      <c:barChart>
        <c:barDir val="bar"/>
        <c:grouping val="clustered"/>
        <c:varyColors val="0"/>
        <c:ser>
          <c:idx val="0"/>
          <c:order val="0"/>
          <c:tx>
            <c:strRef>
              <c:f>Sheet3!$I$16</c:f>
              <c:strCache>
                <c:ptCount val="1"/>
                <c:pt idx="0">
                  <c:v>Total</c:v>
                </c:pt>
              </c:strCache>
            </c:strRef>
          </c:tx>
          <c:spPr>
            <a:solidFill>
              <a:schemeClr val="accent1"/>
            </a:solidFill>
            <a:ln>
              <a:noFill/>
            </a:ln>
            <a:effectLst/>
          </c:spPr>
          <c:invertIfNegative val="0"/>
          <c:cat>
            <c:strRef>
              <c:f>Sheet3!$H$17:$H$53</c:f>
              <c:strCache>
                <c:ptCount val="36"/>
                <c:pt idx="0">
                  <c:v>Punjab</c:v>
                </c:pt>
                <c:pt idx="1">
                  <c:v>Nagaland</c:v>
                </c:pt>
                <c:pt idx="2">
                  <c:v>Uttarakhand</c:v>
                </c:pt>
                <c:pt idx="3">
                  <c:v>Maharashtra</c:v>
                </c:pt>
                <c:pt idx="4">
                  <c:v>Goa</c:v>
                </c:pt>
                <c:pt idx="5">
                  <c:v>Meghalaya</c:v>
                </c:pt>
                <c:pt idx="6">
                  <c:v>Delhi</c:v>
                </c:pt>
                <c:pt idx="7">
                  <c:v>Himachal Pradesh</c:v>
                </c:pt>
                <c:pt idx="8">
                  <c:v>Andaman and Nicobar</c:v>
                </c:pt>
                <c:pt idx="9">
                  <c:v>Manipur</c:v>
                </c:pt>
                <c:pt idx="10">
                  <c:v>Jharkhand</c:v>
                </c:pt>
                <c:pt idx="11">
                  <c:v>Puducherry</c:v>
                </c:pt>
                <c:pt idx="12">
                  <c:v>Chhattisgarh</c:v>
                </c:pt>
                <c:pt idx="13">
                  <c:v>Tamil Nadu</c:v>
                </c:pt>
                <c:pt idx="14">
                  <c:v>Uttar Pradesh</c:v>
                </c:pt>
                <c:pt idx="15">
                  <c:v>Jammu and Kashmir</c:v>
                </c:pt>
                <c:pt idx="16">
                  <c:v>Madhya Pradesh</c:v>
                </c:pt>
                <c:pt idx="17">
                  <c:v>Bihar</c:v>
                </c:pt>
                <c:pt idx="18">
                  <c:v>Haryana</c:v>
                </c:pt>
                <c:pt idx="19">
                  <c:v>Karnataka</c:v>
                </c:pt>
                <c:pt idx="20">
                  <c:v>Chandigarh</c:v>
                </c:pt>
                <c:pt idx="21">
                  <c:v>Sikkim</c:v>
                </c:pt>
                <c:pt idx="22">
                  <c:v>Gujarat</c:v>
                </c:pt>
                <c:pt idx="23">
                  <c:v>West Bengal</c:v>
                </c:pt>
                <c:pt idx="24">
                  <c:v>Ladakh</c:v>
                </c:pt>
                <c:pt idx="25">
                  <c:v>Assam</c:v>
                </c:pt>
                <c:pt idx="26">
                  <c:v>Tripura</c:v>
                </c:pt>
                <c:pt idx="27">
                  <c:v>Rajasthan</c:v>
                </c:pt>
                <c:pt idx="28">
                  <c:v>Odisha</c:v>
                </c:pt>
                <c:pt idx="29">
                  <c:v>Kerala</c:v>
                </c:pt>
                <c:pt idx="30">
                  <c:v>Andhra Pradesh</c:v>
                </c:pt>
                <c:pt idx="31">
                  <c:v>Telengana</c:v>
                </c:pt>
                <c:pt idx="32">
                  <c:v>Arunachal Pradesh</c:v>
                </c:pt>
                <c:pt idx="33">
                  <c:v>Lakshadweep</c:v>
                </c:pt>
                <c:pt idx="34">
                  <c:v>Mizoram</c:v>
                </c:pt>
                <c:pt idx="35">
                  <c:v>Daman and Diu</c:v>
                </c:pt>
              </c:strCache>
            </c:strRef>
          </c:cat>
          <c:val>
            <c:numRef>
              <c:f>Sheet3!$I$17:$I$53</c:f>
              <c:numCache>
                <c:formatCode>General</c:formatCode>
                <c:ptCount val="36"/>
                <c:pt idx="0">
                  <c:v>2.75</c:v>
                </c:pt>
                <c:pt idx="1">
                  <c:v>2.16</c:v>
                </c:pt>
                <c:pt idx="2">
                  <c:v>2.15</c:v>
                </c:pt>
                <c:pt idx="3">
                  <c:v>2.12</c:v>
                </c:pt>
                <c:pt idx="4">
                  <c:v>1.89</c:v>
                </c:pt>
                <c:pt idx="5">
                  <c:v>1.74</c:v>
                </c:pt>
                <c:pt idx="6">
                  <c:v>1.74</c:v>
                </c:pt>
                <c:pt idx="7">
                  <c:v>1.69</c:v>
                </c:pt>
                <c:pt idx="8">
                  <c:v>1.68</c:v>
                </c:pt>
                <c:pt idx="9">
                  <c:v>1.56</c:v>
                </c:pt>
                <c:pt idx="10">
                  <c:v>1.47</c:v>
                </c:pt>
                <c:pt idx="11">
                  <c:v>1.45</c:v>
                </c:pt>
                <c:pt idx="12">
                  <c:v>1.35</c:v>
                </c:pt>
                <c:pt idx="13">
                  <c:v>1.34</c:v>
                </c:pt>
                <c:pt idx="14">
                  <c:v>1.34</c:v>
                </c:pt>
                <c:pt idx="15">
                  <c:v>1.33</c:v>
                </c:pt>
                <c:pt idx="16">
                  <c:v>1.33</c:v>
                </c:pt>
                <c:pt idx="17">
                  <c:v>1.33</c:v>
                </c:pt>
                <c:pt idx="18">
                  <c:v>1.3</c:v>
                </c:pt>
                <c:pt idx="19">
                  <c:v>1.27</c:v>
                </c:pt>
                <c:pt idx="20">
                  <c:v>1.25</c:v>
                </c:pt>
                <c:pt idx="21">
                  <c:v>1.25</c:v>
                </c:pt>
                <c:pt idx="22">
                  <c:v>1.22</c:v>
                </c:pt>
                <c:pt idx="23">
                  <c:v>1.2</c:v>
                </c:pt>
                <c:pt idx="24">
                  <c:v>1</c:v>
                </c:pt>
                <c:pt idx="25">
                  <c:v>0.99</c:v>
                </c:pt>
                <c:pt idx="26">
                  <c:v>0.96</c:v>
                </c:pt>
                <c:pt idx="27">
                  <c:v>0.94</c:v>
                </c:pt>
                <c:pt idx="28">
                  <c:v>0.8</c:v>
                </c:pt>
                <c:pt idx="29">
                  <c:v>0.71</c:v>
                </c:pt>
                <c:pt idx="30">
                  <c:v>0.7</c:v>
                </c:pt>
                <c:pt idx="31">
                  <c:v>0.59</c:v>
                </c:pt>
                <c:pt idx="32">
                  <c:v>0.51</c:v>
                </c:pt>
                <c:pt idx="33">
                  <c:v>0.49</c:v>
                </c:pt>
                <c:pt idx="34">
                  <c:v>0.36</c:v>
                </c:pt>
                <c:pt idx="35">
                  <c:v>0.04</c:v>
                </c:pt>
              </c:numCache>
            </c:numRef>
          </c:val>
          <c:extLst>
            <c:ext xmlns:c16="http://schemas.microsoft.com/office/drawing/2014/chart" uri="{C3380CC4-5D6E-409C-BE32-E72D297353CC}">
              <c16:uniqueId val="{00000000-78D9-4BEC-99C1-D28D66E99EA6}"/>
            </c:ext>
          </c:extLst>
        </c:ser>
        <c:dLbls>
          <c:showLegendKey val="0"/>
          <c:showVal val="0"/>
          <c:showCatName val="0"/>
          <c:showSerName val="0"/>
          <c:showPercent val="0"/>
          <c:showBubbleSize val="0"/>
        </c:dLbls>
        <c:gapWidth val="182"/>
        <c:axId val="730373823"/>
        <c:axId val="730381023"/>
      </c:barChart>
      <c:catAx>
        <c:axId val="73037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381023"/>
        <c:crosses val="autoZero"/>
        <c:auto val="1"/>
        <c:lblAlgn val="ctr"/>
        <c:lblOffset val="100"/>
        <c:noMultiLvlLbl val="0"/>
      </c:catAx>
      <c:valAx>
        <c:axId val="730381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37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[DASHBOARD_CREATION.xlsx]Sheet3!PivotTable14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lgerian" panose="04020705040A02060702" pitchFamily="82" charset="0"/>
              </a:rPr>
              <a:t>RECOVERED</a:t>
            </a:r>
            <a:r>
              <a:rPr lang="en-US" b="1" baseline="0">
                <a:latin typeface="Algerian" panose="04020705040A02060702" pitchFamily="82" charset="0"/>
              </a:rPr>
              <a:t> RATE</a:t>
            </a:r>
            <a:endParaRPr lang="en-US" b="1">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Sheet3!$M$29</c:f>
              <c:strCache>
                <c:ptCount val="1"/>
                <c:pt idx="0">
                  <c:v>Total</c:v>
                </c:pt>
              </c:strCache>
            </c:strRef>
          </c:tx>
          <c:spPr>
            <a:solidFill>
              <a:schemeClr val="accent1"/>
            </a:solidFill>
            <a:ln>
              <a:noFill/>
            </a:ln>
            <a:effectLst/>
          </c:spPr>
          <c:invertIfNegative val="0"/>
          <c:cat>
            <c:strRef>
              <c:f>Sheet3!$L$30:$L$66</c:f>
              <c:strCache>
                <c:ptCount val="36"/>
                <c:pt idx="0">
                  <c:v>Daman and Diu</c:v>
                </c:pt>
                <c:pt idx="1">
                  <c:v>Lakshadweep</c:v>
                </c:pt>
                <c:pt idx="2">
                  <c:v>Arunachal Pradesh</c:v>
                </c:pt>
                <c:pt idx="3">
                  <c:v>Andhra Pradesh</c:v>
                </c:pt>
                <c:pt idx="4">
                  <c:v>Rajasthan</c:v>
                </c:pt>
                <c:pt idx="5">
                  <c:v>Odisha</c:v>
                </c:pt>
                <c:pt idx="6">
                  <c:v>Tripura</c:v>
                </c:pt>
                <c:pt idx="7">
                  <c:v>Telengana</c:v>
                </c:pt>
                <c:pt idx="8">
                  <c:v>Gujarat</c:v>
                </c:pt>
                <c:pt idx="9">
                  <c:v>Chandigarh</c:v>
                </c:pt>
                <c:pt idx="10">
                  <c:v>Haryana</c:v>
                </c:pt>
                <c:pt idx="11">
                  <c:v>Bihar</c:v>
                </c:pt>
                <c:pt idx="12">
                  <c:v>Uttar Pradesh</c:v>
                </c:pt>
                <c:pt idx="13">
                  <c:v>Madhya Pradesh</c:v>
                </c:pt>
                <c:pt idx="14">
                  <c:v>Chhattisgarh</c:v>
                </c:pt>
                <c:pt idx="15">
                  <c:v>Jharkhand</c:v>
                </c:pt>
                <c:pt idx="16">
                  <c:v>Assam</c:v>
                </c:pt>
                <c:pt idx="17">
                  <c:v>Karnataka</c:v>
                </c:pt>
                <c:pt idx="18">
                  <c:v>Sikkim</c:v>
                </c:pt>
                <c:pt idx="19">
                  <c:v>Puducherry</c:v>
                </c:pt>
                <c:pt idx="20">
                  <c:v>Tamil Nadu</c:v>
                </c:pt>
                <c:pt idx="21">
                  <c:v>West Bengal</c:v>
                </c:pt>
                <c:pt idx="22">
                  <c:v>Ladakh</c:v>
                </c:pt>
                <c:pt idx="23">
                  <c:v>Delhi</c:v>
                </c:pt>
                <c:pt idx="24">
                  <c:v>Jammu and Kashmir</c:v>
                </c:pt>
                <c:pt idx="25">
                  <c:v>Andaman and Nicobar</c:v>
                </c:pt>
                <c:pt idx="26">
                  <c:v>Goa</c:v>
                </c:pt>
                <c:pt idx="27">
                  <c:v>Meghalaya</c:v>
                </c:pt>
                <c:pt idx="28">
                  <c:v>Kerala</c:v>
                </c:pt>
                <c:pt idx="29">
                  <c:v>Himachal Pradesh</c:v>
                </c:pt>
                <c:pt idx="30">
                  <c:v>Uttarakhand</c:v>
                </c:pt>
                <c:pt idx="31">
                  <c:v>Manipur</c:v>
                </c:pt>
                <c:pt idx="32">
                  <c:v>Maharashtra</c:v>
                </c:pt>
                <c:pt idx="33">
                  <c:v>Nagaland</c:v>
                </c:pt>
                <c:pt idx="34">
                  <c:v>Punjab</c:v>
                </c:pt>
                <c:pt idx="35">
                  <c:v>Mizoram</c:v>
                </c:pt>
              </c:strCache>
            </c:strRef>
          </c:cat>
          <c:val>
            <c:numRef>
              <c:f>Sheet3!$M$30:$M$66</c:f>
              <c:numCache>
                <c:formatCode>General</c:formatCode>
                <c:ptCount val="36"/>
                <c:pt idx="0">
                  <c:v>99.96</c:v>
                </c:pt>
                <c:pt idx="1">
                  <c:v>99.51</c:v>
                </c:pt>
                <c:pt idx="2">
                  <c:v>99.42</c:v>
                </c:pt>
                <c:pt idx="3">
                  <c:v>99.15</c:v>
                </c:pt>
                <c:pt idx="4">
                  <c:v>99.05</c:v>
                </c:pt>
                <c:pt idx="5">
                  <c:v>98.96</c:v>
                </c:pt>
                <c:pt idx="6">
                  <c:v>98.9</c:v>
                </c:pt>
                <c:pt idx="7">
                  <c:v>98.85</c:v>
                </c:pt>
                <c:pt idx="8">
                  <c:v>98.75</c:v>
                </c:pt>
                <c:pt idx="9">
                  <c:v>98.71</c:v>
                </c:pt>
                <c:pt idx="10">
                  <c:v>98.68</c:v>
                </c:pt>
                <c:pt idx="11">
                  <c:v>98.67</c:v>
                </c:pt>
                <c:pt idx="12">
                  <c:v>98.66</c:v>
                </c:pt>
                <c:pt idx="13">
                  <c:v>98.66</c:v>
                </c:pt>
                <c:pt idx="14">
                  <c:v>98.63</c:v>
                </c:pt>
                <c:pt idx="15">
                  <c:v>98.49</c:v>
                </c:pt>
                <c:pt idx="16">
                  <c:v>98.48</c:v>
                </c:pt>
                <c:pt idx="17">
                  <c:v>98.46</c:v>
                </c:pt>
                <c:pt idx="18">
                  <c:v>98.38</c:v>
                </c:pt>
                <c:pt idx="19">
                  <c:v>98.33</c:v>
                </c:pt>
                <c:pt idx="20">
                  <c:v>98.3</c:v>
                </c:pt>
                <c:pt idx="21">
                  <c:v>98.29</c:v>
                </c:pt>
                <c:pt idx="22">
                  <c:v>98.27</c:v>
                </c:pt>
                <c:pt idx="23">
                  <c:v>98.23</c:v>
                </c:pt>
                <c:pt idx="24">
                  <c:v>98.23</c:v>
                </c:pt>
                <c:pt idx="25">
                  <c:v>98.23</c:v>
                </c:pt>
                <c:pt idx="26">
                  <c:v>97.96</c:v>
                </c:pt>
                <c:pt idx="27">
                  <c:v>97.93</c:v>
                </c:pt>
                <c:pt idx="28">
                  <c:v>97.92</c:v>
                </c:pt>
                <c:pt idx="29">
                  <c:v>97.82</c:v>
                </c:pt>
                <c:pt idx="30">
                  <c:v>97.8</c:v>
                </c:pt>
                <c:pt idx="31">
                  <c:v>97.79</c:v>
                </c:pt>
                <c:pt idx="32">
                  <c:v>97.64</c:v>
                </c:pt>
                <c:pt idx="33">
                  <c:v>97.33</c:v>
                </c:pt>
                <c:pt idx="34">
                  <c:v>97.2</c:v>
                </c:pt>
                <c:pt idx="35">
                  <c:v>95.25</c:v>
                </c:pt>
              </c:numCache>
            </c:numRef>
          </c:val>
          <c:extLst>
            <c:ext xmlns:c16="http://schemas.microsoft.com/office/drawing/2014/chart" uri="{C3380CC4-5D6E-409C-BE32-E72D297353CC}">
              <c16:uniqueId val="{00000000-070E-4B1C-B676-E13EA36F3F9F}"/>
            </c:ext>
          </c:extLst>
        </c:ser>
        <c:dLbls>
          <c:showLegendKey val="0"/>
          <c:showVal val="0"/>
          <c:showCatName val="0"/>
          <c:showSerName val="0"/>
          <c:showPercent val="0"/>
          <c:showBubbleSize val="0"/>
        </c:dLbls>
        <c:gapWidth val="182"/>
        <c:axId val="817483839"/>
        <c:axId val="817489599"/>
      </c:barChart>
      <c:catAx>
        <c:axId val="817483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89599"/>
        <c:crosses val="autoZero"/>
        <c:auto val="1"/>
        <c:lblAlgn val="ctr"/>
        <c:lblOffset val="100"/>
        <c:noMultiLvlLbl val="0"/>
      </c:catAx>
      <c:valAx>
        <c:axId val="817489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8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[DASHBOARD_CREATION.xlsx]Sheet3!PivotTable15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34387504840584"/>
          <c:y val="4.5758535726856737E-2"/>
          <c:w val="0.84164407727722557"/>
          <c:h val="0.75561754622277288"/>
        </c:manualLayout>
      </c:layout>
      <c:barChart>
        <c:barDir val="col"/>
        <c:grouping val="clustered"/>
        <c:varyColors val="0"/>
        <c:ser>
          <c:idx val="0"/>
          <c:order val="0"/>
          <c:tx>
            <c:strRef>
              <c:f>Sheet3!$Z$11</c:f>
              <c:strCache>
                <c:ptCount val="1"/>
                <c:pt idx="0">
                  <c:v>Death</c:v>
                </c:pt>
              </c:strCache>
            </c:strRef>
          </c:tx>
          <c:spPr>
            <a:solidFill>
              <a:schemeClr val="accent1"/>
            </a:solidFill>
            <a:ln>
              <a:noFill/>
            </a:ln>
            <a:effectLst/>
          </c:spPr>
          <c:invertIfNegative val="0"/>
          <c:cat>
            <c:strRef>
              <c:f>Sheet3!$Y$12:$Y$48</c:f>
              <c:strCache>
                <c:ptCount val="36"/>
                <c:pt idx="0">
                  <c:v>Maharashtra</c:v>
                </c:pt>
                <c:pt idx="1">
                  <c:v>Karnataka</c:v>
                </c:pt>
                <c:pt idx="2">
                  <c:v>Tamil Nadu</c:v>
                </c:pt>
                <c:pt idx="3">
                  <c:v>Kerala</c:v>
                </c:pt>
                <c:pt idx="4">
                  <c:v>Delhi</c:v>
                </c:pt>
                <c:pt idx="5">
                  <c:v>Uttar Pradesh</c:v>
                </c:pt>
                <c:pt idx="6">
                  <c:v>West Bengal</c:v>
                </c:pt>
                <c:pt idx="7">
                  <c:v>Punjab</c:v>
                </c:pt>
                <c:pt idx="8">
                  <c:v>Andhra Pradesh</c:v>
                </c:pt>
                <c:pt idx="9">
                  <c:v>Chhattisgarh</c:v>
                </c:pt>
                <c:pt idx="10">
                  <c:v>Madhya Pradesh</c:v>
                </c:pt>
                <c:pt idx="11">
                  <c:v>Gujarat</c:v>
                </c:pt>
                <c:pt idx="12">
                  <c:v>Haryana</c:v>
                </c:pt>
                <c:pt idx="13">
                  <c:v>Bihar</c:v>
                </c:pt>
                <c:pt idx="14">
                  <c:v>Rajasthan</c:v>
                </c:pt>
                <c:pt idx="15">
                  <c:v>Odisha</c:v>
                </c:pt>
                <c:pt idx="16">
                  <c:v>Uttarakhand</c:v>
                </c:pt>
                <c:pt idx="17">
                  <c:v>Assam</c:v>
                </c:pt>
                <c:pt idx="18">
                  <c:v>Jharkhand</c:v>
                </c:pt>
                <c:pt idx="19">
                  <c:v>Jammu and Kashmir</c:v>
                </c:pt>
                <c:pt idx="20">
                  <c:v>Telengana</c:v>
                </c:pt>
                <c:pt idx="21">
                  <c:v>Himachal Pradesh</c:v>
                </c:pt>
                <c:pt idx="22">
                  <c:v>Goa</c:v>
                </c:pt>
                <c:pt idx="23">
                  <c:v>Manipur</c:v>
                </c:pt>
                <c:pt idx="24">
                  <c:v>Puducherry</c:v>
                </c:pt>
                <c:pt idx="25">
                  <c:v>Meghalaya</c:v>
                </c:pt>
                <c:pt idx="26">
                  <c:v>Chandigarh</c:v>
                </c:pt>
                <c:pt idx="27">
                  <c:v>Tripura</c:v>
                </c:pt>
                <c:pt idx="28">
                  <c:v>Nagaland</c:v>
                </c:pt>
                <c:pt idx="29">
                  <c:v>Mizoram</c:v>
                </c:pt>
                <c:pt idx="30">
                  <c:v>Sikkim</c:v>
                </c:pt>
                <c:pt idx="31">
                  <c:v>Arunachal Pradesh</c:v>
                </c:pt>
                <c:pt idx="32">
                  <c:v>Ladakh</c:v>
                </c:pt>
                <c:pt idx="33">
                  <c:v>Andaman and Nicobar</c:v>
                </c:pt>
                <c:pt idx="34">
                  <c:v>Lakshadweep</c:v>
                </c:pt>
                <c:pt idx="35">
                  <c:v>Daman and Diu</c:v>
                </c:pt>
              </c:strCache>
            </c:strRef>
          </c:cat>
          <c:val>
            <c:numRef>
              <c:f>Sheet3!$Z$12:$Z$48</c:f>
              <c:numCache>
                <c:formatCode>General</c:formatCode>
                <c:ptCount val="36"/>
                <c:pt idx="0">
                  <c:v>140565</c:v>
                </c:pt>
                <c:pt idx="1">
                  <c:v>38143</c:v>
                </c:pt>
                <c:pt idx="2">
                  <c:v>36273</c:v>
                </c:pt>
                <c:pt idx="3">
                  <c:v>35685</c:v>
                </c:pt>
                <c:pt idx="4">
                  <c:v>25093</c:v>
                </c:pt>
                <c:pt idx="5">
                  <c:v>22909</c:v>
                </c:pt>
                <c:pt idx="6">
                  <c:v>19307</c:v>
                </c:pt>
                <c:pt idx="7">
                  <c:v>16571</c:v>
                </c:pt>
                <c:pt idx="8">
                  <c:v>14412</c:v>
                </c:pt>
                <c:pt idx="9">
                  <c:v>13588</c:v>
                </c:pt>
                <c:pt idx="10">
                  <c:v>10524</c:v>
                </c:pt>
                <c:pt idx="11">
                  <c:v>10090</c:v>
                </c:pt>
                <c:pt idx="12">
                  <c:v>10050</c:v>
                </c:pt>
                <c:pt idx="13">
                  <c:v>9662</c:v>
                </c:pt>
                <c:pt idx="14">
                  <c:v>8954</c:v>
                </c:pt>
                <c:pt idx="15">
                  <c:v>8375</c:v>
                </c:pt>
                <c:pt idx="16">
                  <c:v>7403</c:v>
                </c:pt>
                <c:pt idx="17">
                  <c:v>6047</c:v>
                </c:pt>
                <c:pt idx="18">
                  <c:v>5138</c:v>
                </c:pt>
                <c:pt idx="19">
                  <c:v>4448</c:v>
                </c:pt>
                <c:pt idx="20">
                  <c:v>3973</c:v>
                </c:pt>
                <c:pt idx="21">
                  <c:v>3812</c:v>
                </c:pt>
                <c:pt idx="22">
                  <c:v>3374</c:v>
                </c:pt>
                <c:pt idx="23">
                  <c:v>1946</c:v>
                </c:pt>
                <c:pt idx="24">
                  <c:v>1863</c:v>
                </c:pt>
                <c:pt idx="25">
                  <c:v>1462</c:v>
                </c:pt>
                <c:pt idx="26">
                  <c:v>820</c:v>
                </c:pt>
                <c:pt idx="27">
                  <c:v>817</c:v>
                </c:pt>
                <c:pt idx="28">
                  <c:v>692</c:v>
                </c:pt>
                <c:pt idx="29">
                  <c:v>459</c:v>
                </c:pt>
                <c:pt idx="30">
                  <c:v>400</c:v>
                </c:pt>
                <c:pt idx="31">
                  <c:v>280</c:v>
                </c:pt>
                <c:pt idx="32">
                  <c:v>211</c:v>
                </c:pt>
                <c:pt idx="33">
                  <c:v>129</c:v>
                </c:pt>
                <c:pt idx="34">
                  <c:v>51</c:v>
                </c:pt>
                <c:pt idx="35">
                  <c:v>4</c:v>
                </c:pt>
              </c:numCache>
            </c:numRef>
          </c:val>
          <c:extLst>
            <c:ext xmlns:c16="http://schemas.microsoft.com/office/drawing/2014/chart" uri="{C3380CC4-5D6E-409C-BE32-E72D297353CC}">
              <c16:uniqueId val="{00000000-15AF-41DC-8605-C44DF9DF99CB}"/>
            </c:ext>
          </c:extLst>
        </c:ser>
        <c:ser>
          <c:idx val="1"/>
          <c:order val="1"/>
          <c:tx>
            <c:strRef>
              <c:f>Sheet3!$AA$11</c:f>
              <c:strCache>
                <c:ptCount val="1"/>
                <c:pt idx="0">
                  <c:v>Actives</c:v>
                </c:pt>
              </c:strCache>
            </c:strRef>
          </c:tx>
          <c:spPr>
            <a:solidFill>
              <a:schemeClr val="accent2"/>
            </a:solidFill>
            <a:ln>
              <a:noFill/>
            </a:ln>
            <a:effectLst/>
          </c:spPr>
          <c:invertIfNegative val="0"/>
          <c:cat>
            <c:strRef>
              <c:f>Sheet3!$Y$12:$Y$48</c:f>
              <c:strCache>
                <c:ptCount val="36"/>
                <c:pt idx="0">
                  <c:v>Maharashtra</c:v>
                </c:pt>
                <c:pt idx="1">
                  <c:v>Karnataka</c:v>
                </c:pt>
                <c:pt idx="2">
                  <c:v>Tamil Nadu</c:v>
                </c:pt>
                <c:pt idx="3">
                  <c:v>Kerala</c:v>
                </c:pt>
                <c:pt idx="4">
                  <c:v>Delhi</c:v>
                </c:pt>
                <c:pt idx="5">
                  <c:v>Uttar Pradesh</c:v>
                </c:pt>
                <c:pt idx="6">
                  <c:v>West Bengal</c:v>
                </c:pt>
                <c:pt idx="7">
                  <c:v>Punjab</c:v>
                </c:pt>
                <c:pt idx="8">
                  <c:v>Andhra Pradesh</c:v>
                </c:pt>
                <c:pt idx="9">
                  <c:v>Chhattisgarh</c:v>
                </c:pt>
                <c:pt idx="10">
                  <c:v>Madhya Pradesh</c:v>
                </c:pt>
                <c:pt idx="11">
                  <c:v>Gujarat</c:v>
                </c:pt>
                <c:pt idx="12">
                  <c:v>Haryana</c:v>
                </c:pt>
                <c:pt idx="13">
                  <c:v>Bihar</c:v>
                </c:pt>
                <c:pt idx="14">
                  <c:v>Rajasthan</c:v>
                </c:pt>
                <c:pt idx="15">
                  <c:v>Odisha</c:v>
                </c:pt>
                <c:pt idx="16">
                  <c:v>Uttarakhand</c:v>
                </c:pt>
                <c:pt idx="17">
                  <c:v>Assam</c:v>
                </c:pt>
                <c:pt idx="18">
                  <c:v>Jharkhand</c:v>
                </c:pt>
                <c:pt idx="19">
                  <c:v>Jammu and Kashmir</c:v>
                </c:pt>
                <c:pt idx="20">
                  <c:v>Telengana</c:v>
                </c:pt>
                <c:pt idx="21">
                  <c:v>Himachal Pradesh</c:v>
                </c:pt>
                <c:pt idx="22">
                  <c:v>Goa</c:v>
                </c:pt>
                <c:pt idx="23">
                  <c:v>Manipur</c:v>
                </c:pt>
                <c:pt idx="24">
                  <c:v>Puducherry</c:v>
                </c:pt>
                <c:pt idx="25">
                  <c:v>Meghalaya</c:v>
                </c:pt>
                <c:pt idx="26">
                  <c:v>Chandigarh</c:v>
                </c:pt>
                <c:pt idx="27">
                  <c:v>Tripura</c:v>
                </c:pt>
                <c:pt idx="28">
                  <c:v>Nagaland</c:v>
                </c:pt>
                <c:pt idx="29">
                  <c:v>Mizoram</c:v>
                </c:pt>
                <c:pt idx="30">
                  <c:v>Sikkim</c:v>
                </c:pt>
                <c:pt idx="31">
                  <c:v>Arunachal Pradesh</c:v>
                </c:pt>
                <c:pt idx="32">
                  <c:v>Ladakh</c:v>
                </c:pt>
                <c:pt idx="33">
                  <c:v>Andaman and Nicobar</c:v>
                </c:pt>
                <c:pt idx="34">
                  <c:v>Lakshadweep</c:v>
                </c:pt>
                <c:pt idx="35">
                  <c:v>Daman and Diu</c:v>
                </c:pt>
              </c:strCache>
            </c:strRef>
          </c:cat>
          <c:val>
            <c:numRef>
              <c:f>Sheet3!$AA$12:$AA$48</c:f>
              <c:numCache>
                <c:formatCode>General</c:formatCode>
                <c:ptCount val="36"/>
                <c:pt idx="0">
                  <c:v>15866</c:v>
                </c:pt>
                <c:pt idx="1">
                  <c:v>8056</c:v>
                </c:pt>
                <c:pt idx="2">
                  <c:v>9751</c:v>
                </c:pt>
                <c:pt idx="3">
                  <c:v>69258</c:v>
                </c:pt>
                <c:pt idx="4">
                  <c:v>361</c:v>
                </c:pt>
                <c:pt idx="5">
                  <c:v>90</c:v>
                </c:pt>
                <c:pt idx="6">
                  <c:v>8031</c:v>
                </c:pt>
                <c:pt idx="7">
                  <c:v>318</c:v>
                </c:pt>
                <c:pt idx="8">
                  <c:v>3128</c:v>
                </c:pt>
                <c:pt idx="9">
                  <c:v>230</c:v>
                </c:pt>
                <c:pt idx="10">
                  <c:v>75</c:v>
                </c:pt>
                <c:pt idx="11">
                  <c:v>226</c:v>
                </c:pt>
                <c:pt idx="12">
                  <c:v>140</c:v>
                </c:pt>
                <c:pt idx="13">
                  <c:v>29</c:v>
                </c:pt>
                <c:pt idx="14">
                  <c:v>71</c:v>
                </c:pt>
                <c:pt idx="15">
                  <c:v>2534</c:v>
                </c:pt>
                <c:pt idx="16">
                  <c:v>158</c:v>
                </c:pt>
                <c:pt idx="17">
                  <c:v>3272</c:v>
                </c:pt>
                <c:pt idx="18">
                  <c:v>141</c:v>
                </c:pt>
                <c:pt idx="19">
                  <c:v>1450</c:v>
                </c:pt>
                <c:pt idx="20">
                  <c:v>3741</c:v>
                </c:pt>
                <c:pt idx="21">
                  <c:v>1100</c:v>
                </c:pt>
                <c:pt idx="22">
                  <c:v>263</c:v>
                </c:pt>
                <c:pt idx="23">
                  <c:v>799</c:v>
                </c:pt>
                <c:pt idx="24">
                  <c:v>275</c:v>
                </c:pt>
                <c:pt idx="25">
                  <c:v>277</c:v>
                </c:pt>
                <c:pt idx="26">
                  <c:v>24</c:v>
                </c:pt>
                <c:pt idx="27">
                  <c:v>116</c:v>
                </c:pt>
                <c:pt idx="28">
                  <c:v>163</c:v>
                </c:pt>
                <c:pt idx="29">
                  <c:v>5651</c:v>
                </c:pt>
                <c:pt idx="30">
                  <c:v>121</c:v>
                </c:pt>
                <c:pt idx="31">
                  <c:v>42</c:v>
                </c:pt>
                <c:pt idx="32">
                  <c:v>154</c:v>
                </c:pt>
                <c:pt idx="33">
                  <c:v>7</c:v>
                </c:pt>
                <c:pt idx="34">
                  <c:v>0</c:v>
                </c:pt>
                <c:pt idx="35">
                  <c:v>0</c:v>
                </c:pt>
              </c:numCache>
            </c:numRef>
          </c:val>
          <c:extLst>
            <c:ext xmlns:c16="http://schemas.microsoft.com/office/drawing/2014/chart" uri="{C3380CC4-5D6E-409C-BE32-E72D297353CC}">
              <c16:uniqueId val="{00000001-15AF-41DC-8605-C44DF9DF99CB}"/>
            </c:ext>
          </c:extLst>
        </c:ser>
        <c:dLbls>
          <c:showLegendKey val="0"/>
          <c:showVal val="0"/>
          <c:showCatName val="0"/>
          <c:showSerName val="0"/>
          <c:showPercent val="0"/>
          <c:showBubbleSize val="0"/>
        </c:dLbls>
        <c:gapWidth val="219"/>
        <c:overlap val="-27"/>
        <c:axId val="817471359"/>
        <c:axId val="817472319"/>
      </c:barChart>
      <c:catAx>
        <c:axId val="81747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72319"/>
        <c:crosses val="autoZero"/>
        <c:auto val="1"/>
        <c:lblAlgn val="ctr"/>
        <c:lblOffset val="100"/>
        <c:noMultiLvlLbl val="0"/>
      </c:catAx>
      <c:valAx>
        <c:axId val="817472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71359"/>
        <c:crosses val="autoZero"/>
        <c:crossBetween val="between"/>
      </c:valAx>
      <c:spPr>
        <a:noFill/>
        <a:ln>
          <a:noFill/>
        </a:ln>
        <a:effectLst/>
      </c:spPr>
    </c:plotArea>
    <c:legend>
      <c:legendPos val="r"/>
      <c:layout>
        <c:manualLayout>
          <c:xMode val="edge"/>
          <c:yMode val="edge"/>
          <c:x val="0.20870129493481823"/>
          <c:y val="6.0453649735176973E-2"/>
          <c:w val="0.61935242383376121"/>
          <c:h val="6.24788321734334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[DASHBOARD_CREATION.xlsx]Sheet3!PivotTable16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lgerian" panose="04020705040A02060702" pitchFamily="82" charset="0"/>
              </a:rPr>
              <a:t>zone-wise</a:t>
            </a:r>
            <a:r>
              <a:rPr lang="en-US" b="1" baseline="0">
                <a:latin typeface="Algerian" panose="04020705040A02060702" pitchFamily="82" charset="0"/>
              </a:rPr>
              <a:t> total cases</a:t>
            </a:r>
            <a:endParaRPr lang="en-US" b="1">
              <a:latin typeface="Algerian" panose="04020705040A02060702" pitchFamily="82" charset="0"/>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Sheet3!$AJ$7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C4-4823-AD27-8D78189309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C4-4823-AD27-8D78189309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C4-4823-AD27-8D78189309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C4-4823-AD27-8D7818930904}"/>
              </c:ext>
            </c:extLst>
          </c:dPt>
          <c:cat>
            <c:strRef>
              <c:f>Sheet3!$AI$8:$AI$12</c:f>
              <c:strCache>
                <c:ptCount val="4"/>
                <c:pt idx="0">
                  <c:v>East</c:v>
                </c:pt>
                <c:pt idx="1">
                  <c:v>North</c:v>
                </c:pt>
                <c:pt idx="2">
                  <c:v>South</c:v>
                </c:pt>
                <c:pt idx="3">
                  <c:v>West</c:v>
                </c:pt>
              </c:strCache>
            </c:strRef>
          </c:cat>
          <c:val>
            <c:numRef>
              <c:f>Sheet3!$AJ$8:$AJ$12</c:f>
              <c:numCache>
                <c:formatCode>General</c:formatCode>
                <c:ptCount val="4"/>
                <c:pt idx="0">
                  <c:v>5884786</c:v>
                </c:pt>
                <c:pt idx="1">
                  <c:v>5515107</c:v>
                </c:pt>
                <c:pt idx="2">
                  <c:v>13650538</c:v>
                </c:pt>
                <c:pt idx="3">
                  <c:v>9386876</c:v>
                </c:pt>
              </c:numCache>
            </c:numRef>
          </c:val>
          <c:extLst>
            <c:ext xmlns:c16="http://schemas.microsoft.com/office/drawing/2014/chart" uri="{C3380CC4-5D6E-409C-BE32-E72D297353CC}">
              <c16:uniqueId val="{00000008-3DC4-4823-AD27-8D781893090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[DASHBOARD_CREATION.xlsx]Sheet3!PivotTable8</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39900036418896E-2"/>
          <c:y val="5.0925925925925923E-2"/>
          <c:w val="0.88927196749927795"/>
          <c:h val="0.61510608048993876"/>
        </c:manualLayout>
      </c:layout>
      <c:barChart>
        <c:barDir val="col"/>
        <c:grouping val="clustered"/>
        <c:varyColors val="0"/>
        <c:ser>
          <c:idx val="0"/>
          <c:order val="0"/>
          <c:tx>
            <c:strRef>
              <c:f>Sheet3!$B$44</c:f>
              <c:strCache>
                <c:ptCount val="1"/>
                <c:pt idx="0">
                  <c:v>Total_Cases</c:v>
                </c:pt>
              </c:strCache>
            </c:strRef>
          </c:tx>
          <c:spPr>
            <a:solidFill>
              <a:schemeClr val="accent2"/>
            </a:solidFill>
            <a:ln>
              <a:noFill/>
            </a:ln>
            <a:effectLst/>
          </c:spPr>
          <c:invertIfNegative val="0"/>
          <c:cat>
            <c:strRef>
              <c:f>Sheet3!$A$45:$A$81</c:f>
              <c:strCache>
                <c:ptCount val="36"/>
                <c:pt idx="0">
                  <c:v>Maharashtra</c:v>
                </c:pt>
                <c:pt idx="1">
                  <c:v>Kerala</c:v>
                </c:pt>
                <c:pt idx="2">
                  <c:v>Karnataka</c:v>
                </c:pt>
                <c:pt idx="3">
                  <c:v>Tamil Nadu</c:v>
                </c:pt>
                <c:pt idx="4">
                  <c:v>Andhra Pradesh</c:v>
                </c:pt>
                <c:pt idx="5">
                  <c:v>Uttar Pradesh</c:v>
                </c:pt>
                <c:pt idx="6">
                  <c:v>West Bengal</c:v>
                </c:pt>
                <c:pt idx="7">
                  <c:v>Delhi</c:v>
                </c:pt>
                <c:pt idx="8">
                  <c:v>Odisha</c:v>
                </c:pt>
                <c:pt idx="9">
                  <c:v>Chhattisgarh</c:v>
                </c:pt>
                <c:pt idx="10">
                  <c:v>Rajasthan</c:v>
                </c:pt>
                <c:pt idx="11">
                  <c:v>Gujarat</c:v>
                </c:pt>
                <c:pt idx="12">
                  <c:v>Madhya Pradesh</c:v>
                </c:pt>
                <c:pt idx="13">
                  <c:v>Haryana</c:v>
                </c:pt>
                <c:pt idx="14">
                  <c:v>Bihar</c:v>
                </c:pt>
                <c:pt idx="15">
                  <c:v>Telengana</c:v>
                </c:pt>
                <c:pt idx="16">
                  <c:v>Assam</c:v>
                </c:pt>
                <c:pt idx="17">
                  <c:v>Punjab</c:v>
                </c:pt>
                <c:pt idx="18">
                  <c:v>Jharkhand</c:v>
                </c:pt>
                <c:pt idx="19">
                  <c:v>Uttarakhand</c:v>
                </c:pt>
                <c:pt idx="20">
                  <c:v>Jammu and Kashmir</c:v>
                </c:pt>
                <c:pt idx="21">
                  <c:v>Himachal Pradesh</c:v>
                </c:pt>
                <c:pt idx="22">
                  <c:v>Goa</c:v>
                </c:pt>
                <c:pt idx="23">
                  <c:v>Mizoram</c:v>
                </c:pt>
                <c:pt idx="24">
                  <c:v>Puducherry</c:v>
                </c:pt>
                <c:pt idx="25">
                  <c:v>Manipur</c:v>
                </c:pt>
                <c:pt idx="26">
                  <c:v>Tripura</c:v>
                </c:pt>
                <c:pt idx="27">
                  <c:v>Meghalaya</c:v>
                </c:pt>
                <c:pt idx="28">
                  <c:v>Chandigarh</c:v>
                </c:pt>
                <c:pt idx="29">
                  <c:v>Arunachal Pradesh</c:v>
                </c:pt>
                <c:pt idx="30">
                  <c:v>Sikkim</c:v>
                </c:pt>
                <c:pt idx="31">
                  <c:v>Nagaland</c:v>
                </c:pt>
                <c:pt idx="32">
                  <c:v>Ladakh</c:v>
                </c:pt>
                <c:pt idx="33">
                  <c:v>Daman and Diu</c:v>
                </c:pt>
                <c:pt idx="34">
                  <c:v>Lakshadweep</c:v>
                </c:pt>
                <c:pt idx="35">
                  <c:v>Andaman and Nicobar</c:v>
                </c:pt>
              </c:strCache>
            </c:strRef>
          </c:cat>
          <c:val>
            <c:numRef>
              <c:f>Sheet3!$B$45:$B$81</c:f>
              <c:numCache>
                <c:formatCode>General</c:formatCode>
                <c:ptCount val="36"/>
                <c:pt idx="0">
                  <c:v>6623344</c:v>
                </c:pt>
                <c:pt idx="1">
                  <c:v>5055224</c:v>
                </c:pt>
                <c:pt idx="2">
                  <c:v>2991614</c:v>
                </c:pt>
                <c:pt idx="3">
                  <c:v>2714025</c:v>
                </c:pt>
                <c:pt idx="4">
                  <c:v>2069770</c:v>
                </c:pt>
                <c:pt idx="5">
                  <c:v>1710261</c:v>
                </c:pt>
                <c:pt idx="6">
                  <c:v>1603318</c:v>
                </c:pt>
                <c:pt idx="7">
                  <c:v>1440388</c:v>
                </c:pt>
                <c:pt idx="8">
                  <c:v>1045209</c:v>
                </c:pt>
                <c:pt idx="9">
                  <c:v>1006326</c:v>
                </c:pt>
                <c:pt idx="10">
                  <c:v>954503</c:v>
                </c:pt>
                <c:pt idx="11">
                  <c:v>826924</c:v>
                </c:pt>
                <c:pt idx="12">
                  <c:v>792956</c:v>
                </c:pt>
                <c:pt idx="13">
                  <c:v>771420</c:v>
                </c:pt>
                <c:pt idx="14">
                  <c:v>726153</c:v>
                </c:pt>
                <c:pt idx="15">
                  <c:v>673469</c:v>
                </c:pt>
                <c:pt idx="16">
                  <c:v>613784</c:v>
                </c:pt>
                <c:pt idx="17">
                  <c:v>602778</c:v>
                </c:pt>
                <c:pt idx="18">
                  <c:v>348992</c:v>
                </c:pt>
                <c:pt idx="19">
                  <c:v>344014</c:v>
                </c:pt>
                <c:pt idx="20">
                  <c:v>334006</c:v>
                </c:pt>
                <c:pt idx="21">
                  <c:v>225712</c:v>
                </c:pt>
                <c:pt idx="22">
                  <c:v>178467</c:v>
                </c:pt>
                <c:pt idx="23">
                  <c:v>128604</c:v>
                </c:pt>
                <c:pt idx="24">
                  <c:v>128401</c:v>
                </c:pt>
                <c:pt idx="25">
                  <c:v>124432</c:v>
                </c:pt>
                <c:pt idx="26">
                  <c:v>84665</c:v>
                </c:pt>
                <c:pt idx="27">
                  <c:v>84013</c:v>
                </c:pt>
                <c:pt idx="28">
                  <c:v>65380</c:v>
                </c:pt>
                <c:pt idx="29">
                  <c:v>55216</c:v>
                </c:pt>
                <c:pt idx="30">
                  <c:v>32096</c:v>
                </c:pt>
                <c:pt idx="31">
                  <c:v>31978</c:v>
                </c:pt>
                <c:pt idx="32">
                  <c:v>21148</c:v>
                </c:pt>
                <c:pt idx="33">
                  <c:v>10682</c:v>
                </c:pt>
                <c:pt idx="34">
                  <c:v>10365</c:v>
                </c:pt>
                <c:pt idx="35">
                  <c:v>7670</c:v>
                </c:pt>
              </c:numCache>
            </c:numRef>
          </c:val>
          <c:extLst>
            <c:ext xmlns:c16="http://schemas.microsoft.com/office/drawing/2014/chart" uri="{C3380CC4-5D6E-409C-BE32-E72D297353CC}">
              <c16:uniqueId val="{00000000-5E87-4BE0-BE13-229369C0041C}"/>
            </c:ext>
          </c:extLst>
        </c:ser>
        <c:ser>
          <c:idx val="1"/>
          <c:order val="1"/>
          <c:tx>
            <c:strRef>
              <c:f>Sheet3!$C$44</c:f>
              <c:strCache>
                <c:ptCount val="1"/>
                <c:pt idx="0">
                  <c:v>Dischargedcases</c:v>
                </c:pt>
              </c:strCache>
            </c:strRef>
          </c:tx>
          <c:spPr>
            <a:solidFill>
              <a:schemeClr val="accent4"/>
            </a:solidFill>
            <a:ln>
              <a:noFill/>
            </a:ln>
            <a:effectLst/>
          </c:spPr>
          <c:invertIfNegative val="0"/>
          <c:cat>
            <c:strRef>
              <c:f>Sheet3!$A$45:$A$81</c:f>
              <c:strCache>
                <c:ptCount val="36"/>
                <c:pt idx="0">
                  <c:v>Maharashtra</c:v>
                </c:pt>
                <c:pt idx="1">
                  <c:v>Kerala</c:v>
                </c:pt>
                <c:pt idx="2">
                  <c:v>Karnataka</c:v>
                </c:pt>
                <c:pt idx="3">
                  <c:v>Tamil Nadu</c:v>
                </c:pt>
                <c:pt idx="4">
                  <c:v>Andhra Pradesh</c:v>
                </c:pt>
                <c:pt idx="5">
                  <c:v>Uttar Pradesh</c:v>
                </c:pt>
                <c:pt idx="6">
                  <c:v>West Bengal</c:v>
                </c:pt>
                <c:pt idx="7">
                  <c:v>Delhi</c:v>
                </c:pt>
                <c:pt idx="8">
                  <c:v>Odisha</c:v>
                </c:pt>
                <c:pt idx="9">
                  <c:v>Chhattisgarh</c:v>
                </c:pt>
                <c:pt idx="10">
                  <c:v>Rajasthan</c:v>
                </c:pt>
                <c:pt idx="11">
                  <c:v>Gujarat</c:v>
                </c:pt>
                <c:pt idx="12">
                  <c:v>Madhya Pradesh</c:v>
                </c:pt>
                <c:pt idx="13">
                  <c:v>Haryana</c:v>
                </c:pt>
                <c:pt idx="14">
                  <c:v>Bihar</c:v>
                </c:pt>
                <c:pt idx="15">
                  <c:v>Telengana</c:v>
                </c:pt>
                <c:pt idx="16">
                  <c:v>Assam</c:v>
                </c:pt>
                <c:pt idx="17">
                  <c:v>Punjab</c:v>
                </c:pt>
                <c:pt idx="18">
                  <c:v>Jharkhand</c:v>
                </c:pt>
                <c:pt idx="19">
                  <c:v>Uttarakhand</c:v>
                </c:pt>
                <c:pt idx="20">
                  <c:v>Jammu and Kashmir</c:v>
                </c:pt>
                <c:pt idx="21">
                  <c:v>Himachal Pradesh</c:v>
                </c:pt>
                <c:pt idx="22">
                  <c:v>Goa</c:v>
                </c:pt>
                <c:pt idx="23">
                  <c:v>Mizoram</c:v>
                </c:pt>
                <c:pt idx="24">
                  <c:v>Puducherry</c:v>
                </c:pt>
                <c:pt idx="25">
                  <c:v>Manipur</c:v>
                </c:pt>
                <c:pt idx="26">
                  <c:v>Tripura</c:v>
                </c:pt>
                <c:pt idx="27">
                  <c:v>Meghalaya</c:v>
                </c:pt>
                <c:pt idx="28">
                  <c:v>Chandigarh</c:v>
                </c:pt>
                <c:pt idx="29">
                  <c:v>Arunachal Pradesh</c:v>
                </c:pt>
                <c:pt idx="30">
                  <c:v>Sikkim</c:v>
                </c:pt>
                <c:pt idx="31">
                  <c:v>Nagaland</c:v>
                </c:pt>
                <c:pt idx="32">
                  <c:v>Ladakh</c:v>
                </c:pt>
                <c:pt idx="33">
                  <c:v>Daman and Diu</c:v>
                </c:pt>
                <c:pt idx="34">
                  <c:v>Lakshadweep</c:v>
                </c:pt>
                <c:pt idx="35">
                  <c:v>Andaman and Nicobar</c:v>
                </c:pt>
              </c:strCache>
            </c:strRef>
          </c:cat>
          <c:val>
            <c:numRef>
              <c:f>Sheet3!$C$45:$C$81</c:f>
              <c:numCache>
                <c:formatCode>General</c:formatCode>
                <c:ptCount val="36"/>
                <c:pt idx="0">
                  <c:v>6466913</c:v>
                </c:pt>
                <c:pt idx="1">
                  <c:v>4950281</c:v>
                </c:pt>
                <c:pt idx="2">
                  <c:v>2945415</c:v>
                </c:pt>
                <c:pt idx="3">
                  <c:v>2668001</c:v>
                </c:pt>
                <c:pt idx="4">
                  <c:v>2052230</c:v>
                </c:pt>
                <c:pt idx="5">
                  <c:v>1687262</c:v>
                </c:pt>
                <c:pt idx="6">
                  <c:v>1575980</c:v>
                </c:pt>
                <c:pt idx="7">
                  <c:v>1414934</c:v>
                </c:pt>
                <c:pt idx="8">
                  <c:v>1034300</c:v>
                </c:pt>
                <c:pt idx="9">
                  <c:v>992508</c:v>
                </c:pt>
                <c:pt idx="10">
                  <c:v>945478</c:v>
                </c:pt>
                <c:pt idx="11">
                  <c:v>816608</c:v>
                </c:pt>
                <c:pt idx="12">
                  <c:v>782357</c:v>
                </c:pt>
                <c:pt idx="13">
                  <c:v>761230</c:v>
                </c:pt>
                <c:pt idx="14">
                  <c:v>716462</c:v>
                </c:pt>
                <c:pt idx="15">
                  <c:v>665755</c:v>
                </c:pt>
                <c:pt idx="16">
                  <c:v>604465</c:v>
                </c:pt>
                <c:pt idx="17">
                  <c:v>585889</c:v>
                </c:pt>
                <c:pt idx="18">
                  <c:v>343713</c:v>
                </c:pt>
                <c:pt idx="19">
                  <c:v>336453</c:v>
                </c:pt>
                <c:pt idx="20">
                  <c:v>328108</c:v>
                </c:pt>
                <c:pt idx="21">
                  <c:v>220800</c:v>
                </c:pt>
                <c:pt idx="22">
                  <c:v>174830</c:v>
                </c:pt>
                <c:pt idx="23">
                  <c:v>122494</c:v>
                </c:pt>
                <c:pt idx="24">
                  <c:v>126263</c:v>
                </c:pt>
                <c:pt idx="25">
                  <c:v>121687</c:v>
                </c:pt>
                <c:pt idx="26">
                  <c:v>83732</c:v>
                </c:pt>
                <c:pt idx="27">
                  <c:v>82274</c:v>
                </c:pt>
                <c:pt idx="28">
                  <c:v>64536</c:v>
                </c:pt>
                <c:pt idx="29">
                  <c:v>54894</c:v>
                </c:pt>
                <c:pt idx="30">
                  <c:v>31575</c:v>
                </c:pt>
                <c:pt idx="31">
                  <c:v>31123</c:v>
                </c:pt>
                <c:pt idx="32">
                  <c:v>20783</c:v>
                </c:pt>
                <c:pt idx="33">
                  <c:v>10678</c:v>
                </c:pt>
                <c:pt idx="34">
                  <c:v>10314</c:v>
                </c:pt>
                <c:pt idx="35">
                  <c:v>7534</c:v>
                </c:pt>
              </c:numCache>
            </c:numRef>
          </c:val>
          <c:extLst>
            <c:ext xmlns:c16="http://schemas.microsoft.com/office/drawing/2014/chart" uri="{C3380CC4-5D6E-409C-BE32-E72D297353CC}">
              <c16:uniqueId val="{00000001-5E87-4BE0-BE13-229369C0041C}"/>
            </c:ext>
          </c:extLst>
        </c:ser>
        <c:dLbls>
          <c:showLegendKey val="0"/>
          <c:showVal val="0"/>
          <c:showCatName val="0"/>
          <c:showSerName val="0"/>
          <c:showPercent val="0"/>
          <c:showBubbleSize val="0"/>
        </c:dLbls>
        <c:gapWidth val="219"/>
        <c:overlap val="-27"/>
        <c:axId val="1015894800"/>
        <c:axId val="1015893360"/>
      </c:barChart>
      <c:catAx>
        <c:axId val="101589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93360"/>
        <c:crosses val="autoZero"/>
        <c:auto val="1"/>
        <c:lblAlgn val="ctr"/>
        <c:lblOffset val="100"/>
        <c:noMultiLvlLbl val="0"/>
      </c:catAx>
      <c:valAx>
        <c:axId val="101589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94800"/>
        <c:crosses val="autoZero"/>
        <c:crossBetween val="between"/>
      </c:valAx>
      <c:spPr>
        <a:noFill/>
        <a:ln>
          <a:noFill/>
        </a:ln>
        <a:effectLst/>
      </c:spPr>
    </c:plotArea>
    <c:legend>
      <c:legendPos val="r"/>
      <c:layout>
        <c:manualLayout>
          <c:xMode val="edge"/>
          <c:yMode val="edge"/>
          <c:x val="0.16851728013663364"/>
          <c:y val="5.1504082822980461E-2"/>
          <c:w val="0.56832482512652438"/>
          <c:h val="7.7547389909594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11</xdr:col>
      <xdr:colOff>746760</xdr:colOff>
      <xdr:row>8</xdr:row>
      <xdr:rowOff>57150</xdr:rowOff>
    </xdr:from>
    <xdr:to>
      <xdr:col>18</xdr:col>
      <xdr:colOff>53340</xdr:colOff>
      <xdr:row>23</xdr:row>
      <xdr:rowOff>57150</xdr:rowOff>
    </xdr:to>
    <xdr:graphicFrame macro="">
      <xdr:nvGraphicFramePr>
        <xdr:cNvPr id="3" name="Chart 2">
          <a:extLst>
            <a:ext uri="{FF2B5EF4-FFF2-40B4-BE49-F238E27FC236}">
              <a16:creationId xmlns:a16="http://schemas.microsoft.com/office/drawing/2014/main" id="{0C39C25D-7601-3FA9-10A5-78A72E04D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121920</xdr:colOff>
      <xdr:row>8</xdr:row>
      <xdr:rowOff>76201</xdr:rowOff>
    </xdr:from>
    <xdr:to>
      <xdr:col>11</xdr:col>
      <xdr:colOff>266700</xdr:colOff>
      <xdr:row>11</xdr:row>
      <xdr:rowOff>106681</xdr:rowOff>
    </xdr:to>
    <mc:AlternateContent xmlns:mc="http://schemas.openxmlformats.org/markup-compatibility/2006" xmlns:a14="http://schemas.microsoft.com/office/drawing/2010/main">
      <mc:Choice Requires="a14">
        <xdr:graphicFrame macro="">
          <xdr:nvGraphicFramePr>
            <xdr:cNvPr id="4" name="Death Avg">
              <a:extLst>
                <a:ext uri="{FF2B5EF4-FFF2-40B4-BE49-F238E27FC236}">
                  <a16:creationId xmlns:a16="http://schemas.microsoft.com/office/drawing/2014/main" id="{8A56B817-4938-8372-A126-204EAB67653B}"/>
                </a:ext>
              </a:extLst>
            </xdr:cNvPr>
            <xdr:cNvGraphicFramePr/>
          </xdr:nvGraphicFramePr>
          <xdr:xfrm>
            <a:off x="0" y="0"/>
            <a:ext cx="0" cy="0"/>
          </xdr:xfrm>
          <a:graphic>
            <a:graphicData uri="http://schemas.microsoft.com/office/drawing/2010/slicer">
              <sle:slicer xmlns:sle="http://schemas.microsoft.com/office/drawing/2010/slicer" name="Death Avg"/>
            </a:graphicData>
          </a:graphic>
        </xdr:graphicFrame>
      </mc:Choice>
      <mc:Fallback xmlns="">
        <xdr:sp macro="" textlink="">
          <xdr:nvSpPr>
            <xdr:cNvPr id="0" name=""/>
            <xdr:cNvSpPr>
              <a:spLocks noTextEdit="1"/>
            </xdr:cNvSpPr>
          </xdr:nvSpPr>
          <xdr:spPr>
            <a:xfrm>
              <a:off x="7810500" y="1539241"/>
              <a:ext cx="2758440" cy="579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381000</xdr:colOff>
      <xdr:row>24</xdr:row>
      <xdr:rowOff>22861</xdr:rowOff>
    </xdr:from>
    <xdr:to>
      <xdr:col>23</xdr:col>
      <xdr:colOff>114300</xdr:colOff>
      <xdr:row>27</xdr:row>
      <xdr:rowOff>45721</xdr:rowOff>
    </xdr:to>
    <mc:AlternateContent xmlns:mc="http://schemas.openxmlformats.org/markup-compatibility/2006" xmlns:a14="http://schemas.microsoft.com/office/drawing/2010/main">
      <mc:Choice Requires="a14">
        <xdr:graphicFrame macro="">
          <xdr:nvGraphicFramePr>
            <xdr:cNvPr id="6" name="Recovered Avg">
              <a:extLst>
                <a:ext uri="{FF2B5EF4-FFF2-40B4-BE49-F238E27FC236}">
                  <a16:creationId xmlns:a16="http://schemas.microsoft.com/office/drawing/2014/main" id="{29E49BDE-A8E1-7B4D-D812-E531B71362E3}"/>
                </a:ext>
              </a:extLst>
            </xdr:cNvPr>
            <xdr:cNvGraphicFramePr/>
          </xdr:nvGraphicFramePr>
          <xdr:xfrm>
            <a:off x="0" y="0"/>
            <a:ext cx="0" cy="0"/>
          </xdr:xfrm>
          <a:graphic>
            <a:graphicData uri="http://schemas.microsoft.com/office/drawing/2010/slicer">
              <sle:slicer xmlns:sle="http://schemas.microsoft.com/office/drawing/2010/slicer" name="Recovered Avg"/>
            </a:graphicData>
          </a:graphic>
        </xdr:graphicFrame>
      </mc:Choice>
      <mc:Fallback xmlns="">
        <xdr:sp macro="" textlink="">
          <xdr:nvSpPr>
            <xdr:cNvPr id="0" name=""/>
            <xdr:cNvSpPr>
              <a:spLocks noTextEdit="1"/>
            </xdr:cNvSpPr>
          </xdr:nvSpPr>
          <xdr:spPr>
            <a:xfrm>
              <a:off x="18196560" y="4411981"/>
              <a:ext cx="2857500"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320040</xdr:colOff>
      <xdr:row>24</xdr:row>
      <xdr:rowOff>64770</xdr:rowOff>
    </xdr:from>
    <xdr:to>
      <xdr:col>19</xdr:col>
      <xdr:colOff>106680</xdr:colOff>
      <xdr:row>42</xdr:row>
      <xdr:rowOff>129540</xdr:rowOff>
    </xdr:to>
    <xdr:graphicFrame macro="">
      <xdr:nvGraphicFramePr>
        <xdr:cNvPr id="7" name="Chart 6">
          <a:extLst>
            <a:ext uri="{FF2B5EF4-FFF2-40B4-BE49-F238E27FC236}">
              <a16:creationId xmlns:a16="http://schemas.microsoft.com/office/drawing/2014/main" id="{B37040C0-E247-A994-A4A2-EB9C1C668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320040</xdr:colOff>
      <xdr:row>6</xdr:row>
      <xdr:rowOff>152400</xdr:rowOff>
    </xdr:from>
    <xdr:to>
      <xdr:col>23</xdr:col>
      <xdr:colOff>563880</xdr:colOff>
      <xdr:row>11</xdr:row>
      <xdr:rowOff>167639</xdr:rowOff>
    </xdr:to>
    <mc:AlternateContent xmlns:mc="http://schemas.openxmlformats.org/markup-compatibility/2006" xmlns:a14="http://schemas.microsoft.com/office/drawing/2010/main">
      <mc:Choice Requires="a14">
        <xdr:graphicFrame macro="">
          <xdr:nvGraphicFramePr>
            <xdr:cNvPr id="8" name="Zone">
              <a:extLst>
                <a:ext uri="{FF2B5EF4-FFF2-40B4-BE49-F238E27FC236}">
                  <a16:creationId xmlns:a16="http://schemas.microsoft.com/office/drawing/2014/main" id="{8ACE0990-141E-990E-C4A5-16DFEFCA9F7F}"/>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19674840" y="1249680"/>
              <a:ext cx="182880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1188720</xdr:colOff>
      <xdr:row>50</xdr:row>
      <xdr:rowOff>49530</xdr:rowOff>
    </xdr:from>
    <xdr:to>
      <xdr:col>32</xdr:col>
      <xdr:colOff>129540</xdr:colOff>
      <xdr:row>70</xdr:row>
      <xdr:rowOff>0</xdr:rowOff>
    </xdr:to>
    <xdr:graphicFrame macro="">
      <xdr:nvGraphicFramePr>
        <xdr:cNvPr id="9" name="Chart 8">
          <a:extLst>
            <a:ext uri="{FF2B5EF4-FFF2-40B4-BE49-F238E27FC236}">
              <a16:creationId xmlns:a16="http://schemas.microsoft.com/office/drawing/2014/main" id="{3682C51F-4418-3FFA-2405-F4816E2EB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167640</xdr:colOff>
      <xdr:row>11</xdr:row>
      <xdr:rowOff>167640</xdr:rowOff>
    </xdr:from>
    <xdr:to>
      <xdr:col>38</xdr:col>
      <xdr:colOff>198120</xdr:colOff>
      <xdr:row>24</xdr:row>
      <xdr:rowOff>95250</xdr:rowOff>
    </xdr:to>
    <xdr:graphicFrame macro="">
      <xdr:nvGraphicFramePr>
        <xdr:cNvPr id="10" name="Chart 9">
          <a:extLst>
            <a:ext uri="{FF2B5EF4-FFF2-40B4-BE49-F238E27FC236}">
              <a16:creationId xmlns:a16="http://schemas.microsoft.com/office/drawing/2014/main" id="{7D98F1C2-2570-C84B-8476-60EA57E08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685800</xdr:colOff>
      <xdr:row>44</xdr:row>
      <xdr:rowOff>148590</xdr:rowOff>
    </xdr:from>
    <xdr:to>
      <xdr:col>22</xdr:col>
      <xdr:colOff>7620</xdr:colOff>
      <xdr:row>59</xdr:row>
      <xdr:rowOff>148590</xdr:rowOff>
    </xdr:to>
    <xdr:graphicFrame macro="">
      <xdr:nvGraphicFramePr>
        <xdr:cNvPr id="2" name="Chart 1">
          <a:extLst>
            <a:ext uri="{FF2B5EF4-FFF2-40B4-BE49-F238E27FC236}">
              <a16:creationId xmlns:a16="http://schemas.microsoft.com/office/drawing/2014/main" id="{ADE81549-C677-3E76-A1A0-46FCA5A446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61</xdr:row>
      <xdr:rowOff>0</xdr:rowOff>
    </xdr:from>
    <xdr:to>
      <xdr:col>7</xdr:col>
      <xdr:colOff>632460</xdr:colOff>
      <xdr:row>62</xdr:row>
      <xdr:rowOff>107372</xdr:rowOff>
    </xdr:to>
    <xdr:sp macro="" textlink="">
      <xdr:nvSpPr>
        <xdr:cNvPr id="14" name="Rectangle: Rounded Corners 13">
          <a:extLst>
            <a:ext uri="{FF2B5EF4-FFF2-40B4-BE49-F238E27FC236}">
              <a16:creationId xmlns:a16="http://schemas.microsoft.com/office/drawing/2014/main" id="{3BABA0E2-152F-49A4-80C5-9771A67F3ABD}"/>
            </a:ext>
          </a:extLst>
        </xdr:cNvPr>
        <xdr:cNvSpPr/>
      </xdr:nvSpPr>
      <xdr:spPr>
        <a:xfrm>
          <a:off x="6187440" y="11155680"/>
          <a:ext cx="1242060" cy="374072"/>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aseline="0">
              <a:solidFill>
                <a:sysClr val="windowText" lastClr="000000"/>
              </a:solidFill>
              <a:latin typeface="Algerian" panose="04020705040A02060702" pitchFamily="82" charset="0"/>
            </a:rPr>
            <a:t>RECOVERED</a:t>
          </a:r>
        </a:p>
      </xdr:txBody>
    </xdr:sp>
    <xdr:clientData/>
  </xdr:twoCellAnchor>
  <xdr:twoCellAnchor>
    <xdr:from>
      <xdr:col>6</xdr:col>
      <xdr:colOff>7620</xdr:colOff>
      <xdr:row>62</xdr:row>
      <xdr:rowOff>114300</xdr:rowOff>
    </xdr:from>
    <xdr:to>
      <xdr:col>7</xdr:col>
      <xdr:colOff>617220</xdr:colOff>
      <xdr:row>64</xdr:row>
      <xdr:rowOff>120534</xdr:rowOff>
    </xdr:to>
    <xdr:sp macro="" textlink="">
      <xdr:nvSpPr>
        <xdr:cNvPr id="15" name="Rectangle: Rounded Corners 14">
          <a:extLst>
            <a:ext uri="{FF2B5EF4-FFF2-40B4-BE49-F238E27FC236}">
              <a16:creationId xmlns:a16="http://schemas.microsoft.com/office/drawing/2014/main" id="{FB5CC9E5-3152-4FE8-993A-B307851DF5FE}"/>
            </a:ext>
          </a:extLst>
        </xdr:cNvPr>
        <xdr:cNvSpPr/>
      </xdr:nvSpPr>
      <xdr:spPr>
        <a:xfrm>
          <a:off x="6195060" y="11536680"/>
          <a:ext cx="1219200" cy="371994"/>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ysClr val="windowText" lastClr="000000"/>
              </a:solidFill>
            </a:rPr>
            <a:t>98.3%</a:t>
          </a:r>
        </a:p>
      </xdr:txBody>
    </xdr:sp>
    <xdr:clientData/>
  </xdr:twoCellAnchor>
  <xdr:twoCellAnchor>
    <xdr:from>
      <xdr:col>4</xdr:col>
      <xdr:colOff>0</xdr:colOff>
      <xdr:row>66</xdr:row>
      <xdr:rowOff>45720</xdr:rowOff>
    </xdr:from>
    <xdr:to>
      <xdr:col>4</xdr:col>
      <xdr:colOff>1059180</xdr:colOff>
      <xdr:row>68</xdr:row>
      <xdr:rowOff>61652</xdr:rowOff>
    </xdr:to>
    <xdr:sp macro="" textlink="">
      <xdr:nvSpPr>
        <xdr:cNvPr id="16" name="Rectangle: Rounded Corners 15">
          <a:extLst>
            <a:ext uri="{FF2B5EF4-FFF2-40B4-BE49-F238E27FC236}">
              <a16:creationId xmlns:a16="http://schemas.microsoft.com/office/drawing/2014/main" id="{7129C929-B5FB-4B26-A662-1465907E6B42}"/>
            </a:ext>
          </a:extLst>
        </xdr:cNvPr>
        <xdr:cNvSpPr/>
      </xdr:nvSpPr>
      <xdr:spPr>
        <a:xfrm>
          <a:off x="4381500" y="12199620"/>
          <a:ext cx="1059180" cy="3816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aseline="0">
              <a:solidFill>
                <a:sysClr val="windowText" lastClr="000000"/>
              </a:solidFill>
              <a:latin typeface="Algerian" panose="04020705040A02060702" pitchFamily="82" charset="0"/>
            </a:rPr>
            <a:t>ACTIVE</a:t>
          </a:r>
        </a:p>
      </xdr:txBody>
    </xdr:sp>
    <xdr:clientData/>
  </xdr:twoCellAnchor>
  <xdr:twoCellAnchor>
    <xdr:from>
      <xdr:col>4</xdr:col>
      <xdr:colOff>15240</xdr:colOff>
      <xdr:row>68</xdr:row>
      <xdr:rowOff>76200</xdr:rowOff>
    </xdr:from>
    <xdr:to>
      <xdr:col>4</xdr:col>
      <xdr:colOff>1074420</xdr:colOff>
      <xdr:row>70</xdr:row>
      <xdr:rowOff>76200</xdr:rowOff>
    </xdr:to>
    <xdr:sp macro="" textlink="">
      <xdr:nvSpPr>
        <xdr:cNvPr id="17" name="Rectangle: Rounded Corners 16">
          <a:extLst>
            <a:ext uri="{FF2B5EF4-FFF2-40B4-BE49-F238E27FC236}">
              <a16:creationId xmlns:a16="http://schemas.microsoft.com/office/drawing/2014/main" id="{4AC055CF-494A-4995-ABCC-28433A70B739}"/>
            </a:ext>
          </a:extLst>
        </xdr:cNvPr>
        <xdr:cNvSpPr/>
      </xdr:nvSpPr>
      <xdr:spPr>
        <a:xfrm>
          <a:off x="4396740" y="12595860"/>
          <a:ext cx="1059180" cy="36576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ysClr val="windowText" lastClr="000000"/>
              </a:solidFill>
            </a:rPr>
            <a:t>O.4%</a:t>
          </a:r>
        </a:p>
      </xdr:txBody>
    </xdr:sp>
    <xdr:clientData/>
  </xdr:twoCellAnchor>
  <xdr:twoCellAnchor>
    <xdr:from>
      <xdr:col>6</xdr:col>
      <xdr:colOff>228600</xdr:colOff>
      <xdr:row>66</xdr:row>
      <xdr:rowOff>160020</xdr:rowOff>
    </xdr:from>
    <xdr:to>
      <xdr:col>7</xdr:col>
      <xdr:colOff>678180</xdr:colOff>
      <xdr:row>68</xdr:row>
      <xdr:rowOff>175952</xdr:rowOff>
    </xdr:to>
    <xdr:sp macro="" textlink="">
      <xdr:nvSpPr>
        <xdr:cNvPr id="18" name="Rectangle: Rounded Corners 17">
          <a:extLst>
            <a:ext uri="{FF2B5EF4-FFF2-40B4-BE49-F238E27FC236}">
              <a16:creationId xmlns:a16="http://schemas.microsoft.com/office/drawing/2014/main" id="{D21ADE03-BE26-47F1-91A8-E30ECE196799}"/>
            </a:ext>
          </a:extLst>
        </xdr:cNvPr>
        <xdr:cNvSpPr/>
      </xdr:nvSpPr>
      <xdr:spPr>
        <a:xfrm>
          <a:off x="6416040" y="12313920"/>
          <a:ext cx="1059180" cy="381692"/>
        </a:xfrm>
        <a:prstGeom prst="roundRect">
          <a:avLst/>
        </a:prstGeom>
        <a:solidFill>
          <a:srgbClr val="DC393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aseline="0">
            <a:solidFill>
              <a:sysClr val="windowText" lastClr="000000"/>
            </a:solidFill>
            <a:latin typeface="Algerian" panose="04020705040A02060702" pitchFamily="82" charset="0"/>
          </a:endParaRPr>
        </a:p>
      </xdr:txBody>
    </xdr:sp>
    <xdr:clientData/>
  </xdr:twoCellAnchor>
  <xdr:twoCellAnchor>
    <xdr:from>
      <xdr:col>6</xdr:col>
      <xdr:colOff>228600</xdr:colOff>
      <xdr:row>69</xdr:row>
      <xdr:rowOff>7620</xdr:rowOff>
    </xdr:from>
    <xdr:to>
      <xdr:col>7</xdr:col>
      <xdr:colOff>678180</xdr:colOff>
      <xdr:row>71</xdr:row>
      <xdr:rowOff>7620</xdr:rowOff>
    </xdr:to>
    <xdr:sp macro="" textlink="">
      <xdr:nvSpPr>
        <xdr:cNvPr id="19" name="Rectangle: Rounded Corners 18">
          <a:extLst>
            <a:ext uri="{FF2B5EF4-FFF2-40B4-BE49-F238E27FC236}">
              <a16:creationId xmlns:a16="http://schemas.microsoft.com/office/drawing/2014/main" id="{10284DB3-3FF8-4B0F-AF4D-700190D22E05}"/>
            </a:ext>
          </a:extLst>
        </xdr:cNvPr>
        <xdr:cNvSpPr/>
      </xdr:nvSpPr>
      <xdr:spPr>
        <a:xfrm>
          <a:off x="6416040" y="12710160"/>
          <a:ext cx="1059180" cy="365760"/>
        </a:xfrm>
        <a:prstGeom prst="roundRect">
          <a:avLst/>
        </a:prstGeom>
        <a:solidFill>
          <a:srgbClr val="FAD7D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ysClr val="windowText" lastClr="000000"/>
              </a:solidFill>
            </a:rPr>
            <a:t>1.3%</a:t>
          </a:r>
        </a:p>
      </xdr:txBody>
    </xdr:sp>
    <xdr:clientData/>
  </xdr:twoCellAnchor>
  <xdr:twoCellAnchor editAs="oneCell">
    <xdr:from>
      <xdr:col>6</xdr:col>
      <xdr:colOff>266700</xdr:colOff>
      <xdr:row>66</xdr:row>
      <xdr:rowOff>175260</xdr:rowOff>
    </xdr:from>
    <xdr:to>
      <xdr:col>7</xdr:col>
      <xdr:colOff>678180</xdr:colOff>
      <xdr:row>69</xdr:row>
      <xdr:rowOff>35087</xdr:rowOff>
    </xdr:to>
    <xdr:pic>
      <xdr:nvPicPr>
        <xdr:cNvPr id="20" name="Picture 19">
          <a:extLst>
            <a:ext uri="{FF2B5EF4-FFF2-40B4-BE49-F238E27FC236}">
              <a16:creationId xmlns:a16="http://schemas.microsoft.com/office/drawing/2014/main" id="{002AEA7A-8F77-2686-DAD2-3485CE9073CD}"/>
            </a:ext>
          </a:extLst>
        </xdr:cNvPr>
        <xdr:cNvPicPr>
          <a:picLocks noChangeAspect="1"/>
        </xdr:cNvPicPr>
      </xdr:nvPicPr>
      <xdr:blipFill>
        <a:blip xmlns:r="http://schemas.openxmlformats.org/officeDocument/2006/relationships" r:embed="rId6"/>
        <a:stretch>
          <a:fillRect/>
        </a:stretch>
      </xdr:blipFill>
      <xdr:spPr>
        <a:xfrm>
          <a:off x="6454140" y="12329160"/>
          <a:ext cx="1021080" cy="4084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7620</xdr:colOff>
      <xdr:row>4</xdr:row>
      <xdr:rowOff>7620</xdr:rowOff>
    </xdr:from>
    <xdr:to>
      <xdr:col>10</xdr:col>
      <xdr:colOff>220980</xdr:colOff>
      <xdr:row>7</xdr:row>
      <xdr:rowOff>38100</xdr:rowOff>
    </xdr:to>
    <mc:AlternateContent xmlns:mc="http://schemas.openxmlformats.org/markup-compatibility/2006" xmlns:a14="http://schemas.microsoft.com/office/drawing/2010/main">
      <mc:Choice Requires="a14">
        <xdr:graphicFrame macro="">
          <xdr:nvGraphicFramePr>
            <xdr:cNvPr id="2" name="Death Avg 1">
              <a:extLst>
                <a:ext uri="{FF2B5EF4-FFF2-40B4-BE49-F238E27FC236}">
                  <a16:creationId xmlns:a16="http://schemas.microsoft.com/office/drawing/2014/main" id="{2AB89B2A-A40E-45A9-A40E-64C7DBBC6AAD}"/>
                </a:ext>
              </a:extLst>
            </xdr:cNvPr>
            <xdr:cNvGraphicFramePr/>
          </xdr:nvGraphicFramePr>
          <xdr:xfrm>
            <a:off x="0" y="0"/>
            <a:ext cx="0" cy="0"/>
          </xdr:xfrm>
          <a:graphic>
            <a:graphicData uri="http://schemas.microsoft.com/office/drawing/2010/slicer">
              <sle:slicer xmlns:sle="http://schemas.microsoft.com/office/drawing/2010/slicer" name="Death Avg 1"/>
            </a:graphicData>
          </a:graphic>
        </xdr:graphicFrame>
      </mc:Choice>
      <mc:Fallback xmlns="">
        <xdr:sp macro="" textlink="">
          <xdr:nvSpPr>
            <xdr:cNvPr id="0" name=""/>
            <xdr:cNvSpPr>
              <a:spLocks noTextEdit="1"/>
            </xdr:cNvSpPr>
          </xdr:nvSpPr>
          <xdr:spPr>
            <a:xfrm>
              <a:off x="4732020" y="784860"/>
              <a:ext cx="3870960" cy="579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15240</xdr:colOff>
      <xdr:row>7</xdr:row>
      <xdr:rowOff>30480</xdr:rowOff>
    </xdr:from>
    <xdr:to>
      <xdr:col>10</xdr:col>
      <xdr:colOff>205740</xdr:colOff>
      <xdr:row>22</xdr:row>
      <xdr:rowOff>7620</xdr:rowOff>
    </xdr:to>
    <xdr:graphicFrame macro="">
      <xdr:nvGraphicFramePr>
        <xdr:cNvPr id="3" name="Chart 2">
          <a:extLst>
            <a:ext uri="{FF2B5EF4-FFF2-40B4-BE49-F238E27FC236}">
              <a16:creationId xmlns:a16="http://schemas.microsoft.com/office/drawing/2014/main" id="{A1A9DFAA-5BF1-46E0-B386-A96E2E830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7620</xdr:colOff>
      <xdr:row>22</xdr:row>
      <xdr:rowOff>0</xdr:rowOff>
    </xdr:from>
    <xdr:to>
      <xdr:col>10</xdr:col>
      <xdr:colOff>220980</xdr:colOff>
      <xdr:row>25</xdr:row>
      <xdr:rowOff>22860</xdr:rowOff>
    </xdr:to>
    <mc:AlternateContent xmlns:mc="http://schemas.openxmlformats.org/markup-compatibility/2006" xmlns:a14="http://schemas.microsoft.com/office/drawing/2010/main">
      <mc:Choice Requires="a14">
        <xdr:graphicFrame macro="">
          <xdr:nvGraphicFramePr>
            <xdr:cNvPr id="4" name="Recovered Avg 1">
              <a:extLst>
                <a:ext uri="{FF2B5EF4-FFF2-40B4-BE49-F238E27FC236}">
                  <a16:creationId xmlns:a16="http://schemas.microsoft.com/office/drawing/2014/main" id="{08995A81-459E-4E98-930E-8461E0C141DD}"/>
                </a:ext>
              </a:extLst>
            </xdr:cNvPr>
            <xdr:cNvGraphicFramePr/>
          </xdr:nvGraphicFramePr>
          <xdr:xfrm>
            <a:off x="0" y="0"/>
            <a:ext cx="0" cy="0"/>
          </xdr:xfrm>
          <a:graphic>
            <a:graphicData uri="http://schemas.microsoft.com/office/drawing/2010/slicer">
              <sle:slicer xmlns:sle="http://schemas.microsoft.com/office/drawing/2010/slicer" name="Recovered Avg 1"/>
            </a:graphicData>
          </a:graphic>
        </xdr:graphicFrame>
      </mc:Choice>
      <mc:Fallback xmlns="">
        <xdr:sp macro="" textlink="">
          <xdr:nvSpPr>
            <xdr:cNvPr id="0" name=""/>
            <xdr:cNvSpPr>
              <a:spLocks noTextEdit="1"/>
            </xdr:cNvSpPr>
          </xdr:nvSpPr>
          <xdr:spPr>
            <a:xfrm>
              <a:off x="4732020" y="4069080"/>
              <a:ext cx="3870960"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25</xdr:row>
      <xdr:rowOff>0</xdr:rowOff>
    </xdr:from>
    <xdr:to>
      <xdr:col>10</xdr:col>
      <xdr:colOff>220980</xdr:colOff>
      <xdr:row>39</xdr:row>
      <xdr:rowOff>15240</xdr:rowOff>
    </xdr:to>
    <xdr:graphicFrame macro="">
      <xdr:nvGraphicFramePr>
        <xdr:cNvPr id="5" name="Chart 4">
          <a:extLst>
            <a:ext uri="{FF2B5EF4-FFF2-40B4-BE49-F238E27FC236}">
              <a16:creationId xmlns:a16="http://schemas.microsoft.com/office/drawing/2014/main" id="{14093D78-F995-4524-9B26-339E9CD95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0</xdr:row>
      <xdr:rowOff>38100</xdr:rowOff>
    </xdr:from>
    <xdr:to>
      <xdr:col>3</xdr:col>
      <xdr:colOff>1028700</xdr:colOff>
      <xdr:row>3</xdr:row>
      <xdr:rowOff>144780</xdr:rowOff>
    </xdr:to>
    <xdr:sp macro="" textlink="">
      <xdr:nvSpPr>
        <xdr:cNvPr id="6" name="Rectangle: Rounded Corners 5">
          <a:extLst>
            <a:ext uri="{FF2B5EF4-FFF2-40B4-BE49-F238E27FC236}">
              <a16:creationId xmlns:a16="http://schemas.microsoft.com/office/drawing/2014/main" id="{47A8A088-CDA1-08F1-E797-6E99367A47DD}"/>
            </a:ext>
          </a:extLst>
        </xdr:cNvPr>
        <xdr:cNvSpPr/>
      </xdr:nvSpPr>
      <xdr:spPr>
        <a:xfrm>
          <a:off x="45720" y="38100"/>
          <a:ext cx="4358640" cy="7010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800" b="1" cap="none" spc="50">
              <a:ln w="9525" cmpd="sng">
                <a:solidFill>
                  <a:schemeClr val="accent1"/>
                </a:solidFill>
                <a:prstDash val="solid"/>
              </a:ln>
              <a:solidFill>
                <a:srgbClr val="70AD47">
                  <a:tint val="1000"/>
                </a:srgbClr>
              </a:solidFill>
              <a:effectLst>
                <a:glow rad="38100">
                  <a:schemeClr val="accent1">
                    <a:alpha val="40000"/>
                  </a:schemeClr>
                </a:glow>
              </a:effectLst>
              <a:latin typeface="Algerian" panose="04020705040A02060702" pitchFamily="82" charset="0"/>
            </a:rPr>
            <a:t>COVID</a:t>
          </a:r>
          <a:r>
            <a:rPr lang="en-IN" sz="2800" b="1"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Algerian" panose="04020705040A02060702" pitchFamily="82" charset="0"/>
            </a:rPr>
            <a:t>-19 DATA : INDIA</a:t>
          </a:r>
          <a:endParaRPr lang="en-IN" sz="2800" b="1" cap="none" spc="50">
            <a:ln w="9525" cmpd="sng">
              <a:solidFill>
                <a:schemeClr val="accent1"/>
              </a:solidFill>
              <a:prstDash val="solid"/>
            </a:ln>
            <a:solidFill>
              <a:srgbClr val="70AD47">
                <a:tint val="1000"/>
              </a:srgbClr>
            </a:solidFill>
            <a:effectLst>
              <a:glow rad="38100">
                <a:schemeClr val="accent1">
                  <a:alpha val="40000"/>
                </a:schemeClr>
              </a:glow>
            </a:effectLst>
            <a:latin typeface="Algerian" panose="04020705040A02060702" pitchFamily="82" charset="0"/>
          </a:endParaRPr>
        </a:p>
      </xdr:txBody>
    </xdr:sp>
    <xdr:clientData/>
  </xdr:twoCellAnchor>
  <xdr:twoCellAnchor>
    <xdr:from>
      <xdr:col>3</xdr:col>
      <xdr:colOff>1074420</xdr:colOff>
      <xdr:row>0</xdr:row>
      <xdr:rowOff>60960</xdr:rowOff>
    </xdr:from>
    <xdr:to>
      <xdr:col>5</xdr:col>
      <xdr:colOff>403860</xdr:colOff>
      <xdr:row>4</xdr:row>
      <xdr:rowOff>0</xdr:rowOff>
    </xdr:to>
    <xdr:sp macro="" textlink="">
      <xdr:nvSpPr>
        <xdr:cNvPr id="7" name="Rectangle: Rounded Corners 6">
          <a:extLst>
            <a:ext uri="{FF2B5EF4-FFF2-40B4-BE49-F238E27FC236}">
              <a16:creationId xmlns:a16="http://schemas.microsoft.com/office/drawing/2014/main" id="{B656D0E1-5A27-58D2-3A6F-C507D2511ADE}"/>
            </a:ext>
          </a:extLst>
        </xdr:cNvPr>
        <xdr:cNvSpPr/>
      </xdr:nvSpPr>
      <xdr:spPr>
        <a:xfrm>
          <a:off x="4450080" y="60960"/>
          <a:ext cx="1287780" cy="5334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 CASES</a:t>
          </a:r>
          <a:endParaRPr lang="en-IN" sz="1400" b="1" baseline="0">
            <a:solidFill>
              <a:schemeClr val="tx1"/>
            </a:solidFill>
          </a:endParaRPr>
        </a:p>
        <a:p>
          <a:pPr algn="ctr"/>
          <a:r>
            <a:rPr lang="en-IN" sz="1400" baseline="0">
              <a:solidFill>
                <a:schemeClr val="tx1"/>
              </a:solidFill>
            </a:rPr>
            <a:t> </a:t>
          </a:r>
          <a:r>
            <a:rPr lang="en-IN" sz="2000" baseline="0">
              <a:solidFill>
                <a:schemeClr val="tx1"/>
              </a:solidFill>
            </a:rPr>
            <a:t>3.44 cr </a:t>
          </a:r>
          <a:endParaRPr lang="en-IN" sz="2000">
            <a:solidFill>
              <a:schemeClr val="tx1"/>
            </a:solidFill>
          </a:endParaRPr>
        </a:p>
      </xdr:txBody>
    </xdr:sp>
    <xdr:clientData/>
  </xdr:twoCellAnchor>
  <xdr:twoCellAnchor editAs="oneCell">
    <xdr:from>
      <xdr:col>10</xdr:col>
      <xdr:colOff>213360</xdr:colOff>
      <xdr:row>4</xdr:row>
      <xdr:rowOff>60960</xdr:rowOff>
    </xdr:from>
    <xdr:to>
      <xdr:col>13</xdr:col>
      <xdr:colOff>213360</xdr:colOff>
      <xdr:row>9</xdr:row>
      <xdr:rowOff>152400</xdr:rowOff>
    </xdr:to>
    <mc:AlternateContent xmlns:mc="http://schemas.openxmlformats.org/markup-compatibility/2006" xmlns:a14="http://schemas.microsoft.com/office/drawing/2010/main">
      <mc:Choice Requires="a14">
        <xdr:graphicFrame macro="">
          <xdr:nvGraphicFramePr>
            <xdr:cNvPr id="11" name="Zone 1">
              <a:extLst>
                <a:ext uri="{FF2B5EF4-FFF2-40B4-BE49-F238E27FC236}">
                  <a16:creationId xmlns:a16="http://schemas.microsoft.com/office/drawing/2014/main" id="{C1B16A70-4179-465F-A99D-8E016C21CE2D}"/>
                </a:ext>
              </a:extLst>
            </xdr:cNvPr>
            <xdr:cNvGraphicFramePr/>
          </xdr:nvGraphicFramePr>
          <xdr:xfrm>
            <a:off x="0" y="0"/>
            <a:ext cx="0" cy="0"/>
          </xdr:xfrm>
          <a:graphic>
            <a:graphicData uri="http://schemas.microsoft.com/office/drawing/2010/slicer">
              <sle:slicer xmlns:sle="http://schemas.microsoft.com/office/drawing/2010/slicer" name="Zone 1"/>
            </a:graphicData>
          </a:graphic>
        </xdr:graphicFrame>
      </mc:Choice>
      <mc:Fallback xmlns="">
        <xdr:sp macro="" textlink="">
          <xdr:nvSpPr>
            <xdr:cNvPr id="0" name=""/>
            <xdr:cNvSpPr>
              <a:spLocks noTextEdit="1"/>
            </xdr:cNvSpPr>
          </xdr:nvSpPr>
          <xdr:spPr>
            <a:xfrm>
              <a:off x="8595360" y="838200"/>
              <a:ext cx="18288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213360</xdr:colOff>
      <xdr:row>9</xdr:row>
      <xdr:rowOff>152400</xdr:rowOff>
    </xdr:from>
    <xdr:to>
      <xdr:col>18</xdr:col>
      <xdr:colOff>548640</xdr:colOff>
      <xdr:row>23</xdr:row>
      <xdr:rowOff>152400</xdr:rowOff>
    </xdr:to>
    <xdr:graphicFrame macro="">
      <xdr:nvGraphicFramePr>
        <xdr:cNvPr id="12" name="Chart 11">
          <a:extLst>
            <a:ext uri="{FF2B5EF4-FFF2-40B4-BE49-F238E27FC236}">
              <a16:creationId xmlns:a16="http://schemas.microsoft.com/office/drawing/2014/main" id="{4E78524F-7171-4D5C-B0FE-04A7533AB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213359</xdr:colOff>
      <xdr:row>0</xdr:row>
      <xdr:rowOff>0</xdr:rowOff>
    </xdr:from>
    <xdr:to>
      <xdr:col>18</xdr:col>
      <xdr:colOff>563670</xdr:colOff>
      <xdr:row>10</xdr:row>
      <xdr:rowOff>0</xdr:rowOff>
    </xdr:to>
    <xdr:graphicFrame macro="">
      <xdr:nvGraphicFramePr>
        <xdr:cNvPr id="13" name="Chart 12">
          <a:extLst>
            <a:ext uri="{FF2B5EF4-FFF2-40B4-BE49-F238E27FC236}">
              <a16:creationId xmlns:a16="http://schemas.microsoft.com/office/drawing/2014/main" id="{A8938889-86EA-4B58-BA38-871190002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220980</xdr:colOff>
      <xdr:row>23</xdr:row>
      <xdr:rowOff>152400</xdr:rowOff>
    </xdr:from>
    <xdr:to>
      <xdr:col>18</xdr:col>
      <xdr:colOff>541020</xdr:colOff>
      <xdr:row>38</xdr:row>
      <xdr:rowOff>152400</xdr:rowOff>
    </xdr:to>
    <xdr:graphicFrame macro="">
      <xdr:nvGraphicFramePr>
        <xdr:cNvPr id="8" name="Chart 7">
          <a:extLst>
            <a:ext uri="{FF2B5EF4-FFF2-40B4-BE49-F238E27FC236}">
              <a16:creationId xmlns:a16="http://schemas.microsoft.com/office/drawing/2014/main" id="{9980D207-1CF5-4754-9A96-D24ACA07E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556260</xdr:colOff>
      <xdr:row>0</xdr:row>
      <xdr:rowOff>121835</xdr:rowOff>
    </xdr:from>
    <xdr:to>
      <xdr:col>7</xdr:col>
      <xdr:colOff>579120</xdr:colOff>
      <xdr:row>2</xdr:row>
      <xdr:rowOff>46412</xdr:rowOff>
    </xdr:to>
    <xdr:sp macro="" textlink="">
      <xdr:nvSpPr>
        <xdr:cNvPr id="20" name="Rectangle: Rounded Corners 19">
          <a:extLst>
            <a:ext uri="{FF2B5EF4-FFF2-40B4-BE49-F238E27FC236}">
              <a16:creationId xmlns:a16="http://schemas.microsoft.com/office/drawing/2014/main" id="{23702C72-5C68-4996-B9B2-1940F67CF4C5}"/>
            </a:ext>
          </a:extLst>
        </xdr:cNvPr>
        <xdr:cNvSpPr/>
      </xdr:nvSpPr>
      <xdr:spPr>
        <a:xfrm>
          <a:off x="5890260" y="121835"/>
          <a:ext cx="1242060" cy="389397"/>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aseline="0">
              <a:solidFill>
                <a:sysClr val="windowText" lastClr="000000"/>
              </a:solidFill>
              <a:latin typeface="Algerian" panose="04020705040A02060702" pitchFamily="82" charset="0"/>
            </a:rPr>
            <a:t>RECOVERED</a:t>
          </a:r>
        </a:p>
      </xdr:txBody>
    </xdr:sp>
    <xdr:clientData/>
  </xdr:twoCellAnchor>
  <xdr:twoCellAnchor>
    <xdr:from>
      <xdr:col>5</xdr:col>
      <xdr:colOff>563880</xdr:colOff>
      <xdr:row>2</xdr:row>
      <xdr:rowOff>38100</xdr:rowOff>
    </xdr:from>
    <xdr:to>
      <xdr:col>7</xdr:col>
      <xdr:colOff>563880</xdr:colOff>
      <xdr:row>3</xdr:row>
      <xdr:rowOff>135774</xdr:rowOff>
    </xdr:to>
    <xdr:sp macro="" textlink="">
      <xdr:nvSpPr>
        <xdr:cNvPr id="21" name="Rectangle: Rounded Corners 20">
          <a:extLst>
            <a:ext uri="{FF2B5EF4-FFF2-40B4-BE49-F238E27FC236}">
              <a16:creationId xmlns:a16="http://schemas.microsoft.com/office/drawing/2014/main" id="{493C9BAC-C49C-4195-BD86-A46E13AB4CE2}"/>
            </a:ext>
          </a:extLst>
        </xdr:cNvPr>
        <xdr:cNvSpPr/>
      </xdr:nvSpPr>
      <xdr:spPr>
        <a:xfrm>
          <a:off x="5897880" y="502920"/>
          <a:ext cx="1219200" cy="387234"/>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ysClr val="windowText" lastClr="000000"/>
              </a:solidFill>
            </a:rPr>
            <a:t>98.3%</a:t>
          </a:r>
        </a:p>
      </xdr:txBody>
    </xdr:sp>
    <xdr:clientData/>
  </xdr:twoCellAnchor>
  <xdr:twoCellAnchor>
    <xdr:from>
      <xdr:col>8</xdr:col>
      <xdr:colOff>60960</xdr:colOff>
      <xdr:row>0</xdr:row>
      <xdr:rowOff>91440</xdr:rowOff>
    </xdr:from>
    <xdr:to>
      <xdr:col>9</xdr:col>
      <xdr:colOff>510540</xdr:colOff>
      <xdr:row>2</xdr:row>
      <xdr:rowOff>8312</xdr:rowOff>
    </xdr:to>
    <xdr:sp macro="" textlink="">
      <xdr:nvSpPr>
        <xdr:cNvPr id="24" name="Rectangle: Rounded Corners 23">
          <a:extLst>
            <a:ext uri="{FF2B5EF4-FFF2-40B4-BE49-F238E27FC236}">
              <a16:creationId xmlns:a16="http://schemas.microsoft.com/office/drawing/2014/main" id="{AF06630E-C0F1-41F4-97B6-C1C883CBD6E3}"/>
            </a:ext>
          </a:extLst>
        </xdr:cNvPr>
        <xdr:cNvSpPr/>
      </xdr:nvSpPr>
      <xdr:spPr>
        <a:xfrm>
          <a:off x="7223760" y="91440"/>
          <a:ext cx="1059180" cy="381692"/>
        </a:xfrm>
        <a:prstGeom prst="roundRect">
          <a:avLst/>
        </a:prstGeom>
        <a:solidFill>
          <a:srgbClr val="DC393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aseline="0">
            <a:solidFill>
              <a:sysClr val="windowText" lastClr="000000"/>
            </a:solidFill>
            <a:latin typeface="Algerian" panose="04020705040A02060702" pitchFamily="82" charset="0"/>
          </a:endParaRPr>
        </a:p>
      </xdr:txBody>
    </xdr:sp>
    <xdr:clientData/>
  </xdr:twoCellAnchor>
  <xdr:twoCellAnchor>
    <xdr:from>
      <xdr:col>8</xdr:col>
      <xdr:colOff>60960</xdr:colOff>
      <xdr:row>2</xdr:row>
      <xdr:rowOff>22860</xdr:rowOff>
    </xdr:from>
    <xdr:to>
      <xdr:col>9</xdr:col>
      <xdr:colOff>510540</xdr:colOff>
      <xdr:row>3</xdr:row>
      <xdr:rowOff>99060</xdr:rowOff>
    </xdr:to>
    <xdr:sp macro="" textlink="">
      <xdr:nvSpPr>
        <xdr:cNvPr id="25" name="Rectangle: Rounded Corners 24">
          <a:extLst>
            <a:ext uri="{FF2B5EF4-FFF2-40B4-BE49-F238E27FC236}">
              <a16:creationId xmlns:a16="http://schemas.microsoft.com/office/drawing/2014/main" id="{68C7178A-EB54-4FFE-8E5E-D106DE5913CD}"/>
            </a:ext>
          </a:extLst>
        </xdr:cNvPr>
        <xdr:cNvSpPr/>
      </xdr:nvSpPr>
      <xdr:spPr>
        <a:xfrm>
          <a:off x="7223760" y="487680"/>
          <a:ext cx="1059180" cy="365760"/>
        </a:xfrm>
        <a:prstGeom prst="roundRect">
          <a:avLst/>
        </a:prstGeom>
        <a:solidFill>
          <a:srgbClr val="FAD7D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ysClr val="windowText" lastClr="000000"/>
              </a:solidFill>
            </a:rPr>
            <a:t>1.3%</a:t>
          </a:r>
        </a:p>
      </xdr:txBody>
    </xdr:sp>
    <xdr:clientData/>
  </xdr:twoCellAnchor>
  <xdr:twoCellAnchor editAs="oneCell">
    <xdr:from>
      <xdr:col>8</xdr:col>
      <xdr:colOff>99060</xdr:colOff>
      <xdr:row>0</xdr:row>
      <xdr:rowOff>106680</xdr:rowOff>
    </xdr:from>
    <xdr:to>
      <xdr:col>9</xdr:col>
      <xdr:colOff>510540</xdr:colOff>
      <xdr:row>2</xdr:row>
      <xdr:rowOff>50327</xdr:rowOff>
    </xdr:to>
    <xdr:pic>
      <xdr:nvPicPr>
        <xdr:cNvPr id="26" name="Picture 25">
          <a:extLst>
            <a:ext uri="{FF2B5EF4-FFF2-40B4-BE49-F238E27FC236}">
              <a16:creationId xmlns:a16="http://schemas.microsoft.com/office/drawing/2014/main" id="{DB95FF6A-838D-41A6-A722-57487704D441}"/>
            </a:ext>
          </a:extLst>
        </xdr:cNvPr>
        <xdr:cNvPicPr>
          <a:picLocks noChangeAspect="1"/>
        </xdr:cNvPicPr>
      </xdr:nvPicPr>
      <xdr:blipFill>
        <a:blip xmlns:r="http://schemas.openxmlformats.org/officeDocument/2006/relationships" r:embed="rId6"/>
        <a:stretch>
          <a:fillRect/>
        </a:stretch>
      </xdr:blipFill>
      <xdr:spPr>
        <a:xfrm>
          <a:off x="7261860" y="106680"/>
          <a:ext cx="1021080" cy="408467"/>
        </a:xfrm>
        <a:prstGeom prst="rect">
          <a:avLst/>
        </a:prstGeom>
      </xdr:spPr>
    </xdr:pic>
    <xdr:clientData/>
  </xdr:twoCellAnchor>
  <xdr:twoCellAnchor>
    <xdr:from>
      <xdr:col>10</xdr:col>
      <xdr:colOff>22860</xdr:colOff>
      <xdr:row>0</xdr:row>
      <xdr:rowOff>106680</xdr:rowOff>
    </xdr:from>
    <xdr:to>
      <xdr:col>11</xdr:col>
      <xdr:colOff>472440</xdr:colOff>
      <xdr:row>2</xdr:row>
      <xdr:rowOff>23552</xdr:rowOff>
    </xdr:to>
    <xdr:sp macro="" textlink="">
      <xdr:nvSpPr>
        <xdr:cNvPr id="27" name="Rectangle: Rounded Corners 26">
          <a:extLst>
            <a:ext uri="{FF2B5EF4-FFF2-40B4-BE49-F238E27FC236}">
              <a16:creationId xmlns:a16="http://schemas.microsoft.com/office/drawing/2014/main" id="{99547E88-2EFC-4659-B83D-9CA75DC509D7}"/>
            </a:ext>
          </a:extLst>
        </xdr:cNvPr>
        <xdr:cNvSpPr/>
      </xdr:nvSpPr>
      <xdr:spPr>
        <a:xfrm>
          <a:off x="8404860" y="106680"/>
          <a:ext cx="1059180" cy="38169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aseline="0">
              <a:solidFill>
                <a:sysClr val="windowText" lastClr="000000"/>
              </a:solidFill>
              <a:latin typeface="Algerian" panose="04020705040A02060702" pitchFamily="82" charset="0"/>
            </a:rPr>
            <a:t>ACTIVE</a:t>
          </a:r>
        </a:p>
      </xdr:txBody>
    </xdr:sp>
    <xdr:clientData/>
  </xdr:twoCellAnchor>
  <xdr:twoCellAnchor>
    <xdr:from>
      <xdr:col>10</xdr:col>
      <xdr:colOff>38100</xdr:colOff>
      <xdr:row>2</xdr:row>
      <xdr:rowOff>38100</xdr:rowOff>
    </xdr:from>
    <xdr:to>
      <xdr:col>11</xdr:col>
      <xdr:colOff>487680</xdr:colOff>
      <xdr:row>3</xdr:row>
      <xdr:rowOff>114300</xdr:rowOff>
    </xdr:to>
    <xdr:sp macro="" textlink="">
      <xdr:nvSpPr>
        <xdr:cNvPr id="28" name="Rectangle: Rounded Corners 27">
          <a:extLst>
            <a:ext uri="{FF2B5EF4-FFF2-40B4-BE49-F238E27FC236}">
              <a16:creationId xmlns:a16="http://schemas.microsoft.com/office/drawing/2014/main" id="{D52F9256-44E1-4D29-B582-1D461FA684D0}"/>
            </a:ext>
          </a:extLst>
        </xdr:cNvPr>
        <xdr:cNvSpPr/>
      </xdr:nvSpPr>
      <xdr:spPr>
        <a:xfrm>
          <a:off x="8420100" y="502920"/>
          <a:ext cx="1059180" cy="36576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ysClr val="windowText" lastClr="000000"/>
              </a:solidFill>
            </a:rPr>
            <a:t>O.4%</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9.004080092593" createdVersion="8" refreshedVersion="8" minRefreshableVersion="3" recordCount="36" xr:uid="{F3C05129-3E16-41D3-8695-4DF46D99DB6E}">
  <cacheSource type="worksheet">
    <worksheetSource ref="A1:L37" sheet="Sheet1"/>
  </cacheSource>
  <cacheFields count="12">
    <cacheField name="State/UTs" numFmtId="0">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Zone" numFmtId="0">
      <sharedItems count="4">
        <s v="South"/>
        <s v="East"/>
        <s v="North"/>
        <s v="West"/>
      </sharedItems>
    </cacheField>
    <cacheField name="Total Cases" numFmtId="0">
      <sharedItems containsSemiMixedTypes="0" containsString="0" containsNumber="1" containsInteger="1" minValue="7670" maxValue="6623344"/>
    </cacheField>
    <cacheField name="Active" numFmtId="0">
      <sharedItems containsSemiMixedTypes="0" containsString="0" containsNumber="1" containsInteger="1" minValue="0" maxValue="69258"/>
    </cacheField>
    <cacheField name="Discharged" numFmtId="0">
      <sharedItems containsSemiMixedTypes="0" containsString="0" containsNumber="1" containsInteger="1" minValue="7534" maxValue="6466913"/>
    </cacheField>
    <cacheField name="Deaths" numFmtId="0">
      <sharedItems containsSemiMixedTypes="0" containsString="0" containsNumber="1" containsInteger="1" minValue="4" maxValue="140565"/>
    </cacheField>
    <cacheField name="Active Ratio" numFmtId="0">
      <sharedItems containsSemiMixedTypes="0" containsString="0" containsNumber="1" minValue="0" maxValue="4.3899999999999997"/>
    </cacheField>
    <cacheField name="Discharge Ratio" numFmtId="0">
      <sharedItems containsSemiMixedTypes="0" containsString="0" containsNumber="1" minValue="95.25" maxValue="99.96"/>
    </cacheField>
    <cacheField name="Discharge Avg" numFmtId="0">
      <sharedItems count="2">
        <s v="Below Average"/>
        <s v="Above Average"/>
      </sharedItems>
    </cacheField>
    <cacheField name="Death Ratio" numFmtId="0">
      <sharedItems containsSemiMixedTypes="0" containsString="0" containsNumber="1" minValue="0.04" maxValue="2.75" count="31">
        <n v="1.68"/>
        <n v="0.7"/>
        <n v="0.51"/>
        <n v="0.99"/>
        <n v="1.33"/>
        <n v="1.25"/>
        <n v="1.35"/>
        <n v="0.04"/>
        <n v="1.74"/>
        <n v="1.89"/>
        <n v="1.22"/>
        <n v="1.3"/>
        <n v="1.69"/>
        <n v="1.47"/>
        <n v="1.27"/>
        <n v="0.71"/>
        <n v="1"/>
        <n v="0.49"/>
        <n v="2.12"/>
        <n v="1.56"/>
        <n v="0.36"/>
        <n v="2.16"/>
        <n v="0.8"/>
        <n v="1.45"/>
        <n v="2.75"/>
        <n v="0.94"/>
        <n v="1.34"/>
        <n v="0.59"/>
        <n v="0.96"/>
        <n v="2.15"/>
        <n v="1.2"/>
      </sharedItems>
    </cacheField>
    <cacheField name="Death Avg" numFmtId="0">
      <sharedItems count="2">
        <s v="Above Average"/>
        <s v="Below Average"/>
      </sharedItems>
    </cacheField>
    <cacheField name="Population" numFmtId="0">
      <sharedItems containsSemiMixedTypes="0" containsString="0" containsNumber="1" containsInteger="1" minValue="66001" maxValue="231502578"/>
    </cacheField>
  </cacheFields>
  <extLst>
    <ext xmlns:x14="http://schemas.microsoft.com/office/spreadsheetml/2009/9/main" uri="{725AE2AE-9491-48be-B2B4-4EB974FC3084}">
      <x14:pivotCacheDefinition pivotCacheId="2997919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7670"/>
    <n v="7"/>
    <n v="7534"/>
    <n v="129"/>
    <n v="0.09"/>
    <n v="98.23"/>
    <x v="0"/>
    <x v="0"/>
    <x v="0"/>
    <n v="399001"/>
  </r>
  <r>
    <x v="1"/>
    <x v="0"/>
    <n v="2069770"/>
    <n v="3128"/>
    <n v="2052230"/>
    <n v="14412"/>
    <n v="0.15"/>
    <n v="99.15"/>
    <x v="1"/>
    <x v="1"/>
    <x v="1"/>
    <n v="91702478"/>
  </r>
  <r>
    <x v="2"/>
    <x v="1"/>
    <n v="55216"/>
    <n v="42"/>
    <n v="54894"/>
    <n v="280"/>
    <n v="0.08"/>
    <n v="99.42"/>
    <x v="1"/>
    <x v="2"/>
    <x v="1"/>
    <n v="1711947"/>
  </r>
  <r>
    <x v="3"/>
    <x v="1"/>
    <n v="613784"/>
    <n v="3272"/>
    <n v="604465"/>
    <n v="6047"/>
    <n v="0.53"/>
    <n v="98.48"/>
    <x v="1"/>
    <x v="3"/>
    <x v="1"/>
    <n v="35998752"/>
  </r>
  <r>
    <x v="4"/>
    <x v="1"/>
    <n v="726153"/>
    <n v="29"/>
    <n v="716462"/>
    <n v="9662"/>
    <n v="0"/>
    <n v="98.67"/>
    <x v="1"/>
    <x v="4"/>
    <x v="0"/>
    <n v="128500364"/>
  </r>
  <r>
    <x v="5"/>
    <x v="2"/>
    <n v="65380"/>
    <n v="24"/>
    <n v="64536"/>
    <n v="820"/>
    <n v="0.04"/>
    <n v="98.71"/>
    <x v="1"/>
    <x v="5"/>
    <x v="1"/>
    <n v="1158040"/>
  </r>
  <r>
    <x v="6"/>
    <x v="1"/>
    <n v="1006326"/>
    <n v="230"/>
    <n v="992508"/>
    <n v="13588"/>
    <n v="0.02"/>
    <n v="98.63"/>
    <x v="1"/>
    <x v="6"/>
    <x v="0"/>
    <n v="32199722"/>
  </r>
  <r>
    <x v="7"/>
    <x v="3"/>
    <n v="10682"/>
    <n v="0"/>
    <n v="10678"/>
    <n v="4"/>
    <n v="0"/>
    <n v="99.96"/>
    <x v="1"/>
    <x v="7"/>
    <x v="1"/>
    <n v="773997"/>
  </r>
  <r>
    <x v="8"/>
    <x v="2"/>
    <n v="1440388"/>
    <n v="361"/>
    <n v="1414934"/>
    <n v="25093"/>
    <n v="0.03"/>
    <n v="98.23"/>
    <x v="0"/>
    <x v="8"/>
    <x v="0"/>
    <n v="19301096"/>
  </r>
  <r>
    <x v="9"/>
    <x v="3"/>
    <n v="178467"/>
    <n v="263"/>
    <n v="174830"/>
    <n v="3374"/>
    <n v="0.15"/>
    <n v="97.96"/>
    <x v="0"/>
    <x v="9"/>
    <x v="0"/>
    <n v="1521992"/>
  </r>
  <r>
    <x v="10"/>
    <x v="3"/>
    <n v="826924"/>
    <n v="226"/>
    <n v="816608"/>
    <n v="10090"/>
    <n v="0.03"/>
    <n v="98.75"/>
    <x v="1"/>
    <x v="10"/>
    <x v="1"/>
    <n v="70400153"/>
  </r>
  <r>
    <x v="11"/>
    <x v="2"/>
    <n v="771420"/>
    <n v="140"/>
    <n v="761230"/>
    <n v="10050"/>
    <n v="0.02"/>
    <n v="98.68"/>
    <x v="1"/>
    <x v="11"/>
    <x v="0"/>
    <n v="28900667"/>
  </r>
  <r>
    <x v="12"/>
    <x v="2"/>
    <n v="225712"/>
    <n v="1100"/>
    <n v="220800"/>
    <n v="3812"/>
    <n v="0.49"/>
    <n v="97.82"/>
    <x v="0"/>
    <x v="12"/>
    <x v="0"/>
    <n v="7503010"/>
  </r>
  <r>
    <x v="13"/>
    <x v="2"/>
    <n v="334006"/>
    <n v="1450"/>
    <n v="328108"/>
    <n v="4448"/>
    <n v="0.43"/>
    <n v="98.23"/>
    <x v="0"/>
    <x v="4"/>
    <x v="0"/>
    <n v="14999397"/>
  </r>
  <r>
    <x v="14"/>
    <x v="1"/>
    <n v="348992"/>
    <n v="141"/>
    <n v="343713"/>
    <n v="5138"/>
    <n v="0.04"/>
    <n v="98.49"/>
    <x v="1"/>
    <x v="13"/>
    <x v="0"/>
    <n v="40100376"/>
  </r>
  <r>
    <x v="15"/>
    <x v="0"/>
    <n v="2991614"/>
    <n v="8056"/>
    <n v="2945415"/>
    <n v="38143"/>
    <n v="0.27"/>
    <n v="98.46"/>
    <x v="1"/>
    <x v="14"/>
    <x v="1"/>
    <n v="69599762"/>
  </r>
  <r>
    <x v="16"/>
    <x v="0"/>
    <n v="5055224"/>
    <n v="69258"/>
    <n v="4950281"/>
    <n v="35685"/>
    <n v="1.37"/>
    <n v="97.92"/>
    <x v="0"/>
    <x v="15"/>
    <x v="1"/>
    <n v="34698876"/>
  </r>
  <r>
    <x v="17"/>
    <x v="2"/>
    <n v="21148"/>
    <n v="154"/>
    <n v="20783"/>
    <n v="211"/>
    <n v="0.73"/>
    <n v="98.27"/>
    <x v="0"/>
    <x v="16"/>
    <x v="1"/>
    <n v="290492"/>
  </r>
  <r>
    <x v="18"/>
    <x v="0"/>
    <n v="10365"/>
    <n v="0"/>
    <n v="10314"/>
    <n v="51"/>
    <n v="0"/>
    <n v="99.51"/>
    <x v="1"/>
    <x v="17"/>
    <x v="1"/>
    <n v="66001"/>
  </r>
  <r>
    <x v="19"/>
    <x v="3"/>
    <n v="792956"/>
    <n v="75"/>
    <n v="782357"/>
    <n v="10524"/>
    <n v="0.01"/>
    <n v="98.66"/>
    <x v="1"/>
    <x v="4"/>
    <x v="0"/>
    <n v="85002417"/>
  </r>
  <r>
    <x v="20"/>
    <x v="3"/>
    <n v="6623344"/>
    <n v="15866"/>
    <n v="6466913"/>
    <n v="140565"/>
    <n v="0.24"/>
    <n v="97.64"/>
    <x v="0"/>
    <x v="18"/>
    <x v="0"/>
    <n v="124904071"/>
  </r>
  <r>
    <x v="21"/>
    <x v="1"/>
    <n v="124432"/>
    <n v="799"/>
    <n v="121687"/>
    <n v="1946"/>
    <n v="0.64"/>
    <n v="97.79"/>
    <x v="0"/>
    <x v="19"/>
    <x v="0"/>
    <n v="3436948"/>
  </r>
  <r>
    <x v="22"/>
    <x v="1"/>
    <n v="84013"/>
    <n v="277"/>
    <n v="82274"/>
    <n v="1462"/>
    <n v="0.33"/>
    <n v="97.93"/>
    <x v="0"/>
    <x v="8"/>
    <x v="0"/>
    <n v="3772103"/>
  </r>
  <r>
    <x v="23"/>
    <x v="1"/>
    <n v="128604"/>
    <n v="5651"/>
    <n v="122494"/>
    <n v="459"/>
    <n v="4.3899999999999997"/>
    <n v="95.25"/>
    <x v="0"/>
    <x v="20"/>
    <x v="1"/>
    <n v="1308967"/>
  </r>
  <r>
    <x v="24"/>
    <x v="1"/>
    <n v="31978"/>
    <n v="163"/>
    <n v="31123"/>
    <n v="692"/>
    <n v="0.51"/>
    <n v="97.33"/>
    <x v="0"/>
    <x v="21"/>
    <x v="0"/>
    <n v="2073074"/>
  </r>
  <r>
    <x v="25"/>
    <x v="1"/>
    <n v="1045209"/>
    <n v="2534"/>
    <n v="1034300"/>
    <n v="8375"/>
    <n v="0.24"/>
    <n v="98.96"/>
    <x v="1"/>
    <x v="22"/>
    <x v="1"/>
    <n v="47099270"/>
  </r>
  <r>
    <x v="26"/>
    <x v="0"/>
    <n v="128401"/>
    <n v="275"/>
    <n v="126263"/>
    <n v="1863"/>
    <n v="0.21"/>
    <n v="98.33"/>
    <x v="0"/>
    <x v="23"/>
    <x v="0"/>
    <n v="1646050"/>
  </r>
  <r>
    <x v="27"/>
    <x v="2"/>
    <n v="602778"/>
    <n v="318"/>
    <n v="585889"/>
    <n v="16571"/>
    <n v="0.05"/>
    <n v="97.2"/>
    <x v="0"/>
    <x v="24"/>
    <x v="0"/>
    <n v="30501026"/>
  </r>
  <r>
    <x v="28"/>
    <x v="3"/>
    <n v="954503"/>
    <n v="71"/>
    <n v="945478"/>
    <n v="8954"/>
    <n v="0.01"/>
    <n v="99.05"/>
    <x v="1"/>
    <x v="25"/>
    <x v="1"/>
    <n v="79502477"/>
  </r>
  <r>
    <x v="29"/>
    <x v="1"/>
    <n v="32096"/>
    <n v="121"/>
    <n v="31575"/>
    <n v="400"/>
    <n v="0.38"/>
    <n v="98.38"/>
    <x v="1"/>
    <x v="5"/>
    <x v="1"/>
    <n v="658019"/>
  </r>
  <r>
    <x v="30"/>
    <x v="0"/>
    <n v="2714025"/>
    <n v="9751"/>
    <n v="2668001"/>
    <n v="36273"/>
    <n v="0.36"/>
    <n v="98.3"/>
    <x v="0"/>
    <x v="26"/>
    <x v="0"/>
    <n v="83697770"/>
  </r>
  <r>
    <x v="31"/>
    <x v="0"/>
    <n v="673469"/>
    <n v="3741"/>
    <n v="665755"/>
    <n v="3973"/>
    <n v="0.56000000000000005"/>
    <n v="98.85"/>
    <x v="1"/>
    <x v="27"/>
    <x v="1"/>
    <n v="38157311"/>
  </r>
  <r>
    <x v="32"/>
    <x v="1"/>
    <n v="84665"/>
    <n v="116"/>
    <n v="83732"/>
    <n v="817"/>
    <n v="0.14000000000000001"/>
    <n v="98.9"/>
    <x v="1"/>
    <x v="28"/>
    <x v="1"/>
    <n v="4184959"/>
  </r>
  <r>
    <x v="33"/>
    <x v="2"/>
    <n v="1710261"/>
    <n v="90"/>
    <n v="1687262"/>
    <n v="22909"/>
    <n v="0.01"/>
    <n v="98.66"/>
    <x v="1"/>
    <x v="26"/>
    <x v="0"/>
    <n v="231502578"/>
  </r>
  <r>
    <x v="34"/>
    <x v="2"/>
    <n v="344014"/>
    <n v="158"/>
    <n v="336453"/>
    <n v="7403"/>
    <n v="0.05"/>
    <n v="97.8"/>
    <x v="0"/>
    <x v="29"/>
    <x v="0"/>
    <n v="11700099"/>
  </r>
  <r>
    <x v="35"/>
    <x v="1"/>
    <n v="1603318"/>
    <n v="8031"/>
    <n v="1575980"/>
    <n v="19307"/>
    <n v="0.5"/>
    <n v="98.29"/>
    <x v="0"/>
    <x v="30"/>
    <x v="1"/>
    <n v="1008966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27895E-B137-4B74-AA06-656F1B2FFA33}"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C81" firstHeaderRow="0" firstDataRow="1" firstDataCol="1"/>
  <pivotFields count="12">
    <pivotField axis="axisRow" showAll="0"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ataField="1" showAll="0"/>
    <pivotField showAll="0"/>
    <pivotField showAll="0"/>
    <pivotField showAll="0"/>
    <pivotField showAll="0"/>
    <pivotField showAll="0"/>
    <pivotField showAll="0"/>
    <pivotField showAll="0"/>
  </pivotFields>
  <rowFields count="1">
    <field x="0"/>
  </rowFields>
  <rowItems count="37">
    <i>
      <x v="20"/>
    </i>
    <i>
      <x v="16"/>
    </i>
    <i>
      <x v="15"/>
    </i>
    <i>
      <x v="30"/>
    </i>
    <i>
      <x v="1"/>
    </i>
    <i>
      <x v="33"/>
    </i>
    <i>
      <x v="35"/>
    </i>
    <i>
      <x v="8"/>
    </i>
    <i>
      <x v="25"/>
    </i>
    <i>
      <x v="6"/>
    </i>
    <i>
      <x v="28"/>
    </i>
    <i>
      <x v="10"/>
    </i>
    <i>
      <x v="19"/>
    </i>
    <i>
      <x v="11"/>
    </i>
    <i>
      <x v="4"/>
    </i>
    <i>
      <x v="31"/>
    </i>
    <i>
      <x v="3"/>
    </i>
    <i>
      <x v="27"/>
    </i>
    <i>
      <x v="14"/>
    </i>
    <i>
      <x v="34"/>
    </i>
    <i>
      <x v="13"/>
    </i>
    <i>
      <x v="12"/>
    </i>
    <i>
      <x v="9"/>
    </i>
    <i>
      <x v="23"/>
    </i>
    <i>
      <x v="26"/>
    </i>
    <i>
      <x v="21"/>
    </i>
    <i>
      <x v="32"/>
    </i>
    <i>
      <x v="22"/>
    </i>
    <i>
      <x v="5"/>
    </i>
    <i>
      <x v="2"/>
    </i>
    <i>
      <x v="29"/>
    </i>
    <i>
      <x v="24"/>
    </i>
    <i>
      <x v="17"/>
    </i>
    <i>
      <x v="7"/>
    </i>
    <i>
      <x v="18"/>
    </i>
    <i>
      <x/>
    </i>
    <i t="grand">
      <x/>
    </i>
  </rowItems>
  <colFields count="1">
    <field x="-2"/>
  </colFields>
  <colItems count="2">
    <i>
      <x/>
    </i>
    <i i="1">
      <x v="1"/>
    </i>
  </colItems>
  <dataFields count="2">
    <dataField name="Total_Cases" fld="2" baseField="0" baseItem="20"/>
    <dataField name="Dischargedcases" fld="4" baseField="0" baseItem="2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01A1D6-8688-43EC-8933-418969040E88}" name="PivotTable3"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S">
  <location ref="A16:B21" firstHeaderRow="1" firstDataRow="1" firstDataCol="1"/>
  <pivotFields count="12">
    <pivotField axis="axisRow" showAll="0" measureFilter="1"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showAll="0"/>
  </pivotFields>
  <rowFields count="1">
    <field x="0"/>
  </rowFields>
  <rowItems count="5">
    <i>
      <x v="20"/>
    </i>
    <i>
      <x v="16"/>
    </i>
    <i>
      <x v="15"/>
    </i>
    <i>
      <x v="30"/>
    </i>
    <i>
      <x v="1"/>
    </i>
  </rowItems>
  <colItems count="1">
    <i/>
  </colItems>
  <dataFields count="1">
    <dataField name="Cases" fld="2" baseField="0" baseItem="20"/>
  </dataFields>
  <conditionalFormats count="1">
    <conditionalFormat priority="8">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9E7BB8-1E99-499C-A331-FB1EEF87D8B0}" name="PivotTable1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29:M66" firstHeaderRow="1" firstDataRow="1" firstDataCol="1" rowPageCount="1" colPageCount="1"/>
  <pivotFields count="12">
    <pivotField axis="axisRow" showAll="0"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axis="axisPage" showAll="0">
      <items count="3">
        <item x="1"/>
        <item x="0"/>
        <item t="default"/>
      </items>
    </pivotField>
    <pivotField showAll="0">
      <items count="32">
        <item x="7"/>
        <item x="20"/>
        <item x="17"/>
        <item x="2"/>
        <item x="27"/>
        <item x="1"/>
        <item x="15"/>
        <item x="22"/>
        <item x="25"/>
        <item x="28"/>
        <item x="3"/>
        <item x="16"/>
        <item x="30"/>
        <item x="10"/>
        <item x="5"/>
        <item x="14"/>
        <item x="11"/>
        <item x="4"/>
        <item x="26"/>
        <item x="6"/>
        <item x="23"/>
        <item x="13"/>
        <item x="19"/>
        <item x="0"/>
        <item x="12"/>
        <item x="8"/>
        <item x="9"/>
        <item x="18"/>
        <item x="29"/>
        <item x="21"/>
        <item x="24"/>
        <item t="default"/>
      </items>
    </pivotField>
    <pivotField multipleItemSelectionAllowed="1" showAll="0">
      <items count="3">
        <item x="0"/>
        <item x="1"/>
        <item t="default"/>
      </items>
    </pivotField>
    <pivotField showAll="0"/>
  </pivotFields>
  <rowFields count="1">
    <field x="0"/>
  </rowFields>
  <rowItems count="37">
    <i>
      <x v="7"/>
    </i>
    <i>
      <x v="18"/>
    </i>
    <i>
      <x v="2"/>
    </i>
    <i>
      <x v="1"/>
    </i>
    <i>
      <x v="28"/>
    </i>
    <i>
      <x v="25"/>
    </i>
    <i>
      <x v="32"/>
    </i>
    <i>
      <x v="31"/>
    </i>
    <i>
      <x v="10"/>
    </i>
    <i>
      <x v="5"/>
    </i>
    <i>
      <x v="11"/>
    </i>
    <i>
      <x v="4"/>
    </i>
    <i>
      <x v="33"/>
    </i>
    <i>
      <x v="19"/>
    </i>
    <i>
      <x v="6"/>
    </i>
    <i>
      <x v="14"/>
    </i>
    <i>
      <x v="3"/>
    </i>
    <i>
      <x v="15"/>
    </i>
    <i>
      <x v="29"/>
    </i>
    <i>
      <x v="26"/>
    </i>
    <i>
      <x v="30"/>
    </i>
    <i>
      <x v="35"/>
    </i>
    <i>
      <x v="17"/>
    </i>
    <i>
      <x v="8"/>
    </i>
    <i>
      <x v="13"/>
    </i>
    <i>
      <x/>
    </i>
    <i>
      <x v="9"/>
    </i>
    <i>
      <x v="22"/>
    </i>
    <i>
      <x v="16"/>
    </i>
    <i>
      <x v="12"/>
    </i>
    <i>
      <x v="34"/>
    </i>
    <i>
      <x v="21"/>
    </i>
    <i>
      <x v="20"/>
    </i>
    <i>
      <x v="24"/>
    </i>
    <i>
      <x v="27"/>
    </i>
    <i>
      <x v="23"/>
    </i>
    <i t="grand">
      <x/>
    </i>
  </rowItems>
  <colItems count="1">
    <i/>
  </colItems>
  <pageFields count="1">
    <pageField fld="8" hier="-1"/>
  </pageFields>
  <dataFields count="1">
    <dataField name="Sum of Discharge Ratio" fld="7"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8D6E80-D765-4CE7-AEBA-84B948C95EFE}"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E11" firstHeaderRow="0" firstDataRow="1" firstDataCol="1"/>
  <pivotFields count="12">
    <pivotField showAll="0"/>
    <pivotField axis="axisRow" showAll="0">
      <items count="5">
        <item x="1"/>
        <item x="2"/>
        <item x="0"/>
        <item x="3"/>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4">
    <i>
      <x/>
    </i>
    <i i="1">
      <x v="1"/>
    </i>
    <i i="2">
      <x v="2"/>
    </i>
    <i i="3">
      <x v="3"/>
    </i>
  </colItems>
  <dataFields count="4">
    <dataField name="Sum of Total Cases" fld="2" baseField="0" baseItem="0"/>
    <dataField name="Sum of Active" fld="3" baseField="0" baseItem="0"/>
    <dataField name="Sum of Discharged" fld="4" baseField="0" baseItem="0"/>
    <dataField name="Sum of Death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90255A-D44F-4CEF-AD9F-E031B9B2D400}"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dataField="1" showAll="0"/>
    <pivotField dataField="1" showAll="0"/>
    <pivotField dataField="1"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Total Cases" fld="2" baseField="0" baseItem="0"/>
    <dataField name="Sum of Active" fld="3" baseField="0" baseItem="0"/>
    <dataField name="Sum of Discharged" fld="4" baseField="0" baseItem="0"/>
    <dataField name="Sum of Death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2357F9-AD5B-4B2E-8FC2-3F1EA0F07AA5}" name="PivotTable1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6:I53" firstHeaderRow="1" firstDataRow="1" firstDataCol="1" rowPageCount="1" colPageCount="1"/>
  <pivotFields count="12">
    <pivotField axis="axisRow" showAll="0"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items count="32">
        <item x="7"/>
        <item x="20"/>
        <item x="17"/>
        <item x="2"/>
        <item x="27"/>
        <item x="1"/>
        <item x="15"/>
        <item x="22"/>
        <item x="25"/>
        <item x="28"/>
        <item x="3"/>
        <item x="16"/>
        <item x="30"/>
        <item x="10"/>
        <item x="5"/>
        <item x="14"/>
        <item x="11"/>
        <item x="4"/>
        <item x="26"/>
        <item x="6"/>
        <item x="23"/>
        <item x="13"/>
        <item x="19"/>
        <item x="0"/>
        <item x="12"/>
        <item x="8"/>
        <item x="9"/>
        <item x="18"/>
        <item x="29"/>
        <item x="21"/>
        <item x="24"/>
        <item t="default"/>
      </items>
    </pivotField>
    <pivotField axis="axisPage" multipleItemSelectionAllowed="1" showAll="0">
      <items count="3">
        <item x="0"/>
        <item x="1"/>
        <item t="default"/>
      </items>
    </pivotField>
    <pivotField showAll="0"/>
  </pivotFields>
  <rowFields count="1">
    <field x="0"/>
  </rowFields>
  <rowItems count="37">
    <i>
      <x v="27"/>
    </i>
    <i>
      <x v="24"/>
    </i>
    <i>
      <x v="34"/>
    </i>
    <i>
      <x v="20"/>
    </i>
    <i>
      <x v="9"/>
    </i>
    <i>
      <x v="22"/>
    </i>
    <i>
      <x v="8"/>
    </i>
    <i>
      <x v="12"/>
    </i>
    <i>
      <x/>
    </i>
    <i>
      <x v="21"/>
    </i>
    <i>
      <x v="14"/>
    </i>
    <i>
      <x v="26"/>
    </i>
    <i>
      <x v="6"/>
    </i>
    <i>
      <x v="30"/>
    </i>
    <i>
      <x v="33"/>
    </i>
    <i>
      <x v="13"/>
    </i>
    <i>
      <x v="19"/>
    </i>
    <i>
      <x v="4"/>
    </i>
    <i>
      <x v="11"/>
    </i>
    <i>
      <x v="15"/>
    </i>
    <i>
      <x v="5"/>
    </i>
    <i>
      <x v="29"/>
    </i>
    <i>
      <x v="10"/>
    </i>
    <i>
      <x v="35"/>
    </i>
    <i>
      <x v="17"/>
    </i>
    <i>
      <x v="3"/>
    </i>
    <i>
      <x v="32"/>
    </i>
    <i>
      <x v="28"/>
    </i>
    <i>
      <x v="25"/>
    </i>
    <i>
      <x v="16"/>
    </i>
    <i>
      <x v="1"/>
    </i>
    <i>
      <x v="31"/>
    </i>
    <i>
      <x v="2"/>
    </i>
    <i>
      <x v="18"/>
    </i>
    <i>
      <x v="23"/>
    </i>
    <i>
      <x v="7"/>
    </i>
    <i t="grand">
      <x/>
    </i>
  </rowItems>
  <colItems count="1">
    <i/>
  </colItems>
  <pageFields count="1">
    <pageField fld="10" hier="-1"/>
  </pageFields>
  <dataFields count="1">
    <dataField name="Sum of Death Ratio" fld="9"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C5F0BA-0D37-4032-B4DB-365F1EF693D4}" name="PivotTable9"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S">
  <location ref="A25:B30" firstHeaderRow="1" firstDataRow="1" firstDataCol="1"/>
  <pivotFields count="12">
    <pivotField axis="axisRow" showAll="0" measureFilter="1"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5">
    <i>
      <x v="7"/>
    </i>
    <i>
      <x v="18"/>
    </i>
    <i>
      <x v="2"/>
    </i>
    <i>
      <x v="1"/>
    </i>
    <i>
      <x v="28"/>
    </i>
  </rowItems>
  <colItems count="1">
    <i/>
  </colItems>
  <dataFields count="1">
    <dataField name="Recovered (%)" fld="7" baseField="0" baseItem="0"/>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9B3210-67EC-4D56-8D9E-0539327C9FF5}" name="PivotTable7"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34:D40" firstHeaderRow="1" firstDataRow="1" firstDataCol="1"/>
  <pivotFields count="12">
    <pivotField axis="axisRow" showAll="0" measureFilter="1"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6">
    <i>
      <x v="19"/>
    </i>
    <i>
      <x v="33"/>
    </i>
    <i>
      <x v="28"/>
    </i>
    <i>
      <x v="7"/>
    </i>
    <i>
      <x v="4"/>
    </i>
    <i>
      <x v="18"/>
    </i>
  </rowItems>
  <colItems count="1">
    <i/>
  </colItems>
  <dataFields count="1">
    <dataField name="Sum of Active Ratio" fld="6" baseField="0" baseItem="0"/>
  </dataField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0"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4EC2E9-7FDD-4541-A165-1C32FBDD0AAC}" name="PivotTable5"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S">
  <location ref="C25:D30" firstHeaderRow="1" firstDataRow="1" firstDataCol="1"/>
  <pivotFields count="12">
    <pivotField axis="axisRow" showAll="0" measureFilter="1"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s>
  <rowFields count="1">
    <field x="0"/>
  </rowFields>
  <rowItems count="5">
    <i>
      <x v="23"/>
    </i>
    <i>
      <x v="27"/>
    </i>
    <i>
      <x v="24"/>
    </i>
    <i>
      <x v="20"/>
    </i>
    <i>
      <x v="21"/>
    </i>
  </rowItems>
  <colItems count="1">
    <i/>
  </colItems>
  <dataFields count="1">
    <dataField name="Recovered (%)" fld="7" baseField="0" baseItem="23"/>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0" type="count" evalOrder="-1" id="6"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97493F-8356-49BC-903F-56BFE53B7BD6}" name="PivotTable6"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4:B39" firstHeaderRow="1" firstDataRow="1" firstDataCol="1"/>
  <pivotFields count="12">
    <pivotField axis="axisRow" showAll="0" measureFilter="1"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5">
    <i>
      <x v="23"/>
    </i>
    <i>
      <x v="16"/>
    </i>
    <i>
      <x v="17"/>
    </i>
    <i>
      <x v="21"/>
    </i>
    <i>
      <x v="31"/>
    </i>
  </rowItems>
  <colItems count="1">
    <i/>
  </colItems>
  <dataFields count="1">
    <dataField name="Active Cases (%)" fld="6" baseField="0" baseItem="23"/>
  </dataField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9ACBEB-3129-408F-910C-ABA128E18128}"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I7:AJ12" firstHeaderRow="1" firstDataRow="1" firstDataCol="1"/>
  <pivotFields count="12">
    <pivotField showAll="0"/>
    <pivotField axis="axisRow" showAll="0">
      <items count="5">
        <item x="1"/>
        <item x="2"/>
        <item x="0"/>
        <item x="3"/>
        <item t="default"/>
      </items>
    </pivotField>
    <pivotField dataField="1"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Total Cases" fld="2" baseField="0" baseItem="0"/>
  </dataFields>
  <chartFormats count="10">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E67CCF-DD69-4FA0-889D-05F06060AF2A}" name="PivotTable1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Y11:AA48" firstHeaderRow="0" firstDataRow="1" firstDataCol="1" rowPageCount="1" colPageCount="1"/>
  <pivotFields count="12">
    <pivotField axis="axisRow" showAll="0"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axis="axisPage" showAll="0">
      <items count="5">
        <item x="1"/>
        <item x="2"/>
        <item x="0"/>
        <item x="3"/>
        <item t="default"/>
      </items>
    </pivotField>
    <pivotField showAll="0"/>
    <pivotField dataField="1" showAll="0"/>
    <pivotField showAll="0"/>
    <pivotField dataField="1" showAll="0"/>
    <pivotField showAll="0"/>
    <pivotField showAll="0"/>
    <pivotField showAll="0"/>
    <pivotField showAll="0"/>
    <pivotField showAll="0"/>
    <pivotField showAll="0"/>
  </pivotFields>
  <rowFields count="1">
    <field x="0"/>
  </rowFields>
  <rowItems count="37">
    <i>
      <x v="20"/>
    </i>
    <i>
      <x v="15"/>
    </i>
    <i>
      <x v="30"/>
    </i>
    <i>
      <x v="16"/>
    </i>
    <i>
      <x v="8"/>
    </i>
    <i>
      <x v="33"/>
    </i>
    <i>
      <x v="35"/>
    </i>
    <i>
      <x v="27"/>
    </i>
    <i>
      <x v="1"/>
    </i>
    <i>
      <x v="6"/>
    </i>
    <i>
      <x v="19"/>
    </i>
    <i>
      <x v="10"/>
    </i>
    <i>
      <x v="11"/>
    </i>
    <i>
      <x v="4"/>
    </i>
    <i>
      <x v="28"/>
    </i>
    <i>
      <x v="25"/>
    </i>
    <i>
      <x v="34"/>
    </i>
    <i>
      <x v="3"/>
    </i>
    <i>
      <x v="14"/>
    </i>
    <i>
      <x v="13"/>
    </i>
    <i>
      <x v="31"/>
    </i>
    <i>
      <x v="12"/>
    </i>
    <i>
      <x v="9"/>
    </i>
    <i>
      <x v="21"/>
    </i>
    <i>
      <x v="26"/>
    </i>
    <i>
      <x v="22"/>
    </i>
    <i>
      <x v="5"/>
    </i>
    <i>
      <x v="32"/>
    </i>
    <i>
      <x v="24"/>
    </i>
    <i>
      <x v="23"/>
    </i>
    <i>
      <x v="29"/>
    </i>
    <i>
      <x v="2"/>
    </i>
    <i>
      <x v="17"/>
    </i>
    <i>
      <x/>
    </i>
    <i>
      <x v="18"/>
    </i>
    <i>
      <x v="7"/>
    </i>
    <i t="grand">
      <x/>
    </i>
  </rowItems>
  <colFields count="1">
    <field x="-2"/>
  </colFields>
  <colItems count="2">
    <i>
      <x/>
    </i>
    <i i="1">
      <x v="1"/>
    </i>
  </colItems>
  <pageFields count="1">
    <pageField fld="1" hier="-1"/>
  </pageFields>
  <dataFields count="2">
    <dataField name="Death" fld="5" baseField="0" baseItem="20"/>
    <dataField name="Actives" fld="3" baseField="0" baseItem="2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B9A568-CE63-4D2F-A2C6-6BC60D858520}" name="PivotTable4"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S">
  <location ref="C16:D21" firstHeaderRow="1" firstDataRow="1" firstDataCol="1"/>
  <pivotFields count="12">
    <pivotField axis="axisRow" showAll="0" measureFilter="1"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showAll="0"/>
  </pivotFields>
  <rowFields count="1">
    <field x="0"/>
  </rowFields>
  <rowItems count="5">
    <i>
      <x/>
    </i>
    <i>
      <x v="18"/>
    </i>
    <i>
      <x v="7"/>
    </i>
    <i>
      <x v="17"/>
    </i>
    <i>
      <x v="24"/>
    </i>
  </rowItems>
  <colItems count="1">
    <i/>
  </colItems>
  <dataFields count="1">
    <dataField name="Cases" fld="2" baseField="0" baseItem="0"/>
  </dataFields>
  <conditionalFormats count="1">
    <conditionalFormat priority="7">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0"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3A5E43-26FE-4417-B3F7-08DBE73B2376}" name="PivotTable9"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S">
  <location ref="A25:B30" firstHeaderRow="1" firstDataRow="1" firstDataCol="1"/>
  <pivotFields count="12">
    <pivotField axis="axisRow" showAll="0" measureFilter="1"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5">
    <i>
      <x v="7"/>
    </i>
    <i>
      <x v="18"/>
    </i>
    <i>
      <x v="2"/>
    </i>
    <i>
      <x v="1"/>
    </i>
    <i>
      <x v="28"/>
    </i>
  </rowItems>
  <colItems count="1">
    <i/>
  </colItems>
  <dataFields count="1">
    <dataField name="Recovered (%)" fld="7" baseField="0" baseItem="0"/>
  </dataFields>
  <conditionalFormats count="5">
    <conditionalFormat priority="2">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 priority="6">
      <pivotAreas count="1">
        <pivotArea type="data" outline="0" collapsedLevelsAreSubtotals="1" fieldPosition="0">
          <references count="1">
            <reference field="4294967294" count="1" selected="0">
              <x v="0"/>
            </reference>
          </references>
        </pivotArea>
      </pivotAreas>
    </conditionalFormat>
    <conditionalFormat priority="6">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D60A892-EB9D-4B28-B393-1DD2970681BF}" name="PivotTable5"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S">
  <location ref="C16:D21" firstHeaderRow="1" firstDataRow="1" firstDataCol="1"/>
  <pivotFields count="12">
    <pivotField axis="axisRow" showAll="0" measureFilter="1"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s>
  <rowFields count="1">
    <field x="0"/>
  </rowFields>
  <rowItems count="5">
    <i>
      <x v="7"/>
    </i>
    <i>
      <x v="23"/>
    </i>
    <i>
      <x v="18"/>
    </i>
    <i>
      <x v="2"/>
    </i>
    <i>
      <x v="31"/>
    </i>
  </rowItems>
  <colItems count="1">
    <i/>
  </colItems>
  <dataFields count="1">
    <dataField name="DEATH (%)" fld="9" baseField="0" baseItem="0"/>
  </dataFields>
  <conditionalFormats count="1">
    <conditionalFormat priority="13">
      <pivotAreas count="1">
        <pivotArea type="data" collapsedLevelsAreSubtotals="1" fieldPosition="0">
          <references count="2">
            <reference field="4294967294" count="1" selected="0">
              <x v="0"/>
            </reference>
            <reference field="0" count="10">
              <x v="1"/>
              <x v="2"/>
              <x v="7"/>
              <x v="16"/>
              <x v="18"/>
              <x v="23"/>
              <x v="25"/>
              <x v="28"/>
              <x v="31"/>
              <x v="32"/>
            </reference>
          </references>
        </pivotArea>
      </pivotAreas>
    </conditionalFormat>
  </conditionalFormats>
  <pivotTableStyleInfo name="PivotStyleLight16" showRowHeaders="1" showColHeaders="1" showRowStripes="0" showColStripes="0" showLastColumn="1"/>
  <filters count="1">
    <filter fld="0"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48850DD-A786-4848-9B22-303909A1523D}" name="PivotTable8"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4:B39" firstHeaderRow="1" firstDataRow="1" firstDataCol="1"/>
  <pivotFields count="12">
    <pivotField axis="axisRow" showAll="0" measureFilter="1"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5">
    <i>
      <x v="23"/>
    </i>
    <i>
      <x v="16"/>
    </i>
    <i>
      <x v="17"/>
    </i>
    <i>
      <x v="21"/>
    </i>
    <i>
      <x v="31"/>
    </i>
  </rowItems>
  <colItems count="1">
    <i/>
  </colItems>
  <dataFields count="1">
    <dataField name="Active Cases (%)" fld="6" baseField="0" baseItem="23"/>
  </dataFields>
  <conditionalFormats count="2">
    <conditionalFormat priority="8">
      <pivotAreas count="1">
        <pivotArea type="data" outline="0" collapsedLevelsAreSubtotals="1" fieldPosition="0">
          <references count="1">
            <reference field="4294967294" count="1" selected="0">
              <x v="0"/>
            </reference>
          </references>
        </pivotArea>
      </pivotAreas>
    </conditionalFormat>
    <conditionalFormat priority="8">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5315FE-BD4C-4887-B6A1-9DCA22E2F9E9}" name="PivotTable11"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S">
  <location ref="C7:D12" firstHeaderRow="1" firstDataRow="1" firstDataCol="1"/>
  <pivotFields count="12">
    <pivotField axis="axisRow" showAll="0" measureFilter="1"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showAll="0"/>
  </pivotFields>
  <rowFields count="1">
    <field x="0"/>
  </rowFields>
  <rowItems count="5">
    <i>
      <x/>
    </i>
    <i>
      <x v="18"/>
    </i>
    <i>
      <x v="7"/>
    </i>
    <i>
      <x v="17"/>
    </i>
    <i>
      <x v="24"/>
    </i>
  </rowItems>
  <colItems count="1">
    <i/>
  </colItems>
  <dataFields count="1">
    <dataField name="Cases" fld="2" baseField="0" baseItem="0"/>
  </dataFields>
  <conditionalFormats count="1">
    <conditionalFormat priority="9">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0"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996FB2A-0430-4E44-8351-52A598883D5A}" name="PivotTable10"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S">
  <location ref="A7:B12" firstHeaderRow="1" firstDataRow="1" firstDataCol="1"/>
  <pivotFields count="12">
    <pivotField axis="axisRow" showAll="0" measureFilter="1"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showAll="0"/>
  </pivotFields>
  <rowFields count="1">
    <field x="0"/>
  </rowFields>
  <rowItems count="5">
    <i>
      <x v="20"/>
    </i>
    <i>
      <x v="16"/>
    </i>
    <i>
      <x v="15"/>
    </i>
    <i>
      <x v="30"/>
    </i>
    <i>
      <x v="1"/>
    </i>
  </rowItems>
  <colItems count="1">
    <i/>
  </colItems>
  <dataFields count="1">
    <dataField name="Cases" fld="2" baseField="0" baseItem="20"/>
  </dataFields>
  <conditionalFormats count="1">
    <conditionalFormat priority="10">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114D63C-84D9-4999-B7EA-59C3082BEE5E}" name="PivotTable6"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S">
  <location ref="A16:B21" firstHeaderRow="1" firstDataRow="1" firstDataCol="1"/>
  <pivotFields count="12">
    <pivotField axis="axisRow" showAll="0" measureFilter="1"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s>
  <rowFields count="1">
    <field x="0"/>
  </rowFields>
  <rowItems count="5">
    <i>
      <x v="27"/>
    </i>
    <i>
      <x v="24"/>
    </i>
    <i>
      <x v="34"/>
    </i>
    <i>
      <x v="20"/>
    </i>
    <i>
      <x v="9"/>
    </i>
  </rowItems>
  <colItems count="1">
    <i/>
  </colItems>
  <dataFields count="1">
    <dataField name="DEATH (%)" fld="9" baseField="0" baseItem="27"/>
  </dataFields>
  <conditionalFormats count="1">
    <conditionalFormat priority="14">
      <pivotAreas count="1">
        <pivotArea type="data" collapsedLevelsAreSubtotals="1" fieldPosition="0">
          <references count="2">
            <reference field="4294967294" count="1" selected="0">
              <x v="0"/>
            </reference>
            <reference field="0" count="10">
              <x v="0"/>
              <x v="8"/>
              <x v="9"/>
              <x v="12"/>
              <x v="20"/>
              <x v="21"/>
              <x v="22"/>
              <x v="24"/>
              <x v="27"/>
              <x v="34"/>
            </reference>
          </references>
        </pivotArea>
      </pivotAreas>
    </conditionalFormat>
  </conditional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6073973-E959-40FD-BD59-BBB3EC21F57F}" name="PivotTable12"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S">
  <location ref="C25:D30" firstHeaderRow="1" firstDataRow="1" firstDataCol="1"/>
  <pivotFields count="12">
    <pivotField axis="axisRow" showAll="0" measureFilter="1"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s>
  <rowFields count="1">
    <field x="0"/>
  </rowFields>
  <rowItems count="5">
    <i>
      <x v="23"/>
    </i>
    <i>
      <x v="27"/>
    </i>
    <i>
      <x v="24"/>
    </i>
    <i>
      <x v="20"/>
    </i>
    <i>
      <x v="21"/>
    </i>
  </rowItems>
  <colItems count="1">
    <i/>
  </colItems>
  <dataFields count="1">
    <dataField name="Recovered (%)" fld="7" baseField="0" baseItem="23"/>
  </dataFields>
  <conditionalFormats count="3">
    <conditionalFormat priority="1">
      <pivotAreas count="1">
        <pivotArea type="data" outline="0" collapsedLevelsAreSubtotals="1" fieldPosition="0">
          <references count="1">
            <reference field="4294967294" count="1" selected="0">
              <x v="0"/>
            </reference>
          </references>
        </pivotArea>
      </pivotAreas>
    </conditionalFormat>
    <conditionalFormat priority="5">
      <pivotAreas count="1">
        <pivotArea type="data" outline="0" collapsedLevelsAreSubtotals="1" fieldPosition="0">
          <references count="1">
            <reference field="4294967294" count="1" selected="0">
              <x v="0"/>
            </reference>
          </references>
        </pivotArea>
      </pivotAreas>
    </conditionalFormat>
    <conditionalFormat priority="5">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0" type="count" evalOrder="-1" id="6"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th_Avg" xr10:uid="{DBB92D4E-21DF-4297-9540-DF406D97FBE0}" sourceName="Death Avg">
  <pivotTables>
    <pivotTable tabId="3" name="PivotTable13"/>
    <pivotTable tabId="3" name="PivotTable14"/>
  </pivotTables>
  <data>
    <tabular pivotCacheId="29979198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Avg" xr10:uid="{1C9377C4-A19D-4E01-BA82-782D7D6A8B3B}" sourceName="Discharge Avg">
  <pivotTables>
    <pivotTable tabId="3" name="PivotTable14"/>
  </pivotTables>
  <data>
    <tabular pivotCacheId="29979198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359980E9-B903-4058-BE3C-F4824CCF02C0}" sourceName="Zone">
  <pivotTables>
    <pivotTable tabId="3" name="PivotTable15"/>
  </pivotTables>
  <data>
    <tabular pivotCacheId="299791986">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ath Avg" xr10:uid="{2E308B3A-78F3-42A7-81E5-9D075411AA3C}" cache="Slicer_Death_Avg" caption="Death Avg" columnCount="2" rowHeight="234950"/>
  <slicer name="Recovered Avg" xr10:uid="{228FB8AC-A024-443F-97C1-C96742D7BAEC}" cache="Slicer_Discharge_Avg" caption="Recovered Avg" columnCount="2" rowHeight="234950"/>
  <slicer name="Zone" xr10:uid="{41349D35-2628-4B9C-9D24-F341BE7B79B5}" cache="Slicer_Zone" caption="Zone"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ath Avg 1" xr10:uid="{6CBED0B2-CDC2-41B7-A5F8-1B224280D334}" cache="Slicer_Death_Avg" caption="Death Avg" columnCount="2" rowHeight="234950"/>
  <slicer name="Recovered Avg 1" xr10:uid="{F74E6BBB-8FEE-45BE-9F24-F80AF951266B}" cache="Slicer_Discharge_Avg" caption="Recovered Avg" columnCount="2" rowHeight="234950"/>
  <slicer name="Zone 1" xr10:uid="{27FD7C93-0702-42FB-9AB9-17D79DB09399}" cache="Slicer_Zone" caption="Zone"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11930-1711-4FAC-92D9-4D2ECC369896}">
  <dimension ref="A2:AJ81"/>
  <sheetViews>
    <sheetView workbookViewId="0">
      <selection activeCell="I70" sqref="I70"/>
    </sheetView>
  </sheetViews>
  <sheetFormatPr defaultRowHeight="14.4" x14ac:dyDescent="0.3"/>
  <cols>
    <col min="1" max="1" width="19.21875" bestFit="1" customWidth="1"/>
    <col min="2" max="2" width="10.88671875" bestFit="1" customWidth="1"/>
    <col min="3" max="3" width="14.77734375" bestFit="1" customWidth="1"/>
    <col min="4" max="4" width="19" customWidth="1"/>
    <col min="5" max="5" width="17.44140625" bestFit="1" customWidth="1"/>
    <col min="8" max="8" width="19.21875" bestFit="1" customWidth="1"/>
    <col min="9" max="9" width="17.44140625" bestFit="1" customWidth="1"/>
    <col min="10" max="10" width="9" bestFit="1" customWidth="1"/>
    <col min="11" max="11" width="11.6640625" bestFit="1" customWidth="1"/>
    <col min="12" max="12" width="19.21875" bestFit="1" customWidth="1"/>
    <col min="13" max="13" width="20.5546875" bestFit="1" customWidth="1"/>
    <col min="14" max="14" width="10.33203125" bestFit="1" customWidth="1"/>
    <col min="15" max="15" width="5.21875" bestFit="1" customWidth="1"/>
    <col min="16" max="16" width="16.109375" bestFit="1" customWidth="1"/>
    <col min="17" max="17" width="20.109375" bestFit="1" customWidth="1"/>
    <col min="18" max="18" width="8.21875" bestFit="1" customWidth="1"/>
    <col min="19" max="19" width="9.77734375" bestFit="1" customWidth="1"/>
    <col min="20" max="20" width="10.77734375" bestFit="1" customWidth="1"/>
    <col min="21" max="21" width="11.6640625" bestFit="1" customWidth="1"/>
    <col min="22" max="22" width="10.5546875" bestFit="1" customWidth="1"/>
    <col min="23" max="23" width="12.5546875" bestFit="1" customWidth="1"/>
    <col min="24" max="24" width="18.21875" bestFit="1" customWidth="1"/>
    <col min="25" max="25" width="19.21875" bestFit="1" customWidth="1"/>
    <col min="26" max="27" width="7" bestFit="1" customWidth="1"/>
    <col min="28" max="28" width="9.5546875" bestFit="1" customWidth="1"/>
    <col min="29" max="29" width="10.6640625" bestFit="1" customWidth="1"/>
    <col min="30" max="30" width="6.5546875" bestFit="1" customWidth="1"/>
    <col min="31" max="31" width="7.21875" bestFit="1" customWidth="1"/>
    <col min="32" max="32" width="11.33203125" bestFit="1" customWidth="1"/>
    <col min="33" max="33" width="7.109375" bestFit="1" customWidth="1"/>
    <col min="34" max="34" width="6.44140625" bestFit="1" customWidth="1"/>
    <col min="35" max="35" width="12.5546875" bestFit="1" customWidth="1"/>
    <col min="36" max="36" width="16.88671875" bestFit="1" customWidth="1"/>
    <col min="37" max="37" width="6.77734375" bestFit="1" customWidth="1"/>
    <col min="38" max="38" width="6.21875" bestFit="1" customWidth="1"/>
    <col min="39" max="39" width="14.5546875" bestFit="1" customWidth="1"/>
    <col min="40" max="40" width="9.6640625" bestFit="1" customWidth="1"/>
    <col min="41" max="41" width="16.88671875" bestFit="1" customWidth="1"/>
    <col min="42" max="42" width="12.44140625" bestFit="1" customWidth="1"/>
    <col min="43" max="43" width="8.44140625" bestFit="1" customWidth="1"/>
    <col min="44" max="44" width="14" bestFit="1" customWidth="1"/>
    <col min="45" max="45" width="10.77734375" bestFit="1" customWidth="1"/>
  </cols>
  <sheetData>
    <row r="2" spans="1:36" x14ac:dyDescent="0.3">
      <c r="F2" t="s">
        <v>72</v>
      </c>
    </row>
    <row r="3" spans="1:36" x14ac:dyDescent="0.3">
      <c r="A3" t="s">
        <v>56</v>
      </c>
      <c r="B3" t="s">
        <v>57</v>
      </c>
      <c r="C3" t="s">
        <v>58</v>
      </c>
      <c r="D3" t="s">
        <v>59</v>
      </c>
      <c r="F3" s="5">
        <f>(135918/GETPIVOTDATA("Sum of Total Cases",$A$3))*100</f>
        <v>0.39468242972657536</v>
      </c>
    </row>
    <row r="4" spans="1:36" x14ac:dyDescent="0.3">
      <c r="A4">
        <v>34437307</v>
      </c>
      <c r="B4">
        <v>135918</v>
      </c>
      <c r="C4">
        <v>33837859</v>
      </c>
      <c r="D4">
        <v>463530</v>
      </c>
    </row>
    <row r="6" spans="1:36" x14ac:dyDescent="0.3">
      <c r="A6" s="2" t="s">
        <v>54</v>
      </c>
      <c r="B6" t="s">
        <v>56</v>
      </c>
      <c r="C6" t="s">
        <v>57</v>
      </c>
      <c r="D6" t="s">
        <v>58</v>
      </c>
      <c r="E6" t="s">
        <v>59</v>
      </c>
    </row>
    <row r="7" spans="1:36" x14ac:dyDescent="0.3">
      <c r="A7" s="3" t="s">
        <v>18</v>
      </c>
      <c r="B7">
        <v>5884786</v>
      </c>
      <c r="C7">
        <v>21406</v>
      </c>
      <c r="D7">
        <v>5795207</v>
      </c>
      <c r="E7">
        <v>68173</v>
      </c>
      <c r="AI7" s="2" t="s">
        <v>54</v>
      </c>
      <c r="AJ7" t="s">
        <v>56</v>
      </c>
    </row>
    <row r="8" spans="1:36" x14ac:dyDescent="0.3">
      <c r="A8" s="3" t="s">
        <v>22</v>
      </c>
      <c r="B8">
        <v>5515107</v>
      </c>
      <c r="C8">
        <v>3795</v>
      </c>
      <c r="D8">
        <v>5419995</v>
      </c>
      <c r="E8">
        <v>91317</v>
      </c>
      <c r="AI8" s="3" t="s">
        <v>18</v>
      </c>
      <c r="AJ8">
        <v>5884786</v>
      </c>
    </row>
    <row r="9" spans="1:36" x14ac:dyDescent="0.3">
      <c r="A9" s="3" t="s">
        <v>13</v>
      </c>
      <c r="B9">
        <v>13650538</v>
      </c>
      <c r="C9">
        <v>94216</v>
      </c>
      <c r="D9">
        <v>13425793</v>
      </c>
      <c r="E9">
        <v>130529</v>
      </c>
      <c r="Y9" s="2" t="s">
        <v>1</v>
      </c>
      <c r="Z9" t="s">
        <v>73</v>
      </c>
      <c r="AI9" s="3" t="s">
        <v>22</v>
      </c>
      <c r="AJ9">
        <v>5515107</v>
      </c>
    </row>
    <row r="10" spans="1:36" x14ac:dyDescent="0.3">
      <c r="A10" s="3" t="s">
        <v>25</v>
      </c>
      <c r="B10">
        <v>9386876</v>
      </c>
      <c r="C10">
        <v>16501</v>
      </c>
      <c r="D10">
        <v>9196864</v>
      </c>
      <c r="E10">
        <v>173511</v>
      </c>
      <c r="AI10" s="3" t="s">
        <v>13</v>
      </c>
      <c r="AJ10">
        <v>13650538</v>
      </c>
    </row>
    <row r="11" spans="1:36" x14ac:dyDescent="0.3">
      <c r="A11" s="3" t="s">
        <v>55</v>
      </c>
      <c r="B11">
        <v>34437307</v>
      </c>
      <c r="C11">
        <v>135918</v>
      </c>
      <c r="D11">
        <v>33837859</v>
      </c>
      <c r="E11">
        <v>463530</v>
      </c>
      <c r="Y11" s="2" t="s">
        <v>54</v>
      </c>
      <c r="Z11" t="s">
        <v>75</v>
      </c>
      <c r="AA11" t="s">
        <v>76</v>
      </c>
      <c r="AI11" s="3" t="s">
        <v>25</v>
      </c>
      <c r="AJ11">
        <v>9386876</v>
      </c>
    </row>
    <row r="12" spans="1:36" x14ac:dyDescent="0.3">
      <c r="A12" s="3"/>
      <c r="Y12" s="3" t="s">
        <v>38</v>
      </c>
      <c r="Z12">
        <v>140565</v>
      </c>
      <c r="AA12">
        <v>15866</v>
      </c>
      <c r="AI12" s="3" t="s">
        <v>55</v>
      </c>
      <c r="AJ12">
        <v>34437307</v>
      </c>
    </row>
    <row r="13" spans="1:36" x14ac:dyDescent="0.3">
      <c r="A13" s="3"/>
      <c r="Y13" s="3" t="s">
        <v>33</v>
      </c>
      <c r="Z13">
        <v>38143</v>
      </c>
      <c r="AA13">
        <v>8056</v>
      </c>
    </row>
    <row r="14" spans="1:36" x14ac:dyDescent="0.3">
      <c r="H14" s="2" t="s">
        <v>10</v>
      </c>
      <c r="I14" t="s">
        <v>73</v>
      </c>
      <c r="Y14" s="3" t="s">
        <v>48</v>
      </c>
      <c r="Z14">
        <v>36273</v>
      </c>
      <c r="AA14">
        <v>9751</v>
      </c>
    </row>
    <row r="15" spans="1:36" x14ac:dyDescent="0.3">
      <c r="Y15" s="3" t="s">
        <v>34</v>
      </c>
      <c r="Z15">
        <v>35685</v>
      </c>
      <c r="AA15">
        <v>69258</v>
      </c>
    </row>
    <row r="16" spans="1:36" x14ac:dyDescent="0.3">
      <c r="A16" s="2" t="s">
        <v>60</v>
      </c>
      <c r="B16" t="s">
        <v>65</v>
      </c>
      <c r="C16" s="2" t="s">
        <v>60</v>
      </c>
      <c r="D16" t="s">
        <v>65</v>
      </c>
      <c r="H16" s="2" t="s">
        <v>54</v>
      </c>
      <c r="I16" t="s">
        <v>74</v>
      </c>
      <c r="Y16" s="3" t="s">
        <v>26</v>
      </c>
      <c r="Z16">
        <v>25093</v>
      </c>
      <c r="AA16">
        <v>361</v>
      </c>
    </row>
    <row r="17" spans="1:27" x14ac:dyDescent="0.3">
      <c r="A17" s="3" t="s">
        <v>38</v>
      </c>
      <c r="B17">
        <v>6623344</v>
      </c>
      <c r="C17" s="3" t="s">
        <v>12</v>
      </c>
      <c r="D17">
        <v>7670</v>
      </c>
      <c r="H17" s="3" t="s">
        <v>45</v>
      </c>
      <c r="I17">
        <v>2.75</v>
      </c>
      <c r="Y17" s="3" t="s">
        <v>51</v>
      </c>
      <c r="Z17">
        <v>22909</v>
      </c>
      <c r="AA17">
        <v>90</v>
      </c>
    </row>
    <row r="18" spans="1:27" x14ac:dyDescent="0.3">
      <c r="A18" s="3" t="s">
        <v>34</v>
      </c>
      <c r="B18">
        <v>5055224</v>
      </c>
      <c r="C18" s="3" t="s">
        <v>36</v>
      </c>
      <c r="D18">
        <v>10365</v>
      </c>
      <c r="H18" s="3" t="s">
        <v>42</v>
      </c>
      <c r="I18">
        <v>2.16</v>
      </c>
      <c r="Y18" s="3" t="s">
        <v>53</v>
      </c>
      <c r="Z18">
        <v>19307</v>
      </c>
      <c r="AA18">
        <v>8031</v>
      </c>
    </row>
    <row r="19" spans="1:27" x14ac:dyDescent="0.3">
      <c r="A19" s="3" t="s">
        <v>33</v>
      </c>
      <c r="B19">
        <v>2991614</v>
      </c>
      <c r="C19" s="3" t="s">
        <v>24</v>
      </c>
      <c r="D19">
        <v>10682</v>
      </c>
      <c r="H19" s="3" t="s">
        <v>52</v>
      </c>
      <c r="I19">
        <v>2.15</v>
      </c>
      <c r="Y19" s="3" t="s">
        <v>45</v>
      </c>
      <c r="Z19">
        <v>16571</v>
      </c>
      <c r="AA19">
        <v>318</v>
      </c>
    </row>
    <row r="20" spans="1:27" x14ac:dyDescent="0.3">
      <c r="A20" s="3" t="s">
        <v>48</v>
      </c>
      <c r="B20">
        <v>2714025</v>
      </c>
      <c r="C20" s="3" t="s">
        <v>35</v>
      </c>
      <c r="D20">
        <v>21148</v>
      </c>
      <c r="H20" s="3" t="s">
        <v>38</v>
      </c>
      <c r="I20">
        <v>2.12</v>
      </c>
      <c r="Y20" s="3" t="s">
        <v>16</v>
      </c>
      <c r="Z20">
        <v>14412</v>
      </c>
      <c r="AA20">
        <v>3128</v>
      </c>
    </row>
    <row r="21" spans="1:27" x14ac:dyDescent="0.3">
      <c r="A21" s="3" t="s">
        <v>16</v>
      </c>
      <c r="B21">
        <v>2069770</v>
      </c>
      <c r="C21" s="3" t="s">
        <v>42</v>
      </c>
      <c r="D21">
        <v>31978</v>
      </c>
      <c r="H21" s="3" t="s">
        <v>27</v>
      </c>
      <c r="I21">
        <v>1.89</v>
      </c>
      <c r="Y21" s="3" t="s">
        <v>23</v>
      </c>
      <c r="Z21">
        <v>13588</v>
      </c>
      <c r="AA21">
        <v>230</v>
      </c>
    </row>
    <row r="22" spans="1:27" x14ac:dyDescent="0.3">
      <c r="H22" s="3" t="s">
        <v>40</v>
      </c>
      <c r="I22">
        <v>1.74</v>
      </c>
      <c r="Y22" s="3" t="s">
        <v>37</v>
      </c>
      <c r="Z22">
        <v>10524</v>
      </c>
      <c r="AA22">
        <v>75</v>
      </c>
    </row>
    <row r="23" spans="1:27" x14ac:dyDescent="0.3">
      <c r="H23" s="3" t="s">
        <v>26</v>
      </c>
      <c r="I23">
        <v>1.74</v>
      </c>
      <c r="Y23" s="3" t="s">
        <v>28</v>
      </c>
      <c r="Z23">
        <v>10090</v>
      </c>
      <c r="AA23">
        <v>226</v>
      </c>
    </row>
    <row r="24" spans="1:27" x14ac:dyDescent="0.3">
      <c r="H24" s="3" t="s">
        <v>30</v>
      </c>
      <c r="I24">
        <v>1.69</v>
      </c>
      <c r="Y24" s="3" t="s">
        <v>29</v>
      </c>
      <c r="Z24">
        <v>10050</v>
      </c>
      <c r="AA24">
        <v>140</v>
      </c>
    </row>
    <row r="25" spans="1:27" x14ac:dyDescent="0.3">
      <c r="A25" s="2" t="s">
        <v>60</v>
      </c>
      <c r="B25" t="s">
        <v>67</v>
      </c>
      <c r="C25" s="2" t="s">
        <v>60</v>
      </c>
      <c r="D25" t="s">
        <v>67</v>
      </c>
      <c r="H25" s="3" t="s">
        <v>12</v>
      </c>
      <c r="I25">
        <v>1.68</v>
      </c>
      <c r="Y25" s="3" t="s">
        <v>20</v>
      </c>
      <c r="Z25">
        <v>9662</v>
      </c>
      <c r="AA25">
        <v>29</v>
      </c>
    </row>
    <row r="26" spans="1:27" x14ac:dyDescent="0.3">
      <c r="A26" s="3" t="s">
        <v>24</v>
      </c>
      <c r="B26">
        <v>99.96</v>
      </c>
      <c r="C26" s="3" t="s">
        <v>41</v>
      </c>
      <c r="D26">
        <v>95.25</v>
      </c>
      <c r="H26" s="3" t="s">
        <v>39</v>
      </c>
      <c r="I26">
        <v>1.56</v>
      </c>
      <c r="Y26" s="3" t="s">
        <v>46</v>
      </c>
      <c r="Z26">
        <v>8954</v>
      </c>
      <c r="AA26">
        <v>71</v>
      </c>
    </row>
    <row r="27" spans="1:27" x14ac:dyDescent="0.3">
      <c r="A27" s="3" t="s">
        <v>36</v>
      </c>
      <c r="B27">
        <v>99.51</v>
      </c>
      <c r="C27" s="3" t="s">
        <v>45</v>
      </c>
      <c r="D27">
        <v>97.2</v>
      </c>
      <c r="H27" s="3" t="s">
        <v>32</v>
      </c>
      <c r="I27">
        <v>1.47</v>
      </c>
      <c r="L27" s="2" t="s">
        <v>8</v>
      </c>
      <c r="M27" t="s">
        <v>73</v>
      </c>
      <c r="Y27" s="3" t="s">
        <v>43</v>
      </c>
      <c r="Z27">
        <v>8375</v>
      </c>
      <c r="AA27">
        <v>2534</v>
      </c>
    </row>
    <row r="28" spans="1:27" x14ac:dyDescent="0.3">
      <c r="A28" s="3" t="s">
        <v>17</v>
      </c>
      <c r="B28">
        <v>99.42</v>
      </c>
      <c r="C28" s="3" t="s">
        <v>42</v>
      </c>
      <c r="D28">
        <v>97.33</v>
      </c>
      <c r="H28" s="3" t="s">
        <v>44</v>
      </c>
      <c r="I28">
        <v>1.45</v>
      </c>
      <c r="Y28" s="3" t="s">
        <v>52</v>
      </c>
      <c r="Z28">
        <v>7403</v>
      </c>
      <c r="AA28">
        <v>158</v>
      </c>
    </row>
    <row r="29" spans="1:27" x14ac:dyDescent="0.3">
      <c r="A29" s="3" t="s">
        <v>16</v>
      </c>
      <c r="B29">
        <v>99.15</v>
      </c>
      <c r="C29" s="3" t="s">
        <v>38</v>
      </c>
      <c r="D29">
        <v>97.64</v>
      </c>
      <c r="H29" s="3" t="s">
        <v>23</v>
      </c>
      <c r="I29">
        <v>1.35</v>
      </c>
      <c r="L29" s="2" t="s">
        <v>54</v>
      </c>
      <c r="M29" t="s">
        <v>68</v>
      </c>
      <c r="Y29" s="3" t="s">
        <v>19</v>
      </c>
      <c r="Z29">
        <v>6047</v>
      </c>
      <c r="AA29">
        <v>3272</v>
      </c>
    </row>
    <row r="30" spans="1:27" x14ac:dyDescent="0.3">
      <c r="A30" s="3" t="s">
        <v>46</v>
      </c>
      <c r="B30">
        <v>99.05</v>
      </c>
      <c r="C30" s="3" t="s">
        <v>39</v>
      </c>
      <c r="D30">
        <v>97.79</v>
      </c>
      <c r="H30" s="3" t="s">
        <v>48</v>
      </c>
      <c r="I30">
        <v>1.34</v>
      </c>
      <c r="L30" s="3" t="s">
        <v>24</v>
      </c>
      <c r="M30">
        <v>99.96</v>
      </c>
      <c r="Y30" s="3" t="s">
        <v>32</v>
      </c>
      <c r="Z30">
        <v>5138</v>
      </c>
      <c r="AA30">
        <v>141</v>
      </c>
    </row>
    <row r="31" spans="1:27" x14ac:dyDescent="0.3">
      <c r="H31" s="3" t="s">
        <v>51</v>
      </c>
      <c r="I31">
        <v>1.34</v>
      </c>
      <c r="L31" s="3" t="s">
        <v>36</v>
      </c>
      <c r="M31">
        <v>99.51</v>
      </c>
      <c r="Y31" s="3" t="s">
        <v>31</v>
      </c>
      <c r="Z31">
        <v>4448</v>
      </c>
      <c r="AA31">
        <v>1450</v>
      </c>
    </row>
    <row r="32" spans="1:27" x14ac:dyDescent="0.3">
      <c r="H32" s="3" t="s">
        <v>31</v>
      </c>
      <c r="I32">
        <v>1.33</v>
      </c>
      <c r="L32" s="3" t="s">
        <v>17</v>
      </c>
      <c r="M32">
        <v>99.42</v>
      </c>
      <c r="Y32" s="3" t="s">
        <v>49</v>
      </c>
      <c r="Z32">
        <v>3973</v>
      </c>
      <c r="AA32">
        <v>3741</v>
      </c>
    </row>
    <row r="33" spans="1:27" x14ac:dyDescent="0.3">
      <c r="H33" s="3" t="s">
        <v>37</v>
      </c>
      <c r="I33">
        <v>1.33</v>
      </c>
      <c r="L33" s="3" t="s">
        <v>16</v>
      </c>
      <c r="M33">
        <v>99.15</v>
      </c>
      <c r="Y33" s="3" t="s">
        <v>30</v>
      </c>
      <c r="Z33">
        <v>3812</v>
      </c>
      <c r="AA33">
        <v>1100</v>
      </c>
    </row>
    <row r="34" spans="1:27" x14ac:dyDescent="0.3">
      <c r="A34" s="2" t="s">
        <v>54</v>
      </c>
      <c r="B34" t="s">
        <v>70</v>
      </c>
      <c r="C34" s="2" t="s">
        <v>54</v>
      </c>
      <c r="D34" t="s">
        <v>69</v>
      </c>
      <c r="H34" s="3" t="s">
        <v>20</v>
      </c>
      <c r="I34">
        <v>1.33</v>
      </c>
      <c r="L34" s="3" t="s">
        <v>46</v>
      </c>
      <c r="M34">
        <v>99.05</v>
      </c>
      <c r="Y34" s="3" t="s">
        <v>27</v>
      </c>
      <c r="Z34">
        <v>3374</v>
      </c>
      <c r="AA34">
        <v>263</v>
      </c>
    </row>
    <row r="35" spans="1:27" x14ac:dyDescent="0.3">
      <c r="A35" s="3" t="s">
        <v>41</v>
      </c>
      <c r="B35">
        <v>4.3899999999999997</v>
      </c>
      <c r="C35" s="3" t="s">
        <v>37</v>
      </c>
      <c r="D35">
        <v>0.01</v>
      </c>
      <c r="H35" s="3" t="s">
        <v>29</v>
      </c>
      <c r="I35">
        <v>1.3</v>
      </c>
      <c r="L35" s="3" t="s">
        <v>43</v>
      </c>
      <c r="M35">
        <v>98.96</v>
      </c>
      <c r="Y35" s="3" t="s">
        <v>39</v>
      </c>
      <c r="Z35">
        <v>1946</v>
      </c>
      <c r="AA35">
        <v>799</v>
      </c>
    </row>
    <row r="36" spans="1:27" x14ac:dyDescent="0.3">
      <c r="A36" s="3" t="s">
        <v>34</v>
      </c>
      <c r="B36">
        <v>1.37</v>
      </c>
      <c r="C36" s="3" t="s">
        <v>51</v>
      </c>
      <c r="D36">
        <v>0.01</v>
      </c>
      <c r="H36" s="3" t="s">
        <v>33</v>
      </c>
      <c r="I36">
        <v>1.27</v>
      </c>
      <c r="L36" s="3" t="s">
        <v>50</v>
      </c>
      <c r="M36">
        <v>98.9</v>
      </c>
      <c r="Y36" s="3" t="s">
        <v>44</v>
      </c>
      <c r="Z36">
        <v>1863</v>
      </c>
      <c r="AA36">
        <v>275</v>
      </c>
    </row>
    <row r="37" spans="1:27" x14ac:dyDescent="0.3">
      <c r="A37" s="3" t="s">
        <v>35</v>
      </c>
      <c r="B37">
        <v>0.73</v>
      </c>
      <c r="C37" s="3" t="s">
        <v>46</v>
      </c>
      <c r="D37">
        <v>0.01</v>
      </c>
      <c r="H37" s="3" t="s">
        <v>21</v>
      </c>
      <c r="I37">
        <v>1.25</v>
      </c>
      <c r="L37" s="3" t="s">
        <v>49</v>
      </c>
      <c r="M37">
        <v>98.85</v>
      </c>
      <c r="Y37" s="3" t="s">
        <v>40</v>
      </c>
      <c r="Z37">
        <v>1462</v>
      </c>
      <c r="AA37">
        <v>277</v>
      </c>
    </row>
    <row r="38" spans="1:27" x14ac:dyDescent="0.3">
      <c r="A38" s="3" t="s">
        <v>39</v>
      </c>
      <c r="B38">
        <v>0.64</v>
      </c>
      <c r="C38" s="3" t="s">
        <v>24</v>
      </c>
      <c r="D38">
        <v>0</v>
      </c>
      <c r="H38" s="3" t="s">
        <v>47</v>
      </c>
      <c r="I38">
        <v>1.25</v>
      </c>
      <c r="L38" s="3" t="s">
        <v>28</v>
      </c>
      <c r="M38">
        <v>98.75</v>
      </c>
      <c r="Y38" s="3" t="s">
        <v>21</v>
      </c>
      <c r="Z38">
        <v>820</v>
      </c>
      <c r="AA38">
        <v>24</v>
      </c>
    </row>
    <row r="39" spans="1:27" x14ac:dyDescent="0.3">
      <c r="A39" s="3" t="s">
        <v>49</v>
      </c>
      <c r="B39">
        <v>0.56000000000000005</v>
      </c>
      <c r="C39" s="3" t="s">
        <v>20</v>
      </c>
      <c r="D39">
        <v>0</v>
      </c>
      <c r="H39" s="3" t="s">
        <v>28</v>
      </c>
      <c r="I39">
        <v>1.22</v>
      </c>
      <c r="L39" s="3" t="s">
        <v>21</v>
      </c>
      <c r="M39">
        <v>98.71</v>
      </c>
      <c r="Y39" s="3" t="s">
        <v>50</v>
      </c>
      <c r="Z39">
        <v>817</v>
      </c>
      <c r="AA39">
        <v>116</v>
      </c>
    </row>
    <row r="40" spans="1:27" x14ac:dyDescent="0.3">
      <c r="C40" s="3" t="s">
        <v>36</v>
      </c>
      <c r="D40">
        <v>0</v>
      </c>
      <c r="H40" s="3" t="s">
        <v>53</v>
      </c>
      <c r="I40">
        <v>1.2</v>
      </c>
      <c r="L40" s="3" t="s">
        <v>29</v>
      </c>
      <c r="M40">
        <v>98.68</v>
      </c>
      <c r="Y40" s="3" t="s">
        <v>42</v>
      </c>
      <c r="Z40">
        <v>692</v>
      </c>
      <c r="AA40">
        <v>163</v>
      </c>
    </row>
    <row r="41" spans="1:27" x14ac:dyDescent="0.3">
      <c r="H41" s="3" t="s">
        <v>35</v>
      </c>
      <c r="I41">
        <v>1</v>
      </c>
      <c r="L41" s="3" t="s">
        <v>20</v>
      </c>
      <c r="M41">
        <v>98.67</v>
      </c>
      <c r="Y41" s="3" t="s">
        <v>41</v>
      </c>
      <c r="Z41">
        <v>459</v>
      </c>
      <c r="AA41">
        <v>5651</v>
      </c>
    </row>
    <row r="42" spans="1:27" x14ac:dyDescent="0.3">
      <c r="H42" s="3" t="s">
        <v>19</v>
      </c>
      <c r="I42">
        <v>0.99</v>
      </c>
      <c r="L42" s="3" t="s">
        <v>51</v>
      </c>
      <c r="M42">
        <v>98.66</v>
      </c>
      <c r="Y42" s="3" t="s">
        <v>47</v>
      </c>
      <c r="Z42">
        <v>400</v>
      </c>
      <c r="AA42">
        <v>121</v>
      </c>
    </row>
    <row r="43" spans="1:27" x14ac:dyDescent="0.3">
      <c r="H43" s="3" t="s">
        <v>50</v>
      </c>
      <c r="I43">
        <v>0.96</v>
      </c>
      <c r="L43" s="3" t="s">
        <v>37</v>
      </c>
      <c r="M43">
        <v>98.66</v>
      </c>
      <c r="Y43" s="3" t="s">
        <v>17</v>
      </c>
      <c r="Z43">
        <v>280</v>
      </c>
      <c r="AA43">
        <v>42</v>
      </c>
    </row>
    <row r="44" spans="1:27" x14ac:dyDescent="0.3">
      <c r="A44" s="2" t="s">
        <v>54</v>
      </c>
      <c r="B44" t="s">
        <v>77</v>
      </c>
      <c r="C44" t="s">
        <v>78</v>
      </c>
      <c r="H44" s="3" t="s">
        <v>46</v>
      </c>
      <c r="I44">
        <v>0.94</v>
      </c>
      <c r="L44" s="3" t="s">
        <v>23</v>
      </c>
      <c r="M44">
        <v>98.63</v>
      </c>
      <c r="Y44" s="3" t="s">
        <v>35</v>
      </c>
      <c r="Z44">
        <v>211</v>
      </c>
      <c r="AA44">
        <v>154</v>
      </c>
    </row>
    <row r="45" spans="1:27" x14ac:dyDescent="0.3">
      <c r="A45" s="3" t="s">
        <v>38</v>
      </c>
      <c r="B45" s="6">
        <v>6623344</v>
      </c>
      <c r="C45" s="6">
        <v>6466913</v>
      </c>
      <c r="H45" s="3" t="s">
        <v>43</v>
      </c>
      <c r="I45">
        <v>0.8</v>
      </c>
      <c r="L45" s="3" t="s">
        <v>32</v>
      </c>
      <c r="M45">
        <v>98.49</v>
      </c>
      <c r="Y45" s="3" t="s">
        <v>12</v>
      </c>
      <c r="Z45">
        <v>129</v>
      </c>
      <c r="AA45">
        <v>7</v>
      </c>
    </row>
    <row r="46" spans="1:27" x14ac:dyDescent="0.3">
      <c r="A46" s="3" t="s">
        <v>34</v>
      </c>
      <c r="B46" s="6">
        <v>5055224</v>
      </c>
      <c r="C46" s="6">
        <v>4950281</v>
      </c>
      <c r="H46" s="3" t="s">
        <v>34</v>
      </c>
      <c r="I46">
        <v>0.71</v>
      </c>
      <c r="L46" s="3" t="s">
        <v>19</v>
      </c>
      <c r="M46">
        <v>98.48</v>
      </c>
      <c r="Y46" s="3" t="s">
        <v>36</v>
      </c>
      <c r="Z46">
        <v>51</v>
      </c>
      <c r="AA46">
        <v>0</v>
      </c>
    </row>
    <row r="47" spans="1:27" x14ac:dyDescent="0.3">
      <c r="A47" s="3" t="s">
        <v>33</v>
      </c>
      <c r="B47" s="6">
        <v>2991614</v>
      </c>
      <c r="C47" s="6">
        <v>2945415</v>
      </c>
      <c r="H47" s="3" t="s">
        <v>16</v>
      </c>
      <c r="I47">
        <v>0.7</v>
      </c>
      <c r="L47" s="3" t="s">
        <v>33</v>
      </c>
      <c r="M47">
        <v>98.46</v>
      </c>
      <c r="Y47" s="3" t="s">
        <v>24</v>
      </c>
      <c r="Z47">
        <v>4</v>
      </c>
      <c r="AA47">
        <v>0</v>
      </c>
    </row>
    <row r="48" spans="1:27" x14ac:dyDescent="0.3">
      <c r="A48" s="3" t="s">
        <v>48</v>
      </c>
      <c r="B48" s="6">
        <v>2714025</v>
      </c>
      <c r="C48" s="6">
        <v>2668001</v>
      </c>
      <c r="H48" s="3" t="s">
        <v>49</v>
      </c>
      <c r="I48">
        <v>0.59</v>
      </c>
      <c r="L48" s="3" t="s">
        <v>47</v>
      </c>
      <c r="M48">
        <v>98.38</v>
      </c>
      <c r="Y48" s="3" t="s">
        <v>55</v>
      </c>
      <c r="Z48">
        <v>463530</v>
      </c>
      <c r="AA48">
        <v>135918</v>
      </c>
    </row>
    <row r="49" spans="1:13" x14ac:dyDescent="0.3">
      <c r="A49" s="3" t="s">
        <v>16</v>
      </c>
      <c r="B49" s="6">
        <v>2069770</v>
      </c>
      <c r="C49" s="6">
        <v>2052230</v>
      </c>
      <c r="H49" s="3" t="s">
        <v>17</v>
      </c>
      <c r="I49">
        <v>0.51</v>
      </c>
      <c r="L49" s="3" t="s">
        <v>44</v>
      </c>
      <c r="M49">
        <v>98.33</v>
      </c>
    </row>
    <row r="50" spans="1:13" x14ac:dyDescent="0.3">
      <c r="A50" s="3" t="s">
        <v>51</v>
      </c>
      <c r="B50" s="6">
        <v>1710261</v>
      </c>
      <c r="C50" s="6">
        <v>1687262</v>
      </c>
      <c r="H50" s="3" t="s">
        <v>36</v>
      </c>
      <c r="I50">
        <v>0.49</v>
      </c>
      <c r="L50" s="3" t="s">
        <v>48</v>
      </c>
      <c r="M50">
        <v>98.3</v>
      </c>
    </row>
    <row r="51" spans="1:13" x14ac:dyDescent="0.3">
      <c r="A51" s="3" t="s">
        <v>53</v>
      </c>
      <c r="B51" s="6">
        <v>1603318</v>
      </c>
      <c r="C51" s="6">
        <v>1575980</v>
      </c>
      <c r="H51" s="3" t="s">
        <v>41</v>
      </c>
      <c r="I51">
        <v>0.36</v>
      </c>
      <c r="L51" s="3" t="s">
        <v>53</v>
      </c>
      <c r="M51">
        <v>98.29</v>
      </c>
    </row>
    <row r="52" spans="1:13" x14ac:dyDescent="0.3">
      <c r="A52" s="3" t="s">
        <v>26</v>
      </c>
      <c r="B52" s="6">
        <v>1440388</v>
      </c>
      <c r="C52" s="6">
        <v>1414934</v>
      </c>
      <c r="H52" s="3" t="s">
        <v>24</v>
      </c>
      <c r="I52">
        <v>0.04</v>
      </c>
      <c r="L52" s="3" t="s">
        <v>35</v>
      </c>
      <c r="M52">
        <v>98.27</v>
      </c>
    </row>
    <row r="53" spans="1:13" x14ac:dyDescent="0.3">
      <c r="A53" s="3" t="s">
        <v>43</v>
      </c>
      <c r="B53" s="6">
        <v>1045209</v>
      </c>
      <c r="C53" s="6">
        <v>1034300</v>
      </c>
      <c r="H53" s="3" t="s">
        <v>55</v>
      </c>
      <c r="I53">
        <v>46.000000000000007</v>
      </c>
      <c r="L53" s="3" t="s">
        <v>26</v>
      </c>
      <c r="M53">
        <v>98.23</v>
      </c>
    </row>
    <row r="54" spans="1:13" x14ac:dyDescent="0.3">
      <c r="A54" s="3" t="s">
        <v>23</v>
      </c>
      <c r="B54" s="6">
        <v>1006326</v>
      </c>
      <c r="C54" s="6">
        <v>992508</v>
      </c>
      <c r="L54" s="3" t="s">
        <v>31</v>
      </c>
      <c r="M54">
        <v>98.23</v>
      </c>
    </row>
    <row r="55" spans="1:13" x14ac:dyDescent="0.3">
      <c r="A55" s="3" t="s">
        <v>46</v>
      </c>
      <c r="B55" s="6">
        <v>954503</v>
      </c>
      <c r="C55" s="6">
        <v>945478</v>
      </c>
      <c r="L55" s="3" t="s">
        <v>12</v>
      </c>
      <c r="M55">
        <v>98.23</v>
      </c>
    </row>
    <row r="56" spans="1:13" x14ac:dyDescent="0.3">
      <c r="A56" s="3" t="s">
        <v>28</v>
      </c>
      <c r="B56" s="6">
        <v>826924</v>
      </c>
      <c r="C56" s="6">
        <v>816608</v>
      </c>
      <c r="L56" s="3" t="s">
        <v>27</v>
      </c>
      <c r="M56">
        <v>97.96</v>
      </c>
    </row>
    <row r="57" spans="1:13" x14ac:dyDescent="0.3">
      <c r="A57" s="3" t="s">
        <v>37</v>
      </c>
      <c r="B57" s="6">
        <v>792956</v>
      </c>
      <c r="C57" s="6">
        <v>782357</v>
      </c>
      <c r="L57" s="3" t="s">
        <v>40</v>
      </c>
      <c r="M57">
        <v>97.93</v>
      </c>
    </row>
    <row r="58" spans="1:13" x14ac:dyDescent="0.3">
      <c r="A58" s="3" t="s">
        <v>29</v>
      </c>
      <c r="B58" s="6">
        <v>771420</v>
      </c>
      <c r="C58" s="6">
        <v>761230</v>
      </c>
      <c r="L58" s="3" t="s">
        <v>34</v>
      </c>
      <c r="M58">
        <v>97.92</v>
      </c>
    </row>
    <row r="59" spans="1:13" x14ac:dyDescent="0.3">
      <c r="A59" s="3" t="s">
        <v>20</v>
      </c>
      <c r="B59" s="6">
        <v>726153</v>
      </c>
      <c r="C59" s="6">
        <v>716462</v>
      </c>
      <c r="L59" s="3" t="s">
        <v>30</v>
      </c>
      <c r="M59">
        <v>97.82</v>
      </c>
    </row>
    <row r="60" spans="1:13" x14ac:dyDescent="0.3">
      <c r="A60" s="3" t="s">
        <v>49</v>
      </c>
      <c r="B60" s="6">
        <v>673469</v>
      </c>
      <c r="C60" s="6">
        <v>665755</v>
      </c>
      <c r="L60" s="3" t="s">
        <v>52</v>
      </c>
      <c r="M60">
        <v>97.8</v>
      </c>
    </row>
    <row r="61" spans="1:13" x14ac:dyDescent="0.3">
      <c r="A61" s="3" t="s">
        <v>19</v>
      </c>
      <c r="B61" s="6">
        <v>613784</v>
      </c>
      <c r="C61" s="6">
        <v>604465</v>
      </c>
      <c r="L61" s="3" t="s">
        <v>39</v>
      </c>
      <c r="M61">
        <v>97.79</v>
      </c>
    </row>
    <row r="62" spans="1:13" ht="21" customHeight="1" x14ac:dyDescent="0.3">
      <c r="A62" s="3" t="s">
        <v>45</v>
      </c>
      <c r="B62" s="6">
        <v>602778</v>
      </c>
      <c r="C62" s="6">
        <v>585889</v>
      </c>
      <c r="L62" s="3" t="s">
        <v>38</v>
      </c>
      <c r="M62">
        <v>97.64</v>
      </c>
    </row>
    <row r="63" spans="1:13" x14ac:dyDescent="0.3">
      <c r="A63" s="3" t="s">
        <v>32</v>
      </c>
      <c r="B63" s="6">
        <v>348992</v>
      </c>
      <c r="C63" s="6">
        <v>343713</v>
      </c>
      <c r="L63" s="3" t="s">
        <v>42</v>
      </c>
      <c r="M63">
        <v>97.33</v>
      </c>
    </row>
    <row r="64" spans="1:13" x14ac:dyDescent="0.3">
      <c r="A64" s="3" t="s">
        <v>52</v>
      </c>
      <c r="B64" s="6">
        <v>344014</v>
      </c>
      <c r="C64" s="6">
        <v>336453</v>
      </c>
      <c r="L64" s="3" t="s">
        <v>45</v>
      </c>
      <c r="M64">
        <v>97.2</v>
      </c>
    </row>
    <row r="65" spans="1:13" x14ac:dyDescent="0.3">
      <c r="A65" s="3" t="s">
        <v>31</v>
      </c>
      <c r="B65" s="6">
        <v>334006</v>
      </c>
      <c r="C65" s="6">
        <v>328108</v>
      </c>
      <c r="L65" s="3" t="s">
        <v>41</v>
      </c>
      <c r="M65">
        <v>95.25</v>
      </c>
    </row>
    <row r="66" spans="1:13" x14ac:dyDescent="0.3">
      <c r="A66" s="3" t="s">
        <v>30</v>
      </c>
      <c r="B66" s="6">
        <v>225712</v>
      </c>
      <c r="C66" s="6">
        <v>220800</v>
      </c>
      <c r="L66" s="3" t="s">
        <v>55</v>
      </c>
      <c r="M66">
        <v>3540.8900000000003</v>
      </c>
    </row>
    <row r="67" spans="1:13" x14ac:dyDescent="0.3">
      <c r="A67" s="3" t="s">
        <v>27</v>
      </c>
      <c r="B67" s="6">
        <v>178467</v>
      </c>
      <c r="C67" s="6">
        <v>174830</v>
      </c>
    </row>
    <row r="68" spans="1:13" x14ac:dyDescent="0.3">
      <c r="A68" s="3" t="s">
        <v>41</v>
      </c>
      <c r="B68" s="6">
        <v>128604</v>
      </c>
      <c r="C68" s="6">
        <v>122494</v>
      </c>
    </row>
    <row r="69" spans="1:13" x14ac:dyDescent="0.3">
      <c r="A69" s="3" t="s">
        <v>44</v>
      </c>
      <c r="B69" s="6">
        <v>128401</v>
      </c>
      <c r="C69" s="6">
        <v>126263</v>
      </c>
    </row>
    <row r="70" spans="1:13" x14ac:dyDescent="0.3">
      <c r="A70" s="3" t="s">
        <v>39</v>
      </c>
      <c r="B70" s="6">
        <v>124432</v>
      </c>
      <c r="C70" s="6">
        <v>121687</v>
      </c>
    </row>
    <row r="71" spans="1:13" x14ac:dyDescent="0.3">
      <c r="A71" s="3" t="s">
        <v>50</v>
      </c>
      <c r="B71" s="6">
        <v>84665</v>
      </c>
      <c r="C71" s="6">
        <v>83732</v>
      </c>
    </row>
    <row r="72" spans="1:13" x14ac:dyDescent="0.3">
      <c r="A72" s="3" t="s">
        <v>40</v>
      </c>
      <c r="B72" s="6">
        <v>84013</v>
      </c>
      <c r="C72" s="6">
        <v>82274</v>
      </c>
    </row>
    <row r="73" spans="1:13" x14ac:dyDescent="0.3">
      <c r="A73" s="3" t="s">
        <v>21</v>
      </c>
      <c r="B73" s="6">
        <v>65380</v>
      </c>
      <c r="C73" s="6">
        <v>64536</v>
      </c>
    </row>
    <row r="74" spans="1:13" x14ac:dyDescent="0.3">
      <c r="A74" s="3" t="s">
        <v>17</v>
      </c>
      <c r="B74" s="6">
        <v>55216</v>
      </c>
      <c r="C74" s="6">
        <v>54894</v>
      </c>
    </row>
    <row r="75" spans="1:13" x14ac:dyDescent="0.3">
      <c r="A75" s="3" t="s">
        <v>47</v>
      </c>
      <c r="B75" s="6">
        <v>32096</v>
      </c>
      <c r="C75" s="6">
        <v>31575</v>
      </c>
    </row>
    <row r="76" spans="1:13" x14ac:dyDescent="0.3">
      <c r="A76" s="3" t="s">
        <v>42</v>
      </c>
      <c r="B76" s="6">
        <v>31978</v>
      </c>
      <c r="C76" s="6">
        <v>31123</v>
      </c>
    </row>
    <row r="77" spans="1:13" x14ac:dyDescent="0.3">
      <c r="A77" s="3" t="s">
        <v>35</v>
      </c>
      <c r="B77" s="6">
        <v>21148</v>
      </c>
      <c r="C77" s="6">
        <v>20783</v>
      </c>
    </row>
    <row r="78" spans="1:13" x14ac:dyDescent="0.3">
      <c r="A78" s="3" t="s">
        <v>24</v>
      </c>
      <c r="B78" s="6">
        <v>10682</v>
      </c>
      <c r="C78" s="6">
        <v>10678</v>
      </c>
    </row>
    <row r="79" spans="1:13" x14ac:dyDescent="0.3">
      <c r="A79" s="3" t="s">
        <v>36</v>
      </c>
      <c r="B79" s="6">
        <v>10365</v>
      </c>
      <c r="C79" s="6">
        <v>10314</v>
      </c>
    </row>
    <row r="80" spans="1:13" x14ac:dyDescent="0.3">
      <c r="A80" s="3" t="s">
        <v>12</v>
      </c>
      <c r="B80" s="6">
        <v>7670</v>
      </c>
      <c r="C80" s="6">
        <v>7534</v>
      </c>
    </row>
    <row r="81" spans="1:3" x14ac:dyDescent="0.3">
      <c r="A81" s="3" t="s">
        <v>55</v>
      </c>
      <c r="B81" s="6">
        <v>34437307</v>
      </c>
      <c r="C81" s="6">
        <v>33837859</v>
      </c>
    </row>
  </sheetData>
  <conditionalFormatting pivot="1" sqref="B17:B21">
    <cfRule type="dataBar" priority="8">
      <dataBar>
        <cfvo type="min"/>
        <cfvo type="max"/>
        <color rgb="FF63C384"/>
      </dataBar>
      <extLst>
        <ext xmlns:x14="http://schemas.microsoft.com/office/spreadsheetml/2009/9/main" uri="{B025F937-C7B1-47D3-B67F-A62EFF666E3E}">
          <x14:id>{D95742C0-3B8C-43A0-8D78-213DB9339A93}</x14:id>
        </ext>
      </extLst>
    </cfRule>
  </conditionalFormatting>
  <conditionalFormatting pivot="1" sqref="D17:D21">
    <cfRule type="dataBar" priority="7">
      <dataBar>
        <cfvo type="min"/>
        <cfvo type="max"/>
        <color rgb="FF63C384"/>
      </dataBar>
      <extLst>
        <ext xmlns:x14="http://schemas.microsoft.com/office/spreadsheetml/2009/9/main" uri="{B025F937-C7B1-47D3-B67F-A62EFF666E3E}">
          <x14:id>{284CAC81-83C0-42DA-B30A-96559EC59045}</x14:id>
        </ext>
      </extLst>
    </cfRule>
  </conditionalFormatting>
  <conditionalFormatting pivot="1" sqref="B35:B39">
    <cfRule type="dataBar" priority="4">
      <dataBar>
        <cfvo type="min"/>
        <cfvo type="max"/>
        <color rgb="FFD6007B"/>
      </dataBar>
      <extLst>
        <ext xmlns:x14="http://schemas.microsoft.com/office/spreadsheetml/2009/9/main" uri="{B025F937-C7B1-47D3-B67F-A62EFF666E3E}">
          <x14:id>{1E545092-1753-4EC7-89E2-DBB8EBC3DA77}</x14:id>
        </ext>
      </extLst>
    </cfRule>
  </conditionalFormatting>
  <conditionalFormatting pivot="1" sqref="D35:D40">
    <cfRule type="dataBar" priority="3">
      <dataBar>
        <cfvo type="min"/>
        <cfvo type="max"/>
        <color rgb="FFD6007B"/>
      </dataBar>
      <extLst>
        <ext xmlns:x14="http://schemas.microsoft.com/office/spreadsheetml/2009/9/main" uri="{B025F937-C7B1-47D3-B67F-A62EFF666E3E}">
          <x14:id>{9BAE46F5-CDD7-4DA6-8789-9D4944AF90B1}</x14:id>
        </ext>
      </extLst>
    </cfRule>
  </conditionalFormatting>
  <conditionalFormatting pivot="1" sqref="B26:B30">
    <cfRule type="colorScale" priority="2">
      <colorScale>
        <cfvo type="min"/>
        <cfvo type="max"/>
        <color rgb="FFF8696B"/>
        <color rgb="FFFCFCFF"/>
      </colorScale>
    </cfRule>
  </conditionalFormatting>
  <conditionalFormatting pivot="1" sqref="D26:D30">
    <cfRule type="colorScale" priority="1">
      <colorScale>
        <cfvo type="min"/>
        <cfvo type="max"/>
        <color rgb="FFF8696B"/>
        <color rgb="FFFCFCFF"/>
      </colorScale>
    </cfRule>
  </conditionalFormatting>
  <pageMargins left="0.7" right="0.7" top="0.75" bottom="0.75" header="0.3" footer="0.3"/>
  <drawing r:id="rId14"/>
  <extLst>
    <ext xmlns:x14="http://schemas.microsoft.com/office/spreadsheetml/2009/9/main" uri="{78C0D931-6437-407d-A8EE-F0AAD7539E65}">
      <x14:conditionalFormattings>
        <x14:conditionalFormatting xmlns:xm="http://schemas.microsoft.com/office/excel/2006/main" pivot="1">
          <x14:cfRule type="dataBar" id="{D95742C0-3B8C-43A0-8D78-213DB9339A93}">
            <x14:dataBar minLength="0" maxLength="100" border="1" negativeBarBorderColorSameAsPositive="0">
              <x14:cfvo type="autoMin"/>
              <x14:cfvo type="autoMax"/>
              <x14:borderColor rgb="FF63C384"/>
              <x14:negativeFillColor rgb="FFFF0000"/>
              <x14:negativeBorderColor rgb="FFFF0000"/>
              <x14:axisColor rgb="FF000000"/>
            </x14:dataBar>
          </x14:cfRule>
          <xm:sqref>B17:B21</xm:sqref>
        </x14:conditionalFormatting>
        <x14:conditionalFormatting xmlns:xm="http://schemas.microsoft.com/office/excel/2006/main" pivot="1">
          <x14:cfRule type="dataBar" id="{284CAC81-83C0-42DA-B30A-96559EC59045}">
            <x14:dataBar minLength="0" maxLength="100" border="1" negativeBarBorderColorSameAsPositive="0">
              <x14:cfvo type="autoMin"/>
              <x14:cfvo type="autoMax"/>
              <x14:borderColor rgb="FF63C384"/>
              <x14:negativeFillColor rgb="FFFF0000"/>
              <x14:negativeBorderColor rgb="FFFF0000"/>
              <x14:axisColor rgb="FF000000"/>
            </x14:dataBar>
          </x14:cfRule>
          <xm:sqref>D17:D21</xm:sqref>
        </x14:conditionalFormatting>
        <x14:conditionalFormatting xmlns:xm="http://schemas.microsoft.com/office/excel/2006/main" pivot="1">
          <x14:cfRule type="dataBar" id="{1E545092-1753-4EC7-89E2-DBB8EBC3DA77}">
            <x14:dataBar minLength="0" maxLength="100" border="1" negativeBarBorderColorSameAsPositive="0">
              <x14:cfvo type="autoMin"/>
              <x14:cfvo type="autoMax"/>
              <x14:borderColor rgb="FFD6007B"/>
              <x14:negativeFillColor rgb="FFFF0000"/>
              <x14:negativeBorderColor rgb="FFFF0000"/>
              <x14:axisColor rgb="FF000000"/>
            </x14:dataBar>
          </x14:cfRule>
          <xm:sqref>B35:B39</xm:sqref>
        </x14:conditionalFormatting>
        <x14:conditionalFormatting xmlns:xm="http://schemas.microsoft.com/office/excel/2006/main" pivot="1">
          <x14:cfRule type="dataBar" id="{9BAE46F5-CDD7-4DA6-8789-9D4944AF90B1}">
            <x14:dataBar minLength="0" maxLength="100" border="1" negativeBarBorderColorSameAsPositive="0">
              <x14:cfvo type="autoMin"/>
              <x14:cfvo type="autoMax"/>
              <x14:borderColor rgb="FFD6007B"/>
              <x14:negativeFillColor rgb="FFFF0000"/>
              <x14:negativeBorderColor rgb="FFFF0000"/>
              <x14:axisColor rgb="FF000000"/>
            </x14:dataBar>
          </x14:cfRule>
          <xm:sqref>D35:D40</xm:sqref>
        </x14:conditionalFormatting>
      </x14:conditionalFormattings>
    </ex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DFC28-95ED-439C-B07C-19C6921324D6}">
  <dimension ref="A1:L37"/>
  <sheetViews>
    <sheetView workbookViewId="0">
      <pane ySplit="1" topLeftCell="A12" activePane="bottomLeft" state="frozen"/>
      <selection pane="bottomLeft" activeCell="C11" sqref="A1:L37"/>
    </sheetView>
  </sheetViews>
  <sheetFormatPr defaultRowHeight="14.4" x14ac:dyDescent="0.3"/>
  <cols>
    <col min="1" max="1" width="19.21875" bestFit="1" customWidth="1"/>
    <col min="2" max="2" width="6.21875" bestFit="1" customWidth="1"/>
    <col min="3" max="3" width="12.77734375" bestFit="1" customWidth="1"/>
    <col min="4" max="4" width="9.88671875" customWidth="1"/>
    <col min="5" max="5" width="12.77734375" bestFit="1" customWidth="1"/>
    <col min="6" max="6" width="8.44140625" bestFit="1" customWidth="1"/>
    <col min="7" max="7" width="14" bestFit="1" customWidth="1"/>
    <col min="8" max="8" width="17.77734375" bestFit="1" customWidth="1"/>
    <col min="9" max="9" width="16.109375" bestFit="1" customWidth="1"/>
    <col min="10" max="10" width="13.6640625" bestFit="1" customWidth="1"/>
    <col min="11" max="11" width="13.21875" bestFit="1" customWidth="1"/>
    <col min="12" max="12" width="12.44140625" bestFit="1" customWidth="1"/>
  </cols>
  <sheetData>
    <row r="1" spans="1:12" ht="18" x14ac:dyDescent="0.35">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v>7670</v>
      </c>
      <c r="D2">
        <v>7</v>
      </c>
      <c r="E2">
        <v>7534</v>
      </c>
      <c r="F2">
        <v>129</v>
      </c>
      <c r="G2">
        <v>0.09</v>
      </c>
      <c r="H2">
        <v>98.23</v>
      </c>
      <c r="I2" t="s">
        <v>14</v>
      </c>
      <c r="J2">
        <v>1.68</v>
      </c>
      <c r="K2" t="s">
        <v>15</v>
      </c>
      <c r="L2">
        <v>399001</v>
      </c>
    </row>
    <row r="3" spans="1:12" x14ac:dyDescent="0.3">
      <c r="A3" t="s">
        <v>16</v>
      </c>
      <c r="B3" t="s">
        <v>13</v>
      </c>
      <c r="C3">
        <v>2069770</v>
      </c>
      <c r="D3">
        <v>3128</v>
      </c>
      <c r="E3">
        <v>2052230</v>
      </c>
      <c r="F3">
        <v>14412</v>
      </c>
      <c r="G3">
        <v>0.15</v>
      </c>
      <c r="H3">
        <v>99.15</v>
      </c>
      <c r="I3" t="s">
        <v>15</v>
      </c>
      <c r="J3">
        <v>0.7</v>
      </c>
      <c r="K3" t="s">
        <v>14</v>
      </c>
      <c r="L3">
        <v>91702478</v>
      </c>
    </row>
    <row r="4" spans="1:12" x14ac:dyDescent="0.3">
      <c r="A4" t="s">
        <v>17</v>
      </c>
      <c r="B4" t="s">
        <v>18</v>
      </c>
      <c r="C4">
        <v>55216</v>
      </c>
      <c r="D4">
        <v>42</v>
      </c>
      <c r="E4">
        <v>54894</v>
      </c>
      <c r="F4">
        <v>280</v>
      </c>
      <c r="G4">
        <v>0.08</v>
      </c>
      <c r="H4">
        <v>99.42</v>
      </c>
      <c r="I4" t="s">
        <v>15</v>
      </c>
      <c r="J4">
        <v>0.51</v>
      </c>
      <c r="K4" t="s">
        <v>14</v>
      </c>
      <c r="L4">
        <v>1711947</v>
      </c>
    </row>
    <row r="5" spans="1:12" x14ac:dyDescent="0.3">
      <c r="A5" t="s">
        <v>19</v>
      </c>
      <c r="B5" t="s">
        <v>18</v>
      </c>
      <c r="C5">
        <v>613784</v>
      </c>
      <c r="D5">
        <v>3272</v>
      </c>
      <c r="E5">
        <v>604465</v>
      </c>
      <c r="F5">
        <v>6047</v>
      </c>
      <c r="G5">
        <v>0.53</v>
      </c>
      <c r="H5">
        <v>98.48</v>
      </c>
      <c r="I5" t="s">
        <v>15</v>
      </c>
      <c r="J5">
        <v>0.99</v>
      </c>
      <c r="K5" t="s">
        <v>14</v>
      </c>
      <c r="L5">
        <v>35998752</v>
      </c>
    </row>
    <row r="6" spans="1:12" x14ac:dyDescent="0.3">
      <c r="A6" t="s">
        <v>20</v>
      </c>
      <c r="B6" t="s">
        <v>18</v>
      </c>
      <c r="C6">
        <v>726153</v>
      </c>
      <c r="D6">
        <v>29</v>
      </c>
      <c r="E6">
        <v>716462</v>
      </c>
      <c r="F6">
        <v>9662</v>
      </c>
      <c r="G6">
        <v>0</v>
      </c>
      <c r="H6">
        <v>98.67</v>
      </c>
      <c r="I6" t="s">
        <v>15</v>
      </c>
      <c r="J6">
        <v>1.33</v>
      </c>
      <c r="K6" t="s">
        <v>15</v>
      </c>
      <c r="L6">
        <v>128500364</v>
      </c>
    </row>
    <row r="7" spans="1:12" x14ac:dyDescent="0.3">
      <c r="A7" t="s">
        <v>21</v>
      </c>
      <c r="B7" t="s">
        <v>22</v>
      </c>
      <c r="C7">
        <v>65380</v>
      </c>
      <c r="D7">
        <v>24</v>
      </c>
      <c r="E7">
        <v>64536</v>
      </c>
      <c r="F7">
        <v>820</v>
      </c>
      <c r="G7">
        <v>0.04</v>
      </c>
      <c r="H7">
        <v>98.71</v>
      </c>
      <c r="I7" t="s">
        <v>15</v>
      </c>
      <c r="J7">
        <v>1.25</v>
      </c>
      <c r="K7" t="s">
        <v>14</v>
      </c>
      <c r="L7">
        <v>1158040</v>
      </c>
    </row>
    <row r="8" spans="1:12" x14ac:dyDescent="0.3">
      <c r="A8" t="s">
        <v>23</v>
      </c>
      <c r="B8" t="s">
        <v>18</v>
      </c>
      <c r="C8">
        <v>1006326</v>
      </c>
      <c r="D8">
        <v>230</v>
      </c>
      <c r="E8">
        <v>992508</v>
      </c>
      <c r="F8">
        <v>13588</v>
      </c>
      <c r="G8">
        <v>0.02</v>
      </c>
      <c r="H8">
        <v>98.63</v>
      </c>
      <c r="I8" t="s">
        <v>15</v>
      </c>
      <c r="J8">
        <v>1.35</v>
      </c>
      <c r="K8" t="s">
        <v>15</v>
      </c>
      <c r="L8">
        <v>32199722</v>
      </c>
    </row>
    <row r="9" spans="1:12" x14ac:dyDescent="0.3">
      <c r="A9" t="s">
        <v>24</v>
      </c>
      <c r="B9" t="s">
        <v>25</v>
      </c>
      <c r="C9">
        <v>10682</v>
      </c>
      <c r="D9">
        <v>0</v>
      </c>
      <c r="E9">
        <v>10678</v>
      </c>
      <c r="F9">
        <v>4</v>
      </c>
      <c r="G9">
        <v>0</v>
      </c>
      <c r="H9">
        <v>99.96</v>
      </c>
      <c r="I9" t="s">
        <v>15</v>
      </c>
      <c r="J9">
        <v>0.04</v>
      </c>
      <c r="K9" t="s">
        <v>14</v>
      </c>
      <c r="L9">
        <v>773997</v>
      </c>
    </row>
    <row r="10" spans="1:12" x14ac:dyDescent="0.3">
      <c r="A10" t="s">
        <v>26</v>
      </c>
      <c r="B10" t="s">
        <v>22</v>
      </c>
      <c r="C10">
        <v>1440388</v>
      </c>
      <c r="D10">
        <v>361</v>
      </c>
      <c r="E10">
        <v>1414934</v>
      </c>
      <c r="F10">
        <v>25093</v>
      </c>
      <c r="G10">
        <v>0.03</v>
      </c>
      <c r="H10">
        <v>98.23</v>
      </c>
      <c r="I10" t="s">
        <v>14</v>
      </c>
      <c r="J10">
        <v>1.74</v>
      </c>
      <c r="K10" t="s">
        <v>15</v>
      </c>
      <c r="L10">
        <v>19301096</v>
      </c>
    </row>
    <row r="11" spans="1:12" x14ac:dyDescent="0.3">
      <c r="A11" t="s">
        <v>27</v>
      </c>
      <c r="B11" t="s">
        <v>25</v>
      </c>
      <c r="C11">
        <v>178467</v>
      </c>
      <c r="D11">
        <v>263</v>
      </c>
      <c r="E11">
        <v>174830</v>
      </c>
      <c r="F11">
        <v>3374</v>
      </c>
      <c r="G11">
        <v>0.15</v>
      </c>
      <c r="H11">
        <v>97.96</v>
      </c>
      <c r="I11" t="s">
        <v>14</v>
      </c>
      <c r="J11">
        <v>1.89</v>
      </c>
      <c r="K11" t="s">
        <v>15</v>
      </c>
      <c r="L11">
        <v>1521992</v>
      </c>
    </row>
    <row r="12" spans="1:12" x14ac:dyDescent="0.3">
      <c r="A12" t="s">
        <v>28</v>
      </c>
      <c r="B12" t="s">
        <v>25</v>
      </c>
      <c r="C12">
        <v>826924</v>
      </c>
      <c r="D12">
        <v>226</v>
      </c>
      <c r="E12">
        <v>816608</v>
      </c>
      <c r="F12">
        <v>10090</v>
      </c>
      <c r="G12">
        <v>0.03</v>
      </c>
      <c r="H12">
        <v>98.75</v>
      </c>
      <c r="I12" t="s">
        <v>15</v>
      </c>
      <c r="J12">
        <v>1.22</v>
      </c>
      <c r="K12" t="s">
        <v>14</v>
      </c>
      <c r="L12">
        <v>70400153</v>
      </c>
    </row>
    <row r="13" spans="1:12" x14ac:dyDescent="0.3">
      <c r="A13" t="s">
        <v>29</v>
      </c>
      <c r="B13" t="s">
        <v>22</v>
      </c>
      <c r="C13">
        <v>771420</v>
      </c>
      <c r="D13">
        <v>140</v>
      </c>
      <c r="E13">
        <v>761230</v>
      </c>
      <c r="F13">
        <v>10050</v>
      </c>
      <c r="G13">
        <v>0.02</v>
      </c>
      <c r="H13">
        <v>98.68</v>
      </c>
      <c r="I13" t="s">
        <v>15</v>
      </c>
      <c r="J13">
        <v>1.3</v>
      </c>
      <c r="K13" t="s">
        <v>15</v>
      </c>
      <c r="L13">
        <v>28900667</v>
      </c>
    </row>
    <row r="14" spans="1:12" x14ac:dyDescent="0.3">
      <c r="A14" t="s">
        <v>30</v>
      </c>
      <c r="B14" t="s">
        <v>22</v>
      </c>
      <c r="C14">
        <v>225712</v>
      </c>
      <c r="D14">
        <v>1100</v>
      </c>
      <c r="E14">
        <v>220800</v>
      </c>
      <c r="F14">
        <v>3812</v>
      </c>
      <c r="G14">
        <v>0.49</v>
      </c>
      <c r="H14">
        <v>97.82</v>
      </c>
      <c r="I14" t="s">
        <v>14</v>
      </c>
      <c r="J14">
        <v>1.69</v>
      </c>
      <c r="K14" t="s">
        <v>15</v>
      </c>
      <c r="L14">
        <v>7503010</v>
      </c>
    </row>
    <row r="15" spans="1:12" x14ac:dyDescent="0.3">
      <c r="A15" t="s">
        <v>31</v>
      </c>
      <c r="B15" t="s">
        <v>22</v>
      </c>
      <c r="C15">
        <v>334006</v>
      </c>
      <c r="D15">
        <v>1450</v>
      </c>
      <c r="E15">
        <v>328108</v>
      </c>
      <c r="F15">
        <v>4448</v>
      </c>
      <c r="G15">
        <v>0.43</v>
      </c>
      <c r="H15">
        <v>98.23</v>
      </c>
      <c r="I15" t="s">
        <v>14</v>
      </c>
      <c r="J15">
        <v>1.33</v>
      </c>
      <c r="K15" t="s">
        <v>15</v>
      </c>
      <c r="L15">
        <v>14999397</v>
      </c>
    </row>
    <row r="16" spans="1:12" x14ac:dyDescent="0.3">
      <c r="A16" t="s">
        <v>32</v>
      </c>
      <c r="B16" t="s">
        <v>18</v>
      </c>
      <c r="C16">
        <v>348992</v>
      </c>
      <c r="D16">
        <v>141</v>
      </c>
      <c r="E16">
        <v>343713</v>
      </c>
      <c r="F16">
        <v>5138</v>
      </c>
      <c r="G16">
        <v>0.04</v>
      </c>
      <c r="H16">
        <v>98.49</v>
      </c>
      <c r="I16" t="s">
        <v>15</v>
      </c>
      <c r="J16">
        <v>1.47</v>
      </c>
      <c r="K16" t="s">
        <v>15</v>
      </c>
      <c r="L16">
        <v>40100376</v>
      </c>
    </row>
    <row r="17" spans="1:12" x14ac:dyDescent="0.3">
      <c r="A17" t="s">
        <v>33</v>
      </c>
      <c r="B17" t="s">
        <v>13</v>
      </c>
      <c r="C17">
        <v>2991614</v>
      </c>
      <c r="D17">
        <v>8056</v>
      </c>
      <c r="E17">
        <v>2945415</v>
      </c>
      <c r="F17">
        <v>38143</v>
      </c>
      <c r="G17">
        <v>0.27</v>
      </c>
      <c r="H17">
        <v>98.46</v>
      </c>
      <c r="I17" t="s">
        <v>15</v>
      </c>
      <c r="J17">
        <v>1.27</v>
      </c>
      <c r="K17" t="s">
        <v>14</v>
      </c>
      <c r="L17">
        <v>69599762</v>
      </c>
    </row>
    <row r="18" spans="1:12" x14ac:dyDescent="0.3">
      <c r="A18" t="s">
        <v>34</v>
      </c>
      <c r="B18" t="s">
        <v>13</v>
      </c>
      <c r="C18">
        <v>5055224</v>
      </c>
      <c r="D18">
        <v>69258</v>
      </c>
      <c r="E18">
        <v>4950281</v>
      </c>
      <c r="F18">
        <v>35685</v>
      </c>
      <c r="G18">
        <v>1.37</v>
      </c>
      <c r="H18">
        <v>97.92</v>
      </c>
      <c r="I18" t="s">
        <v>14</v>
      </c>
      <c r="J18">
        <v>0.71</v>
      </c>
      <c r="K18" t="s">
        <v>14</v>
      </c>
      <c r="L18">
        <v>34698876</v>
      </c>
    </row>
    <row r="19" spans="1:12" x14ac:dyDescent="0.3">
      <c r="A19" t="s">
        <v>35</v>
      </c>
      <c r="B19" t="s">
        <v>22</v>
      </c>
      <c r="C19">
        <v>21148</v>
      </c>
      <c r="D19">
        <v>154</v>
      </c>
      <c r="E19">
        <v>20783</v>
      </c>
      <c r="F19">
        <v>211</v>
      </c>
      <c r="G19">
        <v>0.73</v>
      </c>
      <c r="H19">
        <v>98.27</v>
      </c>
      <c r="I19" t="s">
        <v>14</v>
      </c>
      <c r="J19">
        <v>1</v>
      </c>
      <c r="K19" t="s">
        <v>14</v>
      </c>
      <c r="L19">
        <v>290492</v>
      </c>
    </row>
    <row r="20" spans="1:12" x14ac:dyDescent="0.3">
      <c r="A20" t="s">
        <v>36</v>
      </c>
      <c r="B20" t="s">
        <v>13</v>
      </c>
      <c r="C20">
        <v>10365</v>
      </c>
      <c r="D20">
        <v>0</v>
      </c>
      <c r="E20">
        <v>10314</v>
      </c>
      <c r="F20">
        <v>51</v>
      </c>
      <c r="G20">
        <v>0</v>
      </c>
      <c r="H20">
        <v>99.51</v>
      </c>
      <c r="I20" t="s">
        <v>15</v>
      </c>
      <c r="J20">
        <v>0.49</v>
      </c>
      <c r="K20" t="s">
        <v>14</v>
      </c>
      <c r="L20">
        <v>66001</v>
      </c>
    </row>
    <row r="21" spans="1:12" x14ac:dyDescent="0.3">
      <c r="A21" t="s">
        <v>37</v>
      </c>
      <c r="B21" t="s">
        <v>25</v>
      </c>
      <c r="C21">
        <v>792956</v>
      </c>
      <c r="D21">
        <v>75</v>
      </c>
      <c r="E21">
        <v>782357</v>
      </c>
      <c r="F21">
        <v>10524</v>
      </c>
      <c r="G21">
        <v>0.01</v>
      </c>
      <c r="H21">
        <v>98.66</v>
      </c>
      <c r="I21" t="s">
        <v>15</v>
      </c>
      <c r="J21">
        <v>1.33</v>
      </c>
      <c r="K21" t="s">
        <v>15</v>
      </c>
      <c r="L21">
        <v>85002417</v>
      </c>
    </row>
    <row r="22" spans="1:12" x14ac:dyDescent="0.3">
      <c r="A22" t="s">
        <v>38</v>
      </c>
      <c r="B22" t="s">
        <v>25</v>
      </c>
      <c r="C22">
        <v>6623344</v>
      </c>
      <c r="D22">
        <v>15866</v>
      </c>
      <c r="E22">
        <v>6466913</v>
      </c>
      <c r="F22">
        <v>140565</v>
      </c>
      <c r="G22">
        <v>0.24</v>
      </c>
      <c r="H22">
        <v>97.64</v>
      </c>
      <c r="I22" t="s">
        <v>14</v>
      </c>
      <c r="J22">
        <v>2.12</v>
      </c>
      <c r="K22" t="s">
        <v>15</v>
      </c>
      <c r="L22">
        <v>124904071</v>
      </c>
    </row>
    <row r="23" spans="1:12" x14ac:dyDescent="0.3">
      <c r="A23" t="s">
        <v>39</v>
      </c>
      <c r="B23" t="s">
        <v>18</v>
      </c>
      <c r="C23">
        <v>124432</v>
      </c>
      <c r="D23">
        <v>799</v>
      </c>
      <c r="E23">
        <v>121687</v>
      </c>
      <c r="F23">
        <v>1946</v>
      </c>
      <c r="G23">
        <v>0.64</v>
      </c>
      <c r="H23">
        <v>97.79</v>
      </c>
      <c r="I23" t="s">
        <v>14</v>
      </c>
      <c r="J23">
        <v>1.56</v>
      </c>
      <c r="K23" t="s">
        <v>15</v>
      </c>
      <c r="L23">
        <v>3436948</v>
      </c>
    </row>
    <row r="24" spans="1:12" x14ac:dyDescent="0.3">
      <c r="A24" t="s">
        <v>40</v>
      </c>
      <c r="B24" t="s">
        <v>18</v>
      </c>
      <c r="C24">
        <v>84013</v>
      </c>
      <c r="D24">
        <v>277</v>
      </c>
      <c r="E24">
        <v>82274</v>
      </c>
      <c r="F24">
        <v>1462</v>
      </c>
      <c r="G24">
        <v>0.33</v>
      </c>
      <c r="H24">
        <v>97.93</v>
      </c>
      <c r="I24" t="s">
        <v>14</v>
      </c>
      <c r="J24">
        <v>1.74</v>
      </c>
      <c r="K24" t="s">
        <v>15</v>
      </c>
      <c r="L24">
        <v>3772103</v>
      </c>
    </row>
    <row r="25" spans="1:12" x14ac:dyDescent="0.3">
      <c r="A25" t="s">
        <v>41</v>
      </c>
      <c r="B25" t="s">
        <v>18</v>
      </c>
      <c r="C25">
        <v>128604</v>
      </c>
      <c r="D25">
        <v>5651</v>
      </c>
      <c r="E25">
        <v>122494</v>
      </c>
      <c r="F25">
        <v>459</v>
      </c>
      <c r="G25">
        <v>4.3899999999999997</v>
      </c>
      <c r="H25">
        <v>95.25</v>
      </c>
      <c r="I25" t="s">
        <v>14</v>
      </c>
      <c r="J25">
        <v>0.36</v>
      </c>
      <c r="K25" t="s">
        <v>14</v>
      </c>
      <c r="L25">
        <v>1308967</v>
      </c>
    </row>
    <row r="26" spans="1:12" x14ac:dyDescent="0.3">
      <c r="A26" t="s">
        <v>42</v>
      </c>
      <c r="B26" t="s">
        <v>18</v>
      </c>
      <c r="C26">
        <v>31978</v>
      </c>
      <c r="D26">
        <v>163</v>
      </c>
      <c r="E26">
        <v>31123</v>
      </c>
      <c r="F26">
        <v>692</v>
      </c>
      <c r="G26">
        <v>0.51</v>
      </c>
      <c r="H26">
        <v>97.33</v>
      </c>
      <c r="I26" t="s">
        <v>14</v>
      </c>
      <c r="J26">
        <v>2.16</v>
      </c>
      <c r="K26" t="s">
        <v>15</v>
      </c>
      <c r="L26">
        <v>2073074</v>
      </c>
    </row>
    <row r="27" spans="1:12" x14ac:dyDescent="0.3">
      <c r="A27" t="s">
        <v>43</v>
      </c>
      <c r="B27" t="s">
        <v>18</v>
      </c>
      <c r="C27">
        <v>1045209</v>
      </c>
      <c r="D27">
        <v>2534</v>
      </c>
      <c r="E27">
        <v>1034300</v>
      </c>
      <c r="F27">
        <v>8375</v>
      </c>
      <c r="G27">
        <v>0.24</v>
      </c>
      <c r="H27">
        <v>98.96</v>
      </c>
      <c r="I27" t="s">
        <v>15</v>
      </c>
      <c r="J27">
        <v>0.8</v>
      </c>
      <c r="K27" t="s">
        <v>14</v>
      </c>
      <c r="L27">
        <v>47099270</v>
      </c>
    </row>
    <row r="28" spans="1:12" x14ac:dyDescent="0.3">
      <c r="A28" t="s">
        <v>44</v>
      </c>
      <c r="B28" t="s">
        <v>13</v>
      </c>
      <c r="C28">
        <v>128401</v>
      </c>
      <c r="D28">
        <v>275</v>
      </c>
      <c r="E28">
        <v>126263</v>
      </c>
      <c r="F28">
        <v>1863</v>
      </c>
      <c r="G28">
        <v>0.21</v>
      </c>
      <c r="H28">
        <v>98.33</v>
      </c>
      <c r="I28" t="s">
        <v>14</v>
      </c>
      <c r="J28">
        <v>1.45</v>
      </c>
      <c r="K28" t="s">
        <v>15</v>
      </c>
      <c r="L28">
        <v>1646050</v>
      </c>
    </row>
    <row r="29" spans="1:12" x14ac:dyDescent="0.3">
      <c r="A29" t="s">
        <v>45</v>
      </c>
      <c r="B29" t="s">
        <v>22</v>
      </c>
      <c r="C29">
        <v>602778</v>
      </c>
      <c r="D29">
        <v>318</v>
      </c>
      <c r="E29">
        <v>585889</v>
      </c>
      <c r="F29">
        <v>16571</v>
      </c>
      <c r="G29">
        <v>0.05</v>
      </c>
      <c r="H29">
        <v>97.2</v>
      </c>
      <c r="I29" t="s">
        <v>14</v>
      </c>
      <c r="J29">
        <v>2.75</v>
      </c>
      <c r="K29" t="s">
        <v>15</v>
      </c>
      <c r="L29">
        <v>30501026</v>
      </c>
    </row>
    <row r="30" spans="1:12" x14ac:dyDescent="0.3">
      <c r="A30" t="s">
        <v>46</v>
      </c>
      <c r="B30" t="s">
        <v>25</v>
      </c>
      <c r="C30">
        <v>954503</v>
      </c>
      <c r="D30">
        <v>71</v>
      </c>
      <c r="E30">
        <v>945478</v>
      </c>
      <c r="F30">
        <v>8954</v>
      </c>
      <c r="G30">
        <v>0.01</v>
      </c>
      <c r="H30">
        <v>99.05</v>
      </c>
      <c r="I30" t="s">
        <v>15</v>
      </c>
      <c r="J30">
        <v>0.94</v>
      </c>
      <c r="K30" t="s">
        <v>14</v>
      </c>
      <c r="L30">
        <v>79502477</v>
      </c>
    </row>
    <row r="31" spans="1:12" x14ac:dyDescent="0.3">
      <c r="A31" t="s">
        <v>47</v>
      </c>
      <c r="B31" t="s">
        <v>18</v>
      </c>
      <c r="C31">
        <v>32096</v>
      </c>
      <c r="D31">
        <v>121</v>
      </c>
      <c r="E31">
        <v>31575</v>
      </c>
      <c r="F31">
        <v>400</v>
      </c>
      <c r="G31">
        <v>0.38</v>
      </c>
      <c r="H31">
        <v>98.38</v>
      </c>
      <c r="I31" t="s">
        <v>15</v>
      </c>
      <c r="J31">
        <v>1.25</v>
      </c>
      <c r="K31" t="s">
        <v>14</v>
      </c>
      <c r="L31">
        <v>658019</v>
      </c>
    </row>
    <row r="32" spans="1:12" x14ac:dyDescent="0.3">
      <c r="A32" t="s">
        <v>48</v>
      </c>
      <c r="B32" t="s">
        <v>13</v>
      </c>
      <c r="C32">
        <v>2714025</v>
      </c>
      <c r="D32">
        <v>9751</v>
      </c>
      <c r="E32">
        <v>2668001</v>
      </c>
      <c r="F32">
        <v>36273</v>
      </c>
      <c r="G32">
        <v>0.36</v>
      </c>
      <c r="H32">
        <v>98.3</v>
      </c>
      <c r="I32" t="s">
        <v>14</v>
      </c>
      <c r="J32">
        <v>1.34</v>
      </c>
      <c r="K32" t="s">
        <v>15</v>
      </c>
      <c r="L32">
        <v>83697770</v>
      </c>
    </row>
    <row r="33" spans="1:12" x14ac:dyDescent="0.3">
      <c r="A33" t="s">
        <v>49</v>
      </c>
      <c r="B33" t="s">
        <v>13</v>
      </c>
      <c r="C33">
        <v>673469</v>
      </c>
      <c r="D33">
        <v>3741</v>
      </c>
      <c r="E33">
        <v>665755</v>
      </c>
      <c r="F33">
        <v>3973</v>
      </c>
      <c r="G33">
        <v>0.56000000000000005</v>
      </c>
      <c r="H33">
        <v>98.85</v>
      </c>
      <c r="I33" t="s">
        <v>15</v>
      </c>
      <c r="J33">
        <v>0.59</v>
      </c>
      <c r="K33" t="s">
        <v>14</v>
      </c>
      <c r="L33">
        <v>38157311</v>
      </c>
    </row>
    <row r="34" spans="1:12" x14ac:dyDescent="0.3">
      <c r="A34" t="s">
        <v>50</v>
      </c>
      <c r="B34" t="s">
        <v>18</v>
      </c>
      <c r="C34">
        <v>84665</v>
      </c>
      <c r="D34">
        <v>116</v>
      </c>
      <c r="E34">
        <v>83732</v>
      </c>
      <c r="F34">
        <v>817</v>
      </c>
      <c r="G34">
        <v>0.14000000000000001</v>
      </c>
      <c r="H34">
        <v>98.9</v>
      </c>
      <c r="I34" t="s">
        <v>15</v>
      </c>
      <c r="J34">
        <v>0.96</v>
      </c>
      <c r="K34" t="s">
        <v>14</v>
      </c>
      <c r="L34">
        <v>4184959</v>
      </c>
    </row>
    <row r="35" spans="1:12" x14ac:dyDescent="0.3">
      <c r="A35" t="s">
        <v>51</v>
      </c>
      <c r="B35" t="s">
        <v>22</v>
      </c>
      <c r="C35">
        <v>1710261</v>
      </c>
      <c r="D35">
        <v>90</v>
      </c>
      <c r="E35">
        <v>1687262</v>
      </c>
      <c r="F35">
        <v>22909</v>
      </c>
      <c r="G35">
        <v>0.01</v>
      </c>
      <c r="H35">
        <v>98.66</v>
      </c>
      <c r="I35" t="s">
        <v>15</v>
      </c>
      <c r="J35">
        <v>1.34</v>
      </c>
      <c r="K35" t="s">
        <v>15</v>
      </c>
      <c r="L35">
        <v>231502578</v>
      </c>
    </row>
    <row r="36" spans="1:12" x14ac:dyDescent="0.3">
      <c r="A36" t="s">
        <v>52</v>
      </c>
      <c r="B36" t="s">
        <v>22</v>
      </c>
      <c r="C36">
        <v>344014</v>
      </c>
      <c r="D36">
        <v>158</v>
      </c>
      <c r="E36">
        <v>336453</v>
      </c>
      <c r="F36">
        <v>7403</v>
      </c>
      <c r="G36">
        <v>0.05</v>
      </c>
      <c r="H36">
        <v>97.8</v>
      </c>
      <c r="I36" t="s">
        <v>14</v>
      </c>
      <c r="J36">
        <v>2.15</v>
      </c>
      <c r="K36" t="s">
        <v>15</v>
      </c>
      <c r="L36">
        <v>11700099</v>
      </c>
    </row>
    <row r="37" spans="1:12" x14ac:dyDescent="0.3">
      <c r="A37" t="s">
        <v>53</v>
      </c>
      <c r="B37" t="s">
        <v>18</v>
      </c>
      <c r="C37">
        <v>1603318</v>
      </c>
      <c r="D37">
        <v>8031</v>
      </c>
      <c r="E37">
        <v>1575980</v>
      </c>
      <c r="F37">
        <v>19307</v>
      </c>
      <c r="G37">
        <v>0.5</v>
      </c>
      <c r="H37">
        <v>98.29</v>
      </c>
      <c r="I37" t="s">
        <v>14</v>
      </c>
      <c r="J37">
        <v>1.2</v>
      </c>
      <c r="K37" t="s">
        <v>14</v>
      </c>
      <c r="L37">
        <v>100896618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9EF6-ED90-4B94-8A78-C99740A98344}">
  <dimension ref="A1:D39"/>
  <sheetViews>
    <sheetView tabSelected="1" zoomScale="98" workbookViewId="0">
      <selection activeCell="A5" sqref="A5:D6"/>
    </sheetView>
  </sheetViews>
  <sheetFormatPr defaultRowHeight="14.4" x14ac:dyDescent="0.3"/>
  <cols>
    <col min="1" max="1" width="13.77734375" customWidth="1"/>
    <col min="2" max="2" width="16.33203125" customWidth="1"/>
    <col min="3" max="3" width="19.109375" customWidth="1"/>
    <col min="4" max="4" width="19.6640625" customWidth="1"/>
  </cols>
  <sheetData>
    <row r="1" spans="1:4" ht="22.2" customHeight="1" x14ac:dyDescent="0.35">
      <c r="A1" s="1"/>
      <c r="B1" s="1"/>
      <c r="C1" s="1"/>
      <c r="D1" s="1"/>
    </row>
    <row r="3" spans="1:4" ht="22.8" customHeight="1" x14ac:dyDescent="0.3"/>
    <row r="5" spans="1:4" x14ac:dyDescent="0.3">
      <c r="A5" s="16" t="s">
        <v>66</v>
      </c>
      <c r="B5" s="16"/>
      <c r="C5" s="16"/>
      <c r="D5" s="16"/>
    </row>
    <row r="6" spans="1:4" x14ac:dyDescent="0.3">
      <c r="A6" s="10" t="s">
        <v>62</v>
      </c>
      <c r="B6" s="10"/>
      <c r="C6" s="11" t="s">
        <v>63</v>
      </c>
      <c r="D6" s="11"/>
    </row>
    <row r="7" spans="1:4" x14ac:dyDescent="0.3">
      <c r="A7" s="2" t="s">
        <v>60</v>
      </c>
      <c r="B7" t="s">
        <v>65</v>
      </c>
      <c r="C7" s="2" t="s">
        <v>60</v>
      </c>
      <c r="D7" t="s">
        <v>65</v>
      </c>
    </row>
    <row r="8" spans="1:4" x14ac:dyDescent="0.3">
      <c r="A8" s="3" t="s">
        <v>38</v>
      </c>
      <c r="B8">
        <v>6623344</v>
      </c>
      <c r="C8" s="3" t="s">
        <v>12</v>
      </c>
      <c r="D8">
        <v>7670</v>
      </c>
    </row>
    <row r="9" spans="1:4" x14ac:dyDescent="0.3">
      <c r="A9" s="3" t="s">
        <v>34</v>
      </c>
      <c r="B9">
        <v>5055224</v>
      </c>
      <c r="C9" s="3" t="s">
        <v>36</v>
      </c>
      <c r="D9">
        <v>10365</v>
      </c>
    </row>
    <row r="10" spans="1:4" x14ac:dyDescent="0.3">
      <c r="A10" s="3" t="s">
        <v>33</v>
      </c>
      <c r="B10">
        <v>2991614</v>
      </c>
      <c r="C10" s="3" t="s">
        <v>24</v>
      </c>
      <c r="D10">
        <v>10682</v>
      </c>
    </row>
    <row r="11" spans="1:4" x14ac:dyDescent="0.3">
      <c r="A11" s="3" t="s">
        <v>48</v>
      </c>
      <c r="B11">
        <v>2714025</v>
      </c>
      <c r="C11" s="3" t="s">
        <v>35</v>
      </c>
      <c r="D11">
        <v>21148</v>
      </c>
    </row>
    <row r="12" spans="1:4" x14ac:dyDescent="0.3">
      <c r="A12" s="3" t="s">
        <v>16</v>
      </c>
      <c r="B12">
        <v>2069770</v>
      </c>
      <c r="C12" s="3" t="s">
        <v>42</v>
      </c>
      <c r="D12">
        <v>31978</v>
      </c>
    </row>
    <row r="13" spans="1:4" x14ac:dyDescent="0.3">
      <c r="A13" s="3"/>
      <c r="C13" s="3"/>
    </row>
    <row r="14" spans="1:4" x14ac:dyDescent="0.3">
      <c r="A14" s="13" t="s">
        <v>64</v>
      </c>
      <c r="B14" s="13"/>
      <c r="C14" s="13"/>
      <c r="D14" s="13"/>
    </row>
    <row r="15" spans="1:4" x14ac:dyDescent="0.3">
      <c r="A15" s="14" t="s">
        <v>62</v>
      </c>
      <c r="B15" s="14"/>
      <c r="C15" s="15" t="s">
        <v>63</v>
      </c>
      <c r="D15" s="15"/>
    </row>
    <row r="16" spans="1:4" x14ac:dyDescent="0.3">
      <c r="A16" s="2" t="s">
        <v>60</v>
      </c>
      <c r="B16" t="s">
        <v>61</v>
      </c>
      <c r="C16" s="2" t="s">
        <v>60</v>
      </c>
      <c r="D16" t="s">
        <v>61</v>
      </c>
    </row>
    <row r="17" spans="1:4" x14ac:dyDescent="0.3">
      <c r="A17" s="3" t="s">
        <v>45</v>
      </c>
      <c r="B17">
        <v>2.75</v>
      </c>
      <c r="C17" s="3" t="s">
        <v>24</v>
      </c>
      <c r="D17">
        <v>0.04</v>
      </c>
    </row>
    <row r="18" spans="1:4" x14ac:dyDescent="0.3">
      <c r="A18" s="3" t="s">
        <v>42</v>
      </c>
      <c r="B18">
        <v>2.16</v>
      </c>
      <c r="C18" s="3" t="s">
        <v>41</v>
      </c>
      <c r="D18">
        <v>0.36</v>
      </c>
    </row>
    <row r="19" spans="1:4" x14ac:dyDescent="0.3">
      <c r="A19" s="3" t="s">
        <v>52</v>
      </c>
      <c r="B19">
        <v>2.15</v>
      </c>
      <c r="C19" s="3" t="s">
        <v>36</v>
      </c>
      <c r="D19">
        <v>0.49</v>
      </c>
    </row>
    <row r="20" spans="1:4" x14ac:dyDescent="0.3">
      <c r="A20" s="3" t="s">
        <v>38</v>
      </c>
      <c r="B20">
        <v>2.12</v>
      </c>
      <c r="C20" s="3" t="s">
        <v>17</v>
      </c>
      <c r="D20">
        <v>0.51</v>
      </c>
    </row>
    <row r="21" spans="1:4" x14ac:dyDescent="0.3">
      <c r="A21" s="3" t="s">
        <v>27</v>
      </c>
      <c r="B21">
        <v>1.89</v>
      </c>
      <c r="C21" s="3" t="s">
        <v>49</v>
      </c>
      <c r="D21">
        <v>0.59</v>
      </c>
    </row>
    <row r="23" spans="1:4" x14ac:dyDescent="0.3">
      <c r="A23" s="12" t="s">
        <v>71</v>
      </c>
      <c r="B23" s="12"/>
      <c r="C23" s="12"/>
      <c r="D23" s="12"/>
    </row>
    <row r="24" spans="1:4" x14ac:dyDescent="0.3">
      <c r="A24" s="10" t="s">
        <v>62</v>
      </c>
      <c r="B24" s="10"/>
      <c r="C24" s="11" t="s">
        <v>63</v>
      </c>
      <c r="D24" s="11"/>
    </row>
    <row r="25" spans="1:4" x14ac:dyDescent="0.3">
      <c r="A25" s="2" t="s">
        <v>60</v>
      </c>
      <c r="B25" t="s">
        <v>67</v>
      </c>
      <c r="C25" s="2" t="s">
        <v>60</v>
      </c>
      <c r="D25" t="s">
        <v>67</v>
      </c>
    </row>
    <row r="26" spans="1:4" x14ac:dyDescent="0.3">
      <c r="A26" s="3" t="s">
        <v>24</v>
      </c>
      <c r="B26">
        <v>99.96</v>
      </c>
      <c r="C26" s="3" t="s">
        <v>41</v>
      </c>
      <c r="D26">
        <v>95.25</v>
      </c>
    </row>
    <row r="27" spans="1:4" x14ac:dyDescent="0.3">
      <c r="A27" s="3" t="s">
        <v>36</v>
      </c>
      <c r="B27">
        <v>99.51</v>
      </c>
      <c r="C27" s="3" t="s">
        <v>45</v>
      </c>
      <c r="D27">
        <v>97.2</v>
      </c>
    </row>
    <row r="28" spans="1:4" x14ac:dyDescent="0.3">
      <c r="A28" s="3" t="s">
        <v>17</v>
      </c>
      <c r="B28">
        <v>99.42</v>
      </c>
      <c r="C28" s="3" t="s">
        <v>42</v>
      </c>
      <c r="D28">
        <v>97.33</v>
      </c>
    </row>
    <row r="29" spans="1:4" x14ac:dyDescent="0.3">
      <c r="A29" s="3" t="s">
        <v>16</v>
      </c>
      <c r="B29">
        <v>99.15</v>
      </c>
      <c r="C29" s="3" t="s">
        <v>38</v>
      </c>
      <c r="D29">
        <v>97.64</v>
      </c>
    </row>
    <row r="30" spans="1:4" x14ac:dyDescent="0.3">
      <c r="A30" s="3" t="s">
        <v>46</v>
      </c>
      <c r="B30">
        <v>99.05</v>
      </c>
      <c r="C30" s="3" t="s">
        <v>39</v>
      </c>
      <c r="D30">
        <v>97.79</v>
      </c>
    </row>
    <row r="32" spans="1:4" x14ac:dyDescent="0.3">
      <c r="A32" s="9" t="s">
        <v>72</v>
      </c>
      <c r="B32" s="9"/>
      <c r="C32" s="9"/>
      <c r="D32" s="9"/>
    </row>
    <row r="33" spans="1:4" x14ac:dyDescent="0.3">
      <c r="A33" s="10" t="s">
        <v>62</v>
      </c>
      <c r="B33" s="7"/>
      <c r="C33" s="11" t="s">
        <v>63</v>
      </c>
      <c r="D33" s="8"/>
    </row>
    <row r="34" spans="1:4" x14ac:dyDescent="0.3">
      <c r="A34" s="2" t="s">
        <v>54</v>
      </c>
      <c r="B34" t="s">
        <v>70</v>
      </c>
      <c r="C34" s="4" t="s">
        <v>54</v>
      </c>
      <c r="D34" s="4" t="s">
        <v>69</v>
      </c>
    </row>
    <row r="35" spans="1:4" x14ac:dyDescent="0.3">
      <c r="A35" s="3" t="s">
        <v>41</v>
      </c>
      <c r="B35">
        <v>4.3899999999999997</v>
      </c>
      <c r="C35" s="3" t="s">
        <v>37</v>
      </c>
      <c r="D35">
        <v>0.01</v>
      </c>
    </row>
    <row r="36" spans="1:4" x14ac:dyDescent="0.3">
      <c r="A36" s="3" t="s">
        <v>34</v>
      </c>
      <c r="B36">
        <v>1.37</v>
      </c>
      <c r="C36" s="3" t="s">
        <v>51</v>
      </c>
      <c r="D36">
        <v>0.01</v>
      </c>
    </row>
    <row r="37" spans="1:4" x14ac:dyDescent="0.3">
      <c r="A37" s="3" t="s">
        <v>35</v>
      </c>
      <c r="B37">
        <v>0.73</v>
      </c>
      <c r="C37" s="3" t="s">
        <v>46</v>
      </c>
      <c r="D37">
        <v>0.01</v>
      </c>
    </row>
    <row r="38" spans="1:4" x14ac:dyDescent="0.3">
      <c r="A38" s="3" t="s">
        <v>39</v>
      </c>
      <c r="B38">
        <v>0.64</v>
      </c>
      <c r="C38" s="3" t="s">
        <v>24</v>
      </c>
      <c r="D38">
        <v>0</v>
      </c>
    </row>
    <row r="39" spans="1:4" x14ac:dyDescent="0.3">
      <c r="A39" s="3" t="s">
        <v>49</v>
      </c>
      <c r="B39">
        <v>0.56000000000000005</v>
      </c>
      <c r="C39" s="3" t="s">
        <v>20</v>
      </c>
      <c r="D39">
        <v>0</v>
      </c>
    </row>
  </sheetData>
  <mergeCells count="6">
    <mergeCell ref="A5:D5"/>
    <mergeCell ref="A23:D23"/>
    <mergeCell ref="A32:D32"/>
    <mergeCell ref="A15:B15"/>
    <mergeCell ref="C15:D15"/>
    <mergeCell ref="A14:D14"/>
  </mergeCells>
  <conditionalFormatting pivot="1" sqref="B17:B21">
    <cfRule type="dataBar" priority="14">
      <dataBar>
        <cfvo type="min"/>
        <cfvo type="max"/>
        <color rgb="FFFF555A"/>
      </dataBar>
      <extLst>
        <ext xmlns:x14="http://schemas.microsoft.com/office/spreadsheetml/2009/9/main" uri="{B025F937-C7B1-47D3-B67F-A62EFF666E3E}">
          <x14:id>{683692A7-B9FF-4280-9FA0-DFE140D57308}</x14:id>
        </ext>
      </extLst>
    </cfRule>
  </conditionalFormatting>
  <conditionalFormatting pivot="1" sqref="D17:D21">
    <cfRule type="dataBar" priority="13">
      <dataBar>
        <cfvo type="min"/>
        <cfvo type="max"/>
        <color rgb="FFFF555A"/>
      </dataBar>
      <extLst>
        <ext xmlns:x14="http://schemas.microsoft.com/office/spreadsheetml/2009/9/main" uri="{B025F937-C7B1-47D3-B67F-A62EFF666E3E}">
          <x14:id>{E46F356C-6BE7-4401-85CA-A0D061776D0A}</x14:id>
        </ext>
      </extLst>
    </cfRule>
  </conditionalFormatting>
  <conditionalFormatting pivot="1" sqref="B8:B12">
    <cfRule type="dataBar" priority="10">
      <dataBar>
        <cfvo type="min"/>
        <cfvo type="max"/>
        <color rgb="FFFFB628"/>
      </dataBar>
      <extLst>
        <ext xmlns:x14="http://schemas.microsoft.com/office/spreadsheetml/2009/9/main" uri="{B025F937-C7B1-47D3-B67F-A62EFF666E3E}">
          <x14:id>{99F0D1FC-C7AC-4D71-BCC5-5138F36E4057}</x14:id>
        </ext>
      </extLst>
    </cfRule>
  </conditionalFormatting>
  <conditionalFormatting pivot="1" sqref="D8:D12">
    <cfRule type="dataBar" priority="9">
      <dataBar>
        <cfvo type="min"/>
        <cfvo type="max"/>
        <color rgb="FFFFB628"/>
      </dataBar>
      <extLst>
        <ext xmlns:x14="http://schemas.microsoft.com/office/spreadsheetml/2009/9/main" uri="{B025F937-C7B1-47D3-B67F-A62EFF666E3E}">
          <x14:id>{328D7A5E-1DC5-4C58-9FB3-81BDEE827501}</x14:id>
        </ext>
      </extLst>
    </cfRule>
  </conditionalFormatting>
  <conditionalFormatting pivot="1" sqref="B35:B39">
    <cfRule type="dataBar" priority="8">
      <dataBar>
        <cfvo type="min"/>
        <cfvo type="max"/>
        <color rgb="FFD6007B"/>
      </dataBar>
      <extLst>
        <ext xmlns:x14="http://schemas.microsoft.com/office/spreadsheetml/2009/9/main" uri="{B025F937-C7B1-47D3-B67F-A62EFF666E3E}">
          <x14:id>{5247DF03-2011-405C-B611-832FE91DB7C1}</x14:id>
        </ext>
      </extLst>
    </cfRule>
  </conditionalFormatting>
  <conditionalFormatting sqref="D35:D39">
    <cfRule type="dataBar" priority="7">
      <dataBar>
        <cfvo type="min"/>
        <cfvo type="max"/>
        <color rgb="FFD6007B"/>
      </dataBar>
      <extLst>
        <ext xmlns:x14="http://schemas.microsoft.com/office/spreadsheetml/2009/9/main" uri="{B025F937-C7B1-47D3-B67F-A62EFF666E3E}">
          <x14:id>{762DEFBB-EC50-4F62-B301-25445CEC9116}</x14:id>
        </ext>
      </extLst>
    </cfRule>
  </conditionalFormatting>
  <conditionalFormatting pivot="1" sqref="B26:B30">
    <cfRule type="colorScale" priority="6">
      <colorScale>
        <cfvo type="min"/>
        <cfvo type="max"/>
        <color rgb="FFF8696B"/>
        <color rgb="FFFCFCFF"/>
      </colorScale>
    </cfRule>
  </conditionalFormatting>
  <conditionalFormatting pivot="1" sqref="D26:D30">
    <cfRule type="colorScale" priority="5">
      <colorScale>
        <cfvo type="min"/>
        <cfvo type="max"/>
        <color rgb="FFF8696B"/>
        <color rgb="FFFCFCFF"/>
      </colorScale>
    </cfRule>
  </conditionalFormatting>
  <conditionalFormatting pivot="1" sqref="B26:B30">
    <cfRule type="colorScale" priority="4">
      <colorScale>
        <cfvo type="min"/>
        <cfvo type="max"/>
        <color theme="8" tint="-0.249977111117893"/>
        <color rgb="FFFFEF9C"/>
      </colorScale>
    </cfRule>
  </conditionalFormatting>
  <conditionalFormatting pivot="1" sqref="B26:B30">
    <cfRule type="colorScale" priority="3">
      <colorScale>
        <cfvo type="min"/>
        <cfvo type="max"/>
        <color rgb="FFFF7128"/>
        <color theme="0" tint="-4.9989318521683403E-2"/>
      </colorScale>
    </cfRule>
  </conditionalFormatting>
  <conditionalFormatting pivot="1" sqref="B26:B30">
    <cfRule type="colorScale" priority="2">
      <colorScale>
        <cfvo type="min"/>
        <cfvo type="max"/>
        <color theme="4" tint="0.39997558519241921"/>
        <color theme="4" tint="0.79998168889431442"/>
      </colorScale>
    </cfRule>
  </conditionalFormatting>
  <conditionalFormatting pivot="1" sqref="D26:D30">
    <cfRule type="colorScale" priority="1">
      <colorScale>
        <cfvo type="min"/>
        <cfvo type="max"/>
        <color theme="4" tint="0.39997558519241921"/>
        <color theme="6" tint="0.79998168889431442"/>
      </colorScale>
    </cfRule>
  </conditionalFormatting>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pivot="1">
          <x14:cfRule type="dataBar" id="{683692A7-B9FF-4280-9FA0-DFE140D57308}">
            <x14:dataBar minLength="0" maxLength="100" border="1" negativeBarBorderColorSameAsPositive="0">
              <x14:cfvo type="autoMin"/>
              <x14:cfvo type="autoMax"/>
              <x14:borderColor rgb="FFFF555A"/>
              <x14:negativeFillColor rgb="FFFF0000"/>
              <x14:negativeBorderColor rgb="FFFF0000"/>
              <x14:axisColor rgb="FF000000"/>
            </x14:dataBar>
          </x14:cfRule>
          <xm:sqref>B17:B21</xm:sqref>
        </x14:conditionalFormatting>
        <x14:conditionalFormatting xmlns:xm="http://schemas.microsoft.com/office/excel/2006/main" pivot="1">
          <x14:cfRule type="dataBar" id="{E46F356C-6BE7-4401-85CA-A0D061776D0A}">
            <x14:dataBar minLength="0" maxLength="100" border="1" negativeBarBorderColorSameAsPositive="0">
              <x14:cfvo type="autoMin"/>
              <x14:cfvo type="autoMax"/>
              <x14:borderColor rgb="FFFF555A"/>
              <x14:negativeFillColor rgb="FFFF0000"/>
              <x14:negativeBorderColor rgb="FFFF0000"/>
              <x14:axisColor rgb="FF000000"/>
            </x14:dataBar>
          </x14:cfRule>
          <xm:sqref>D17:D21</xm:sqref>
        </x14:conditionalFormatting>
        <x14:conditionalFormatting xmlns:xm="http://schemas.microsoft.com/office/excel/2006/main" pivot="1">
          <x14:cfRule type="dataBar" id="{99F0D1FC-C7AC-4D71-BCC5-5138F36E4057}">
            <x14:dataBar minLength="0" maxLength="100" border="1" negativeBarBorderColorSameAsPositive="0">
              <x14:cfvo type="autoMin"/>
              <x14:cfvo type="autoMax"/>
              <x14:borderColor rgb="FFFFB628"/>
              <x14:negativeFillColor rgb="FFFF0000"/>
              <x14:negativeBorderColor rgb="FFFF0000"/>
              <x14:axisColor rgb="FF000000"/>
            </x14:dataBar>
          </x14:cfRule>
          <xm:sqref>B8:B12</xm:sqref>
        </x14:conditionalFormatting>
        <x14:conditionalFormatting xmlns:xm="http://schemas.microsoft.com/office/excel/2006/main" pivot="1">
          <x14:cfRule type="dataBar" id="{328D7A5E-1DC5-4C58-9FB3-81BDEE827501}">
            <x14:dataBar minLength="0" maxLength="100" border="1" negativeBarBorderColorSameAsPositive="0">
              <x14:cfvo type="autoMin"/>
              <x14:cfvo type="autoMax"/>
              <x14:borderColor rgb="FFFFB628"/>
              <x14:negativeFillColor rgb="FFFF0000"/>
              <x14:negativeBorderColor rgb="FFFF0000"/>
              <x14:axisColor rgb="FF000000"/>
            </x14:dataBar>
          </x14:cfRule>
          <xm:sqref>D8:D12</xm:sqref>
        </x14:conditionalFormatting>
        <x14:conditionalFormatting xmlns:xm="http://schemas.microsoft.com/office/excel/2006/main" pivot="1">
          <x14:cfRule type="dataBar" id="{5247DF03-2011-405C-B611-832FE91DB7C1}">
            <x14:dataBar minLength="0" maxLength="100" border="1" negativeBarBorderColorSameAsPositive="0">
              <x14:cfvo type="autoMin"/>
              <x14:cfvo type="autoMax"/>
              <x14:borderColor rgb="FFD6007B"/>
              <x14:negativeFillColor rgb="FFFF0000"/>
              <x14:negativeBorderColor rgb="FFFF0000"/>
              <x14:axisColor rgb="FF000000"/>
            </x14:dataBar>
          </x14:cfRule>
          <xm:sqref>B35:B39</xm:sqref>
        </x14:conditionalFormatting>
        <x14:conditionalFormatting xmlns:xm="http://schemas.microsoft.com/office/excel/2006/main">
          <x14:cfRule type="dataBar" id="{762DEFBB-EC50-4F62-B301-25445CEC9116}">
            <x14:dataBar minLength="0" maxLength="100" border="1" negativeBarBorderColorSameAsPositive="0">
              <x14:cfvo type="autoMin"/>
              <x14:cfvo type="autoMax"/>
              <x14:borderColor rgb="FFD6007B"/>
              <x14:negativeFillColor rgb="FFFF0000"/>
              <x14:negativeBorderColor rgb="FFFF0000"/>
              <x14:axisColor rgb="FF000000"/>
            </x14:dataBar>
          </x14:cfRule>
          <xm:sqref>D35:D39</xm:sqref>
        </x14:conditionalFormatting>
      </x14:conditionalFormattings>
    </ex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AISWARJA ROY</dc:creator>
  <cp:lastModifiedBy>AISWARJA ROY</cp:lastModifiedBy>
  <dcterms:created xsi:type="dcterms:W3CDTF">2026-06-05T15:38:45Z</dcterms:created>
  <dcterms:modified xsi:type="dcterms:W3CDTF">2026-06-06T15:56:36Z</dcterms:modified>
</cp:coreProperties>
</file>