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 bkp\anudeep_lab\"/>
    </mc:Choice>
  </mc:AlternateContent>
  <xr:revisionPtr revIDLastSave="0" documentId="8_{A2BF2976-C8D9-45A0-8CE1-0073D81FE25E}" xr6:coauthVersionLast="47" xr6:coauthVersionMax="47" xr10:uidLastSave="{00000000-0000-0000-0000-000000000000}"/>
  <bookViews>
    <workbookView xWindow="-108" yWindow="-108" windowWidth="23256" windowHeight="12456" xr2:uid="{E479A3FA-629F-4A32-9315-5FF481F48F58}"/>
  </bookViews>
  <sheets>
    <sheet name="products" sheetId="1" r:id="rId1"/>
    <sheet name="ord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7" i="2" l="1"/>
  <c r="S18" i="2"/>
  <c r="S19" i="2"/>
  <c r="S20" i="2"/>
  <c r="S21" i="2"/>
  <c r="S16" i="2"/>
  <c r="V6" i="2"/>
  <c r="V7" i="2"/>
  <c r="V8" i="2"/>
  <c r="V9" i="2"/>
  <c r="V10" i="2"/>
  <c r="V11" i="2"/>
  <c r="V5" i="2"/>
  <c r="R5" i="2"/>
  <c r="U5" i="2"/>
  <c r="T11" i="2"/>
  <c r="T6" i="2"/>
  <c r="T7" i="2"/>
  <c r="T8" i="2"/>
  <c r="T9" i="2"/>
  <c r="T10" i="2"/>
  <c r="T5" i="2"/>
  <c r="S11" i="2"/>
  <c r="S6" i="2"/>
  <c r="S7" i="2"/>
  <c r="S8" i="2"/>
  <c r="S9" i="2"/>
  <c r="S10" i="2"/>
  <c r="S5" i="2"/>
  <c r="R6" i="2"/>
  <c r="R7" i="2"/>
  <c r="R8" i="2"/>
  <c r="R9" i="2"/>
  <c r="R10" i="2"/>
  <c r="R11" i="2"/>
  <c r="Q11" i="2"/>
  <c r="Q6" i="2"/>
  <c r="Q7" i="2"/>
  <c r="Q8" i="2"/>
  <c r="Q9" i="2"/>
  <c r="Q10" i="2"/>
  <c r="Q5" i="2"/>
  <c r="P6" i="2"/>
  <c r="P7" i="2"/>
  <c r="P8" i="2"/>
  <c r="P9" i="2"/>
  <c r="P10" i="2"/>
  <c r="P5" i="2"/>
  <c r="O6" i="2"/>
  <c r="O7" i="2"/>
  <c r="O8" i="2"/>
  <c r="O9" i="2"/>
  <c r="O10" i="2"/>
  <c r="O5" i="2"/>
</calcChain>
</file>

<file path=xl/sharedStrings.xml><?xml version="1.0" encoding="utf-8"?>
<sst xmlns="http://schemas.openxmlformats.org/spreadsheetml/2006/main" count="49" uniqueCount="35">
  <si>
    <t>Worksheet 1:</t>
  </si>
  <si>
    <t xml:space="preserve">ProductID </t>
  </si>
  <si>
    <t>Product</t>
  </si>
  <si>
    <t>Price</t>
  </si>
  <si>
    <t>Product A</t>
  </si>
  <si>
    <t>Product B</t>
  </si>
  <si>
    <t>Product C</t>
  </si>
  <si>
    <t xml:space="preserve"> Product D</t>
  </si>
  <si>
    <t>Product E</t>
  </si>
  <si>
    <t>Product F</t>
  </si>
  <si>
    <t>Order ID</t>
  </si>
  <si>
    <t>Product ID</t>
  </si>
  <si>
    <t>Quantity</t>
  </si>
  <si>
    <t>Total Price</t>
  </si>
  <si>
    <t xml:space="preserve">1. Use VLOOKUP to find the product names for each ProductID in the Orders </t>
  </si>
  <si>
    <t>worksheet.</t>
  </si>
  <si>
    <t xml:space="preserve">2. Use VLOOKUP to find the price for each ProductID in the Orders worksheet, then </t>
  </si>
  <si>
    <t>calculate the TotalPrice by multiplying the Quantity by the Product Price.</t>
  </si>
  <si>
    <t xml:space="preserve">3. Use VLOOKUP to check if there are any ProductIDs in the Orders worksheet that </t>
  </si>
  <si>
    <t>do not exist in the Products worksheet.</t>
  </si>
  <si>
    <t xml:space="preserve">4. Assume a discount of 10% is given on all products. Use VLOOKUP to find the </t>
  </si>
  <si>
    <t>original price and then calculate the discounted price.</t>
  </si>
  <si>
    <t xml:space="preserve">5. Use VLOOKUP to find the price for each ProductID and then calculate the order </t>
  </si>
  <si>
    <t>value. Find the maximum order value from the list.</t>
  </si>
  <si>
    <t xml:space="preserve">6. Use VLOOKUP to find out which products from the Products worksheet have not </t>
  </si>
  <si>
    <t>been ordered.</t>
  </si>
  <si>
    <t xml:space="preserve">7. Use VLOOKUP to find the Product name and summarize the total quantity sold </t>
  </si>
  <si>
    <t>for each product.</t>
  </si>
  <si>
    <t>product G</t>
  </si>
  <si>
    <t>Result</t>
  </si>
  <si>
    <t>discounted price</t>
  </si>
  <si>
    <t>order value</t>
  </si>
  <si>
    <t>max value</t>
  </si>
  <si>
    <t>order status</t>
  </si>
  <si>
    <t>total 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</si>
</sst>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6" xfId="0" applyFont="1" applyBorder="1"/>
    <xf numFmtId="0" fontId="0" fillId="0" borderId="6" xfId="0" applyBorder="1"/>
    <xf numFmtId="0" fontId="0" fillId="0" borderId="7" xfId="0" applyFill="1" applyBorder="1"/>
    <xf numFmtId="0" fontId="1" fillId="0" borderId="6" xfId="0" applyFont="1" applyFill="1" applyBorder="1"/>
    <xf numFmtId="0" fontId="0" fillId="0" borderId="6" xfId="0" applyFill="1" applyBorder="1"/>
    <xf numFmtId="0" fontId="0" fillId="0" borderId="6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D7979-33C4-48C7-891E-926BB516148B}">
  <dimension ref="A1:C9"/>
  <sheetViews>
    <sheetView tabSelected="1" workbookViewId="0">
      <selection activeCell="F22" sqref="F22"/>
    </sheetView>
  </sheetViews>
  <sheetFormatPr defaultRowHeight="14.4" x14ac:dyDescent="0.3"/>
  <sheetData>
    <row r="1" spans="1:3" x14ac:dyDescent="0.3">
      <c r="A1" s="1" t="s">
        <v>0</v>
      </c>
    </row>
    <row r="3" spans="1:3" x14ac:dyDescent="0.3">
      <c r="A3" s="2" t="s">
        <v>1</v>
      </c>
      <c r="B3" s="2" t="s">
        <v>2</v>
      </c>
      <c r="C3" s="3" t="s">
        <v>3</v>
      </c>
    </row>
    <row r="4" spans="1:3" x14ac:dyDescent="0.3">
      <c r="A4">
        <v>101</v>
      </c>
      <c r="B4" t="s">
        <v>4</v>
      </c>
      <c r="C4" s="4">
        <v>120</v>
      </c>
    </row>
    <row r="5" spans="1:3" x14ac:dyDescent="0.3">
      <c r="A5">
        <v>102</v>
      </c>
      <c r="B5" t="s">
        <v>5</v>
      </c>
      <c r="C5" s="4">
        <v>150</v>
      </c>
    </row>
    <row r="6" spans="1:3" x14ac:dyDescent="0.3">
      <c r="A6">
        <v>103</v>
      </c>
      <c r="B6" t="s">
        <v>6</v>
      </c>
      <c r="C6" s="4">
        <v>200</v>
      </c>
    </row>
    <row r="7" spans="1:3" x14ac:dyDescent="0.3">
      <c r="A7">
        <v>104</v>
      </c>
      <c r="B7" t="s">
        <v>7</v>
      </c>
      <c r="C7" s="4">
        <v>90</v>
      </c>
    </row>
    <row r="8" spans="1:3" x14ac:dyDescent="0.3">
      <c r="A8">
        <v>105</v>
      </c>
      <c r="B8" t="s">
        <v>8</v>
      </c>
      <c r="C8" s="4">
        <v>220</v>
      </c>
    </row>
    <row r="9" spans="1:3" x14ac:dyDescent="0.3">
      <c r="A9" s="5">
        <v>106</v>
      </c>
      <c r="B9" s="5" t="s">
        <v>9</v>
      </c>
      <c r="C9" s="6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1440B-892C-485D-9648-4B00A565449D}">
  <dimension ref="A1:V23"/>
  <sheetViews>
    <sheetView topLeftCell="B1" workbookViewId="0">
      <selection activeCell="K20" sqref="K20"/>
    </sheetView>
  </sheetViews>
  <sheetFormatPr defaultRowHeight="14.4" x14ac:dyDescent="0.3"/>
  <cols>
    <col min="2" max="2" width="9.88671875" bestFit="1" customWidth="1"/>
    <col min="4" max="4" width="9.77734375" bestFit="1" customWidth="1"/>
    <col min="12" max="12" width="9.88671875" bestFit="1" customWidth="1"/>
    <col min="17" max="17" width="9.77734375" bestFit="1" customWidth="1"/>
    <col min="19" max="19" width="16.44140625" bestFit="1" customWidth="1"/>
    <col min="20" max="20" width="10.5546875" bestFit="1" customWidth="1"/>
    <col min="21" max="21" width="9.5546875" bestFit="1" customWidth="1"/>
    <col min="22" max="22" width="11" bestFit="1" customWidth="1"/>
  </cols>
  <sheetData>
    <row r="1" spans="1:22" x14ac:dyDescent="0.3">
      <c r="A1" s="7" t="s">
        <v>10</v>
      </c>
      <c r="B1" s="7" t="s">
        <v>11</v>
      </c>
      <c r="C1" s="7" t="s">
        <v>12</v>
      </c>
      <c r="D1" s="7" t="s">
        <v>13</v>
      </c>
    </row>
    <row r="2" spans="1:22" x14ac:dyDescent="0.3">
      <c r="A2" s="8">
        <v>1</v>
      </c>
      <c r="B2" s="8">
        <v>101</v>
      </c>
      <c r="C2" s="8">
        <v>2</v>
      </c>
      <c r="D2" s="8"/>
    </row>
    <row r="3" spans="1:22" x14ac:dyDescent="0.3">
      <c r="A3" s="8">
        <v>2</v>
      </c>
      <c r="B3" s="8">
        <v>103</v>
      </c>
      <c r="C3" s="8">
        <v>1</v>
      </c>
      <c r="D3" s="8"/>
    </row>
    <row r="4" spans="1:22" x14ac:dyDescent="0.3">
      <c r="A4" s="8">
        <v>3</v>
      </c>
      <c r="B4" s="8">
        <v>105</v>
      </c>
      <c r="C4" s="8">
        <v>4</v>
      </c>
      <c r="D4" s="8"/>
      <c r="L4" s="7" t="s">
        <v>11</v>
      </c>
      <c r="M4" s="7" t="s">
        <v>10</v>
      </c>
      <c r="N4" s="7" t="s">
        <v>12</v>
      </c>
      <c r="O4" s="7" t="s">
        <v>2</v>
      </c>
      <c r="P4" s="7" t="s">
        <v>3</v>
      </c>
      <c r="Q4" s="7" t="s">
        <v>13</v>
      </c>
      <c r="R4" s="10" t="s">
        <v>29</v>
      </c>
      <c r="S4" s="10" t="s">
        <v>30</v>
      </c>
      <c r="T4" s="10" t="s">
        <v>31</v>
      </c>
      <c r="U4" s="10" t="s">
        <v>32</v>
      </c>
      <c r="V4" s="10" t="s">
        <v>33</v>
      </c>
    </row>
    <row r="5" spans="1:22" x14ac:dyDescent="0.3">
      <c r="A5" s="8">
        <v>4</v>
      </c>
      <c r="B5" s="8">
        <v>106</v>
      </c>
      <c r="C5" s="8">
        <v>3</v>
      </c>
      <c r="D5" s="8"/>
      <c r="L5" s="8">
        <v>101</v>
      </c>
      <c r="M5" s="8">
        <v>1</v>
      </c>
      <c r="N5" s="8">
        <v>2</v>
      </c>
      <c r="O5" s="8" t="str">
        <f>VLOOKUP($L5,products!$A$3:$C$9,2,0)</f>
        <v>Product A</v>
      </c>
      <c r="P5" s="8">
        <f>VLOOKUP($L5,products!$A$3:$C$9,3,0)</f>
        <v>120</v>
      </c>
      <c r="Q5" s="8">
        <f>P5*N5</f>
        <v>240</v>
      </c>
      <c r="R5" s="8" t="str">
        <f>IF(ISNA(VLOOKUP($L5,products!$A$3:$C$9,1,0)),"Not Exist","Exist")</f>
        <v>Exist</v>
      </c>
      <c r="S5" s="8">
        <f>VLOOKUP(L5,products!$A$3:$C$9,3,0)*10/100</f>
        <v>12</v>
      </c>
      <c r="T5" s="8">
        <f>VLOOKUP(L5,products!$A$3:$C$9,3,0)*VLOOKUP(orders!M5,orders!$A$1:$C$7,3,0)</f>
        <v>240</v>
      </c>
      <c r="U5" s="8">
        <f>MAX(T5:T10)</f>
        <v>880</v>
      </c>
      <c r="V5" s="8" t="str">
        <f>IF(ISNA(VLOOKUP($L5,products!$A$3:$C$9,1,0)),"Not ordered","ordered")</f>
        <v>ordered</v>
      </c>
    </row>
    <row r="6" spans="1:22" x14ac:dyDescent="0.3">
      <c r="A6" s="8">
        <v>5</v>
      </c>
      <c r="B6" s="8">
        <v>102</v>
      </c>
      <c r="C6" s="8">
        <v>5</v>
      </c>
      <c r="D6" s="8"/>
      <c r="L6" s="8">
        <v>103</v>
      </c>
      <c r="M6" s="8">
        <v>2</v>
      </c>
      <c r="N6" s="8">
        <v>1</v>
      </c>
      <c r="O6" s="8" t="str">
        <f>VLOOKUP($L6,products!$A$3:$C$9,2,0)</f>
        <v>Product C</v>
      </c>
      <c r="P6" s="8">
        <f>VLOOKUP($L6,products!$A$3:$C$9,3,0)</f>
        <v>200</v>
      </c>
      <c r="Q6" s="8">
        <f t="shared" ref="Q6:Q11" si="0">P6*N6</f>
        <v>200</v>
      </c>
      <c r="R6" s="8" t="str">
        <f>IF(ISNA(VLOOKUP($L6,products!$A$3:$C$9,1,0)),"Not Exist","Exist")</f>
        <v>Exist</v>
      </c>
      <c r="S6" s="8">
        <f>VLOOKUP(L6,products!$A$3:$C$9,3,0)*10/100</f>
        <v>20</v>
      </c>
      <c r="T6" s="8">
        <f>VLOOKUP(L6,products!$A$3:$C$9,3,0)*VLOOKUP(orders!M6,orders!$A$1:$C$7,3,0)</f>
        <v>200</v>
      </c>
      <c r="U6" s="8"/>
      <c r="V6" s="8" t="str">
        <f>IF(ISNA(VLOOKUP($L6,products!$A$3:$C$9,1,0)),"Not ordered","ordered")</f>
        <v>ordered</v>
      </c>
    </row>
    <row r="7" spans="1:22" x14ac:dyDescent="0.3">
      <c r="A7" s="8">
        <v>6</v>
      </c>
      <c r="B7" s="8">
        <v>104</v>
      </c>
      <c r="C7" s="8">
        <v>6</v>
      </c>
      <c r="D7" s="8"/>
      <c r="L7" s="8">
        <v>105</v>
      </c>
      <c r="M7" s="8">
        <v>3</v>
      </c>
      <c r="N7" s="8">
        <v>4</v>
      </c>
      <c r="O7" s="8" t="str">
        <f>VLOOKUP($L7,products!$A$3:$C$9,2,0)</f>
        <v>Product E</v>
      </c>
      <c r="P7" s="8">
        <f>VLOOKUP($L7,products!$A$3:$C$9,3,0)</f>
        <v>220</v>
      </c>
      <c r="Q7" s="8">
        <f t="shared" si="0"/>
        <v>880</v>
      </c>
      <c r="R7" s="8" t="str">
        <f>IF(ISNA(VLOOKUP($L7,products!$A$3:$C$9,1,0)),"Not Exist","Exist")</f>
        <v>Exist</v>
      </c>
      <c r="S7" s="8">
        <f>VLOOKUP(L7,products!$A$3:$C$9,3,0)*10/100</f>
        <v>22</v>
      </c>
      <c r="T7" s="8">
        <f>VLOOKUP(L7,products!$A$3:$C$9,3,0)*VLOOKUP(orders!M7,orders!$A$1:$C$7,3,0)</f>
        <v>880</v>
      </c>
      <c r="U7" s="8"/>
      <c r="V7" s="8" t="str">
        <f>IF(ISNA(VLOOKUP($L7,products!$A$3:$C$9,1,0)),"Not ordered","ordered")</f>
        <v>ordered</v>
      </c>
    </row>
    <row r="8" spans="1:22" x14ac:dyDescent="0.3">
      <c r="L8" s="8">
        <v>106</v>
      </c>
      <c r="M8" s="8">
        <v>4</v>
      </c>
      <c r="N8" s="8">
        <v>3</v>
      </c>
      <c r="O8" s="8" t="str">
        <f>VLOOKUP($L8,products!$A$3:$C$9,2,0)</f>
        <v>Product F</v>
      </c>
      <c r="P8" s="8">
        <f>VLOOKUP($L8,products!$A$3:$C$9,3,0)</f>
        <v>130</v>
      </c>
      <c r="Q8" s="8">
        <f t="shared" si="0"/>
        <v>390</v>
      </c>
      <c r="R8" s="8" t="str">
        <f>IF(ISNA(VLOOKUP($L8,products!$A$3:$C$9,1,0)),"Not Exist","Exist")</f>
        <v>Exist</v>
      </c>
      <c r="S8" s="8">
        <f>VLOOKUP(L8,products!$A$3:$C$9,3,0)*10/100</f>
        <v>13</v>
      </c>
      <c r="T8" s="8">
        <f>VLOOKUP(L8,products!$A$3:$C$9,3,0)*VLOOKUP(orders!M8,orders!$A$1:$C$7,3,0)</f>
        <v>390</v>
      </c>
      <c r="U8" s="8"/>
      <c r="V8" s="8" t="str">
        <f>IF(ISNA(VLOOKUP($L8,products!$A$3:$C$9,1,0)),"Not ordered","ordered")</f>
        <v>ordered</v>
      </c>
    </row>
    <row r="9" spans="1:22" x14ac:dyDescent="0.3">
      <c r="L9" s="8">
        <v>102</v>
      </c>
      <c r="M9" s="8">
        <v>5</v>
      </c>
      <c r="N9" s="8">
        <v>5</v>
      </c>
      <c r="O9" s="8" t="str">
        <f>VLOOKUP($L9,products!$A$3:$C$9,2,0)</f>
        <v>Product B</v>
      </c>
      <c r="P9" s="8">
        <f>VLOOKUP($L9,products!$A$3:$C$9,3,0)</f>
        <v>150</v>
      </c>
      <c r="Q9" s="8">
        <f t="shared" si="0"/>
        <v>750</v>
      </c>
      <c r="R9" s="8" t="str">
        <f>IF(ISNA(VLOOKUP($L9,products!$A$3:$C$9,1,0)),"Not Exist","Exist")</f>
        <v>Exist</v>
      </c>
      <c r="S9" s="8">
        <f>VLOOKUP(L9,products!$A$3:$C$9,3,0)*10/100</f>
        <v>15</v>
      </c>
      <c r="T9" s="8">
        <f>VLOOKUP(L9,products!$A$3:$C$9,3,0)*VLOOKUP(orders!M9,orders!$A$1:$C$7,3,0)</f>
        <v>750</v>
      </c>
      <c r="U9" s="8"/>
      <c r="V9" s="8" t="str">
        <f>IF(ISNA(VLOOKUP($L9,products!$A$3:$C$9,1,0)),"Not ordered","ordered")</f>
        <v>ordered</v>
      </c>
    </row>
    <row r="10" spans="1:22" x14ac:dyDescent="0.3">
      <c r="A10" t="s">
        <v>14</v>
      </c>
      <c r="L10" s="8">
        <v>104</v>
      </c>
      <c r="M10" s="8">
        <v>6</v>
      </c>
      <c r="N10" s="8">
        <v>6</v>
      </c>
      <c r="O10" s="8" t="str">
        <f>VLOOKUP($L10,products!$A$3:$C$9,2,0)</f>
        <v xml:space="preserve"> Product D</v>
      </c>
      <c r="P10" s="8">
        <f>VLOOKUP($L10,products!$A$3:$C$9,3,0)</f>
        <v>90</v>
      </c>
      <c r="Q10" s="8">
        <f t="shared" si="0"/>
        <v>540</v>
      </c>
      <c r="R10" s="8" t="str">
        <f>IF(ISNA(VLOOKUP($L10,products!$A$3:$C$9,1,0)),"Not Exist","Exist")</f>
        <v>Exist</v>
      </c>
      <c r="S10" s="8">
        <f>VLOOKUP(L10,products!$A$3:$C$9,3,0)*10/100</f>
        <v>9</v>
      </c>
      <c r="T10" s="8">
        <f>VLOOKUP(L10,products!$A$3:$C$9,3,0)*VLOOKUP(orders!M10,orders!$A$1:$C$7,3,0)</f>
        <v>540</v>
      </c>
      <c r="U10" s="8"/>
      <c r="V10" s="8" t="str">
        <f>IF(ISNA(VLOOKUP($L10,products!$A$3:$C$9,1,0)),"Not ordered","ordered")</f>
        <v>ordered</v>
      </c>
    </row>
    <row r="11" spans="1:22" x14ac:dyDescent="0.3">
      <c r="A11" t="s">
        <v>15</v>
      </c>
      <c r="L11" s="11">
        <v>107</v>
      </c>
      <c r="M11" s="11">
        <v>7</v>
      </c>
      <c r="N11" s="11">
        <v>7</v>
      </c>
      <c r="O11" s="8" t="s">
        <v>28</v>
      </c>
      <c r="P11" s="8">
        <v>145</v>
      </c>
      <c r="Q11" s="8">
        <f t="shared" si="0"/>
        <v>1015</v>
      </c>
      <c r="R11" s="8" t="str">
        <f>IF(ISNA(VLOOKUP($L11,products!$A$3:$C$9,1,0)),"Not Exist","Exist")</f>
        <v>Not Exist</v>
      </c>
      <c r="S11" s="12" t="str">
        <f>_xlfn.IFNA((VLOOKUP(L11,products!$A$3:$C$9,3,0)*10/100),"not exist")</f>
        <v>not exist</v>
      </c>
      <c r="T11" s="12" t="str">
        <f>_xlfn.IFNA(VLOOKUP(L11,products!$A$3:$C$9,3,0)*VLOOKUP(orders!M11,orders!$A$1:$C$7,3,0),"not exist")</f>
        <v>not exist</v>
      </c>
      <c r="U11" s="8"/>
      <c r="V11" s="8" t="str">
        <f>IF(ISNA(VLOOKUP($L11,products!$A$3:$C$9,1,0)),"Not ordered","ordered")</f>
        <v>Not ordered</v>
      </c>
    </row>
    <row r="12" spans="1:22" x14ac:dyDescent="0.3">
      <c r="A12" t="s">
        <v>16</v>
      </c>
    </row>
    <row r="13" spans="1:22" x14ac:dyDescent="0.3">
      <c r="A13" t="s">
        <v>17</v>
      </c>
    </row>
    <row r="14" spans="1:22" x14ac:dyDescent="0.3">
      <c r="A14" t="s">
        <v>18</v>
      </c>
    </row>
    <row r="15" spans="1:22" x14ac:dyDescent="0.3">
      <c r="A15" t="s">
        <v>19</v>
      </c>
      <c r="Q15" s="7" t="s">
        <v>11</v>
      </c>
      <c r="R15" s="7" t="s">
        <v>2</v>
      </c>
      <c r="S15" s="7" t="s">
        <v>34</v>
      </c>
    </row>
    <row r="16" spans="1:22" x14ac:dyDescent="0.3">
      <c r="A16" t="s">
        <v>20</v>
      </c>
      <c r="Q16" s="8">
        <v>101</v>
      </c>
      <c r="R16" s="8" t="s">
        <v>4</v>
      </c>
      <c r="S16" s="8">
        <f>VLOOKUP(Q16,B1:D7,2,0)</f>
        <v>2</v>
      </c>
    </row>
    <row r="17" spans="1:19" x14ac:dyDescent="0.3">
      <c r="A17" t="s">
        <v>21</v>
      </c>
      <c r="Q17" s="8">
        <v>103</v>
      </c>
      <c r="R17" s="8" t="s">
        <v>5</v>
      </c>
      <c r="S17" s="8">
        <f t="shared" ref="S17:S21" si="1">VLOOKUP(Q17,B2:D8,2,0)</f>
        <v>1</v>
      </c>
    </row>
    <row r="18" spans="1:19" x14ac:dyDescent="0.3">
      <c r="A18" t="s">
        <v>22</v>
      </c>
      <c r="Q18" s="8">
        <v>105</v>
      </c>
      <c r="R18" s="8" t="s">
        <v>6</v>
      </c>
      <c r="S18" s="8">
        <f t="shared" si="1"/>
        <v>4</v>
      </c>
    </row>
    <row r="19" spans="1:19" x14ac:dyDescent="0.3">
      <c r="A19" t="s">
        <v>23</v>
      </c>
      <c r="Q19" s="8">
        <v>106</v>
      </c>
      <c r="R19" s="8" t="s">
        <v>7</v>
      </c>
      <c r="S19" s="8">
        <f t="shared" si="1"/>
        <v>3</v>
      </c>
    </row>
    <row r="20" spans="1:19" x14ac:dyDescent="0.3">
      <c r="A20" t="s">
        <v>24</v>
      </c>
      <c r="Q20" s="8">
        <v>102</v>
      </c>
      <c r="R20" s="8" t="s">
        <v>8</v>
      </c>
      <c r="S20" s="8">
        <f t="shared" si="1"/>
        <v>5</v>
      </c>
    </row>
    <row r="21" spans="1:19" x14ac:dyDescent="0.3">
      <c r="A21" t="s">
        <v>25</v>
      </c>
      <c r="Q21" s="8">
        <v>104</v>
      </c>
      <c r="R21" s="8" t="s">
        <v>9</v>
      </c>
      <c r="S21" s="8">
        <f t="shared" si="1"/>
        <v>6</v>
      </c>
    </row>
    <row r="22" spans="1:19" x14ac:dyDescent="0.3">
      <c r="A22" t="s">
        <v>26</v>
      </c>
      <c r="Q22" s="9"/>
    </row>
    <row r="23" spans="1:19" x14ac:dyDescent="0.3">
      <c r="A23" t="s">
        <v>27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2026-05-28T06:19:03Z</dcterms:created>
  <dcterms:modified xsi:type="dcterms:W3CDTF">2026-05-28T09:09:21Z</dcterms:modified>
</cp:coreProperties>
</file>