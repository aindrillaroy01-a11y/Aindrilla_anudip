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eep_lab\"/>
    </mc:Choice>
  </mc:AlternateContent>
  <xr:revisionPtr revIDLastSave="0" documentId="13_ncr:1_{2A76121A-EECA-41EB-85A6-68EF6398C62D}" xr6:coauthVersionLast="47" xr6:coauthVersionMax="47" xr10:uidLastSave="{00000000-0000-0000-0000-000000000000}"/>
  <bookViews>
    <workbookView xWindow="-108" yWindow="-108" windowWidth="23256" windowHeight="12456" xr2:uid="{C8AA18CB-A16A-4424-A6D3-34536EFC64B6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5" i="1"/>
  <c r="P6" i="1"/>
  <c r="P7" i="1"/>
  <c r="P8" i="1"/>
  <c r="P9" i="1"/>
  <c r="P10" i="1"/>
  <c r="P5" i="1"/>
  <c r="O6" i="1"/>
  <c r="O7" i="1"/>
  <c r="O8" i="1"/>
  <c r="O9" i="1"/>
  <c r="O10" i="1"/>
  <c r="O5" i="1"/>
  <c r="N6" i="1"/>
  <c r="N7" i="1"/>
  <c r="N8" i="1"/>
  <c r="N9" i="1"/>
  <c r="N10" i="1"/>
  <c r="N5" i="1"/>
  <c r="M6" i="1"/>
  <c r="M7" i="1"/>
  <c r="M8" i="1"/>
  <c r="M9" i="1"/>
  <c r="M10" i="1"/>
  <c r="M5" i="1"/>
  <c r="L6" i="1"/>
  <c r="L7" i="1"/>
  <c r="L8" i="1"/>
  <c r="L9" i="1"/>
  <c r="L10" i="1"/>
  <c r="L5" i="1"/>
  <c r="K6" i="1"/>
  <c r="K7" i="1"/>
  <c r="K8" i="1"/>
  <c r="K9" i="1"/>
  <c r="K10" i="1"/>
  <c r="K5" i="1"/>
  <c r="J6" i="1"/>
  <c r="J7" i="1"/>
  <c r="J8" i="1"/>
  <c r="J9" i="1"/>
  <c r="J10" i="1"/>
  <c r="J5" i="1"/>
  <c r="I6" i="1"/>
  <c r="I7" i="1"/>
  <c r="I8" i="1"/>
  <c r="I9" i="1"/>
  <c r="I10" i="1"/>
  <c r="I5" i="1"/>
  <c r="H6" i="1"/>
  <c r="H7" i="1"/>
  <c r="H8" i="1"/>
  <c r="H9" i="1"/>
  <c r="H10" i="1"/>
  <c r="H5" i="1"/>
  <c r="G6" i="1"/>
  <c r="G7" i="1"/>
  <c r="G8" i="1"/>
  <c r="G9" i="1"/>
  <c r="G10" i="1"/>
  <c r="G5" i="1"/>
</calcChain>
</file>

<file path=xl/sharedStrings.xml><?xml version="1.0" encoding="utf-8"?>
<sst xmlns="http://schemas.openxmlformats.org/spreadsheetml/2006/main" count="36" uniqueCount="34">
  <si>
    <t>productA</t>
  </si>
  <si>
    <t>productB</t>
  </si>
  <si>
    <t>productC</t>
  </si>
  <si>
    <t>productD</t>
  </si>
  <si>
    <t>productE</t>
  </si>
  <si>
    <t>productF</t>
  </si>
  <si>
    <t>North</t>
  </si>
  <si>
    <t>South</t>
  </si>
  <si>
    <t>East</t>
  </si>
  <si>
    <t>West</t>
  </si>
  <si>
    <t xml:space="preserve">ProductID   </t>
  </si>
  <si>
    <t>Product</t>
  </si>
  <si>
    <t>Sales</t>
  </si>
  <si>
    <t>Target</t>
  </si>
  <si>
    <t>Region</t>
  </si>
  <si>
    <t xml:space="preserve">Use the IF function to evaluate whether each product met its sales target. </t>
  </si>
  <si>
    <t>sales remarks</t>
  </si>
  <si>
    <t xml:space="preserve">Use the IF function to determine if a product is eligible for a regional bonus. Products in the "North" region with sales over 200 are eligible. </t>
  </si>
  <si>
    <t>Regionalbonus</t>
  </si>
  <si>
    <t xml:space="preserve">Use nested IF functions to assign a commission rate based on sales. Sales &gt;= 200 get a 10% commission, sales &gt;= 150 get a 7% commission, and others get a 5% commission. </t>
  </si>
  <si>
    <t>Commission</t>
  </si>
  <si>
    <t>total commission</t>
  </si>
  <si>
    <t>Use the IF function to calculate a bonus amount. If sales met or exceeded the target, the bonus is 10% of the sales; otherwise, it's 5%.</t>
  </si>
  <si>
    <t>bonus</t>
  </si>
  <si>
    <t>bonus amount</t>
  </si>
  <si>
    <t xml:space="preserve">Use the IF function to categorize sales performance as "Excellent" (&gt;=200), "Good" (&gt;=150), or "Needs Improvement" (&lt;150). </t>
  </si>
  <si>
    <t>sales performance</t>
  </si>
  <si>
    <t xml:space="preserve">Use the IF function to assign a price tier based on the sales value. "High" for sales &gt; 200, "Medium" for sales between 100 and 200, and "Low" for sales &lt; 100. </t>
  </si>
  <si>
    <t>Price Tier</t>
  </si>
  <si>
    <t xml:space="preserve">Use the IF function to calculate the year-end bonus. If sales &gt;= 150 and region is "North", the bonus is $500, otherwise, it's $300. </t>
  </si>
  <si>
    <t>yeraend_bonus</t>
  </si>
  <si>
    <t xml:space="preserve">Use the IF function to mark high performers. A product is a high performer if its sales are in the top 25% of all sales. </t>
  </si>
  <si>
    <t>percentile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</si>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</sst>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A03A-12B9-4502-AF3C-1BC6A795645D}">
  <dimension ref="B4:R27"/>
  <sheetViews>
    <sheetView tabSelected="1" workbookViewId="0">
      <selection activeCell="Q6" sqref="Q6"/>
    </sheetView>
  </sheetViews>
  <sheetFormatPr defaultRowHeight="14.4" x14ac:dyDescent="0.3"/>
  <cols>
    <col min="7" max="7" width="12.21875" bestFit="1" customWidth="1"/>
    <col min="8" max="8" width="13.5546875" bestFit="1" customWidth="1"/>
    <col min="9" max="9" width="11.21875" bestFit="1" customWidth="1"/>
    <col min="10" max="10" width="15.44140625" bestFit="1" customWidth="1"/>
    <col min="12" max="12" width="13.6640625" customWidth="1"/>
    <col min="13" max="13" width="19.88671875" bestFit="1" customWidth="1"/>
    <col min="15" max="15" width="14.21875" bestFit="1" customWidth="1"/>
    <col min="16" max="16" width="9.33203125" bestFit="1" customWidth="1"/>
    <col min="17" max="17" width="19.6640625" bestFit="1" customWidth="1"/>
  </cols>
  <sheetData>
    <row r="4" spans="2:18" x14ac:dyDescent="0.3"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16</v>
      </c>
      <c r="H4" s="2" t="s">
        <v>18</v>
      </c>
      <c r="I4" s="2" t="s">
        <v>20</v>
      </c>
      <c r="J4" s="2" t="s">
        <v>21</v>
      </c>
      <c r="K4" s="2" t="s">
        <v>23</v>
      </c>
      <c r="L4" s="2" t="s">
        <v>24</v>
      </c>
      <c r="M4" s="2" t="s">
        <v>26</v>
      </c>
      <c r="N4" s="2" t="s">
        <v>28</v>
      </c>
      <c r="O4" s="2" t="s">
        <v>30</v>
      </c>
      <c r="P4" s="2" t="s">
        <v>32</v>
      </c>
      <c r="Q4" s="2" t="s">
        <v>33</v>
      </c>
      <c r="R4" s="1"/>
    </row>
    <row r="5" spans="2:18" x14ac:dyDescent="0.3">
      <c r="B5" s="1">
        <v>101</v>
      </c>
      <c r="C5" s="1" t="s">
        <v>0</v>
      </c>
      <c r="D5" s="1">
        <v>120</v>
      </c>
      <c r="E5" s="1">
        <v>150</v>
      </c>
      <c r="F5" s="1" t="s">
        <v>6</v>
      </c>
      <c r="G5" s="1" t="str">
        <f>IF(D5&gt;=E5,"target met","not met")</f>
        <v>not met</v>
      </c>
      <c r="H5" s="1" t="str">
        <f>IF(AND(D5&gt;=200,F5="north"),"eligible","not eligible")</f>
        <v>not eligible</v>
      </c>
      <c r="I5" s="1" t="str">
        <f>IF(D5&gt;=200,"10%",IF(D5&gt;=150,"7%","5%"))</f>
        <v>5%</v>
      </c>
      <c r="J5" s="1">
        <f>D5*I5</f>
        <v>6</v>
      </c>
      <c r="K5" s="1" t="str">
        <f>IF(D5&gt;=E5,"10%","5%")</f>
        <v>5%</v>
      </c>
      <c r="L5" s="1">
        <f>D5*K5</f>
        <v>6</v>
      </c>
      <c r="M5" s="1" t="str">
        <f>IF(D5&gt;=200,"EXCELLENT",IF(D5&gt;=150,"GOOD","NEEDS IMPROVEMENT"))</f>
        <v>NEEDS IMPROVEMENT</v>
      </c>
      <c r="N5" s="1" t="str">
        <f>IF(D5&gt;200,"high",IF(AND(D5&gt;=100,D5&lt;=200),"medium","low"))</f>
        <v>medium</v>
      </c>
      <c r="O5" s="1" t="str">
        <f>IF(AND(D5&gt;=150,F5="north"),"$500","$300")</f>
        <v>$300</v>
      </c>
      <c r="P5" s="1">
        <f>PERCENTILE($D$5:$D$10,0.75)</f>
        <v>187.5</v>
      </c>
      <c r="Q5" s="1" t="str">
        <f>IF(D5&gt;=PERCENTILE($D$5:$D$10,0.75),"High Performer","NOT high performence")</f>
        <v>NOT high performence</v>
      </c>
      <c r="R5" s="1"/>
    </row>
    <row r="6" spans="2:18" x14ac:dyDescent="0.3">
      <c r="B6" s="1">
        <v>102</v>
      </c>
      <c r="C6" s="1" t="s">
        <v>1</v>
      </c>
      <c r="D6" s="1">
        <v>150</v>
      </c>
      <c r="E6" s="1">
        <v>140</v>
      </c>
      <c r="F6" s="1" t="s">
        <v>7</v>
      </c>
      <c r="G6" s="1" t="str">
        <f t="shared" ref="G6:G10" si="0">IF(D6&gt;=E6,"target met","not met")</f>
        <v>target met</v>
      </c>
      <c r="H6" s="1" t="str">
        <f t="shared" ref="H6:H10" si="1">IF(AND(D6&gt;=200,F6="north"),"eligible","not eligible")</f>
        <v>not eligible</v>
      </c>
      <c r="I6" s="1" t="str">
        <f t="shared" ref="I6:I10" si="2">IF(D6&gt;=200,"10%",IF(D6&gt;=150,"7%","5%"))</f>
        <v>7%</v>
      </c>
      <c r="J6" s="1">
        <f t="shared" ref="J6:J10" si="3">D6*I6</f>
        <v>10.500000000000002</v>
      </c>
      <c r="K6" s="1" t="str">
        <f t="shared" ref="K6:K10" si="4">IF(D6&gt;=E6,"10%","5%")</f>
        <v>10%</v>
      </c>
      <c r="L6" s="1">
        <f t="shared" ref="L6:L10" si="5">D6*K6</f>
        <v>15</v>
      </c>
      <c r="M6" s="1" t="str">
        <f t="shared" ref="M6:M10" si="6">IF(D6&gt;=200,"EXCELLENT",IF(D6&gt;=150,"GOOD","NEEDS IMPROVEMENT"))</f>
        <v>GOOD</v>
      </c>
      <c r="N6" s="1" t="str">
        <f t="shared" ref="N6:N10" si="7">IF(D6&gt;200,"high",IF(AND(D6&gt;=100,D6&lt;=200),"medium","low"))</f>
        <v>medium</v>
      </c>
      <c r="O6" s="1" t="str">
        <f t="shared" ref="O6:O10" si="8">IF(AND(D6&gt;=150,F6="north"),"$500","$300")</f>
        <v>$300</v>
      </c>
      <c r="P6" s="1">
        <f t="shared" ref="P6:P10" si="9">PERCENTILE(D6:D11,0.75)</f>
        <v>200</v>
      </c>
      <c r="Q6" s="1" t="str">
        <f t="shared" ref="Q6:Q10" si="10">IF(D6&gt;=PERCENTILE($D$5:$D$10,0.75),"High Performer","NOT high performence")</f>
        <v>NOT high performence</v>
      </c>
      <c r="R6" s="1"/>
    </row>
    <row r="7" spans="2:18" x14ac:dyDescent="0.3">
      <c r="B7" s="1">
        <v>103</v>
      </c>
      <c r="C7" s="1" t="s">
        <v>2</v>
      </c>
      <c r="D7" s="1">
        <v>200</v>
      </c>
      <c r="E7" s="1">
        <v>200</v>
      </c>
      <c r="F7" s="1" t="s">
        <v>8</v>
      </c>
      <c r="G7" s="1" t="str">
        <f t="shared" si="0"/>
        <v>target met</v>
      </c>
      <c r="H7" s="1" t="str">
        <f t="shared" si="1"/>
        <v>not eligible</v>
      </c>
      <c r="I7" s="1" t="str">
        <f t="shared" si="2"/>
        <v>10%</v>
      </c>
      <c r="J7" s="1">
        <f t="shared" si="3"/>
        <v>20</v>
      </c>
      <c r="K7" s="1" t="str">
        <f t="shared" si="4"/>
        <v>10%</v>
      </c>
      <c r="L7" s="1">
        <f t="shared" si="5"/>
        <v>20</v>
      </c>
      <c r="M7" s="1" t="str">
        <f t="shared" si="6"/>
        <v>EXCELLENT</v>
      </c>
      <c r="N7" s="1" t="str">
        <f t="shared" si="7"/>
        <v>medium</v>
      </c>
      <c r="O7" s="1" t="str">
        <f t="shared" si="8"/>
        <v>$300</v>
      </c>
      <c r="P7" s="1">
        <f t="shared" si="9"/>
        <v>205</v>
      </c>
      <c r="Q7" s="1" t="str">
        <f t="shared" si="10"/>
        <v>High Performer</v>
      </c>
      <c r="R7" s="1"/>
    </row>
    <row r="8" spans="2:18" x14ac:dyDescent="0.3">
      <c r="B8" s="1">
        <v>104</v>
      </c>
      <c r="C8" s="1" t="s">
        <v>3</v>
      </c>
      <c r="D8" s="1">
        <v>90</v>
      </c>
      <c r="E8" s="1">
        <v>100</v>
      </c>
      <c r="F8" s="1" t="s">
        <v>9</v>
      </c>
      <c r="G8" s="1" t="str">
        <f t="shared" si="0"/>
        <v>not met</v>
      </c>
      <c r="H8" s="1" t="str">
        <f t="shared" si="1"/>
        <v>not eligible</v>
      </c>
      <c r="I8" s="1" t="str">
        <f t="shared" si="2"/>
        <v>5%</v>
      </c>
      <c r="J8" s="1">
        <f t="shared" si="3"/>
        <v>4.5</v>
      </c>
      <c r="K8" s="1" t="str">
        <f t="shared" si="4"/>
        <v>5%</v>
      </c>
      <c r="L8" s="1">
        <f t="shared" si="5"/>
        <v>4.5</v>
      </c>
      <c r="M8" s="1" t="str">
        <f t="shared" si="6"/>
        <v>NEEDS IMPROVEMENT</v>
      </c>
      <c r="N8" s="1" t="str">
        <f t="shared" si="7"/>
        <v>low</v>
      </c>
      <c r="O8" s="1" t="str">
        <f t="shared" si="8"/>
        <v>$300</v>
      </c>
      <c r="P8" s="1">
        <f t="shared" si="9"/>
        <v>175</v>
      </c>
      <c r="Q8" s="1" t="str">
        <f t="shared" si="10"/>
        <v>NOT high performence</v>
      </c>
      <c r="R8" s="1"/>
    </row>
    <row r="9" spans="2:18" x14ac:dyDescent="0.3">
      <c r="B9" s="1">
        <v>105</v>
      </c>
      <c r="C9" s="1" t="s">
        <v>4</v>
      </c>
      <c r="D9" s="1">
        <v>220</v>
      </c>
      <c r="E9" s="1">
        <v>210</v>
      </c>
      <c r="F9" s="1" t="s">
        <v>6</v>
      </c>
      <c r="G9" s="1" t="str">
        <f t="shared" si="0"/>
        <v>target met</v>
      </c>
      <c r="H9" s="1" t="str">
        <f t="shared" si="1"/>
        <v>eligible</v>
      </c>
      <c r="I9" s="1" t="str">
        <f t="shared" si="2"/>
        <v>10%</v>
      </c>
      <c r="J9" s="1">
        <f t="shared" si="3"/>
        <v>22</v>
      </c>
      <c r="K9" s="1" t="str">
        <f t="shared" si="4"/>
        <v>10%</v>
      </c>
      <c r="L9" s="1">
        <f t="shared" si="5"/>
        <v>22</v>
      </c>
      <c r="M9" s="1" t="str">
        <f t="shared" si="6"/>
        <v>EXCELLENT</v>
      </c>
      <c r="N9" s="1" t="str">
        <f t="shared" si="7"/>
        <v>high</v>
      </c>
      <c r="O9" s="1" t="str">
        <f t="shared" si="8"/>
        <v>$500</v>
      </c>
      <c r="P9" s="1">
        <f t="shared" si="9"/>
        <v>197.5</v>
      </c>
      <c r="Q9" s="1" t="str">
        <f t="shared" si="10"/>
        <v>High Performer</v>
      </c>
      <c r="R9" s="1"/>
    </row>
    <row r="10" spans="2:18" x14ac:dyDescent="0.3">
      <c r="B10" s="1">
        <v>106</v>
      </c>
      <c r="C10" s="1" t="s">
        <v>5</v>
      </c>
      <c r="D10" s="1">
        <v>130</v>
      </c>
      <c r="E10" s="1">
        <v>160</v>
      </c>
      <c r="F10" s="1" t="s">
        <v>7</v>
      </c>
      <c r="G10" s="1" t="str">
        <f t="shared" si="0"/>
        <v>not met</v>
      </c>
      <c r="H10" s="1" t="str">
        <f t="shared" si="1"/>
        <v>not eligible</v>
      </c>
      <c r="I10" s="1" t="str">
        <f t="shared" si="2"/>
        <v>5%</v>
      </c>
      <c r="J10" s="1">
        <f t="shared" si="3"/>
        <v>6.5</v>
      </c>
      <c r="K10" s="1" t="str">
        <f t="shared" si="4"/>
        <v>5%</v>
      </c>
      <c r="L10" s="1">
        <f t="shared" si="5"/>
        <v>6.5</v>
      </c>
      <c r="M10" s="1" t="str">
        <f t="shared" si="6"/>
        <v>NEEDS IMPROVEMENT</v>
      </c>
      <c r="N10" s="1" t="str">
        <f t="shared" si="7"/>
        <v>medium</v>
      </c>
      <c r="O10" s="1" t="str">
        <f t="shared" si="8"/>
        <v>$300</v>
      </c>
      <c r="P10" s="1">
        <f t="shared" si="9"/>
        <v>130</v>
      </c>
      <c r="Q10" s="1" t="str">
        <f t="shared" si="10"/>
        <v>NOT high performence</v>
      </c>
      <c r="R10" s="1"/>
    </row>
    <row r="13" spans="2:18" x14ac:dyDescent="0.3">
      <c r="B13" s="3" t="s">
        <v>15</v>
      </c>
    </row>
    <row r="15" spans="2:18" x14ac:dyDescent="0.3">
      <c r="B15" s="3" t="s">
        <v>17</v>
      </c>
    </row>
    <row r="17" spans="2:2" x14ac:dyDescent="0.3">
      <c r="B17" s="3" t="s">
        <v>19</v>
      </c>
    </row>
    <row r="19" spans="2:2" x14ac:dyDescent="0.3">
      <c r="B19" s="3" t="s">
        <v>22</v>
      </c>
    </row>
    <row r="21" spans="2:2" x14ac:dyDescent="0.3">
      <c r="B21" s="3" t="s">
        <v>25</v>
      </c>
    </row>
    <row r="23" spans="2:2" x14ac:dyDescent="0.3">
      <c r="B23" s="3" t="s">
        <v>27</v>
      </c>
    </row>
    <row r="25" spans="2:2" x14ac:dyDescent="0.3">
      <c r="B25" s="3" t="s">
        <v>29</v>
      </c>
    </row>
    <row r="27" spans="2:2" x14ac:dyDescent="0.3">
      <c r="B27" s="3" t="s">
        <v>31</v>
      </c>
    </row>
  </sheetData>
  <pageMargins left="0.7" right="0.7" top="0.75" bottom="0.75" header="0.3" footer="0.3"/>
  <ignoredErrors>
    <ignoredError sqref="P6 P7:P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AISWARJA ROY</dc:creator>
  <cp:lastModifiedBy>AISWARJA ROY</cp:lastModifiedBy>
  <dcterms:created xsi:type="dcterms:W3CDTF">2026-05-18T15:06:00Z</dcterms:created>
  <dcterms:modified xsi:type="dcterms:W3CDTF">2026-05-19T06:29:00Z</dcterms:modified>
</cp:coreProperties>
</file>