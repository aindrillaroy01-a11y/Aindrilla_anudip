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esktop bkp\anudeep_lab\"/>
    </mc:Choice>
  </mc:AlternateContent>
  <xr:revisionPtr revIDLastSave="0" documentId="8_{95FD63CD-B188-4A3B-841B-429B15B67C5D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Student" sheetId="1" r:id="rId1"/>
    <sheet name="FORMULAS" sheetId="2" r:id="rId2"/>
    <sheet name="newcolumns" sheetId="6" r:id="rId3"/>
    <sheet name="sorting" sheetId="3" r:id="rId4"/>
    <sheet name="filter" sheetId="4" r:id="rId5"/>
    <sheet name="conditional_format" sheetId="5" r:id="rId6"/>
    <sheet name="pivottables" sheetId="7" r:id="rId7"/>
    <sheet name="dashboard" sheetId="8" r:id="rId8"/>
    <sheet name="class_details" sheetId="9" r:id="rId9"/>
  </sheets>
  <definedNames>
    <definedName name="_xlnm._FilterDatabase" localSheetId="0" hidden="1">Student!$A$1:$J$501</definedName>
    <definedName name="_xlnm.Criteria" localSheetId="4">filter!$CM$3:$CM$5</definedName>
    <definedName name="_xlnm.Extract" localSheetId="4">filter!$CM$7:$CV$7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9" l="1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8" i="9"/>
  <c r="C56" i="2"/>
  <c r="C52" i="2"/>
  <c r="C48" i="2"/>
  <c r="C44" i="2"/>
  <c r="C40" i="2"/>
  <c r="C36" i="2"/>
  <c r="C32" i="2"/>
  <c r="C28" i="2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2" i="6"/>
  <c r="C24" i="2"/>
  <c r="C20" i="2"/>
  <c r="C19" i="2"/>
  <c r="C15" i="2"/>
  <c r="C11" i="2"/>
  <c r="C7" i="2"/>
  <c r="C3" i="2"/>
</calcChain>
</file>

<file path=xl/sharedStrings.xml><?xml version="1.0" encoding="utf-8"?>
<sst xmlns="http://schemas.openxmlformats.org/spreadsheetml/2006/main" count="31179" uniqueCount="1017">
  <si>
    <t>Student_ID</t>
  </si>
  <si>
    <t>First_Name</t>
  </si>
  <si>
    <t>Last_Name</t>
  </si>
  <si>
    <t>Gender</t>
  </si>
  <si>
    <t>Age</t>
  </si>
  <si>
    <t>Class</t>
  </si>
  <si>
    <t>Section</t>
  </si>
  <si>
    <t>City</t>
  </si>
  <si>
    <t>Admission_Date</t>
  </si>
  <si>
    <t>Marks</t>
  </si>
  <si>
    <t>S0001</t>
  </si>
  <si>
    <t>Sneha</t>
  </si>
  <si>
    <t>Paul</t>
  </si>
  <si>
    <t>Male</t>
  </si>
  <si>
    <t>B</t>
  </si>
  <si>
    <t>Pune</t>
  </si>
  <si>
    <t>2024-10-06</t>
  </si>
  <si>
    <t>S0002</t>
  </si>
  <si>
    <t>Amit</t>
  </si>
  <si>
    <t>Das</t>
  </si>
  <si>
    <t>Jaipur</t>
  </si>
  <si>
    <t>2024-11-06</t>
  </si>
  <si>
    <t>S0003</t>
  </si>
  <si>
    <t>Karan</t>
  </si>
  <si>
    <t>Roy</t>
  </si>
  <si>
    <t>D</t>
  </si>
  <si>
    <t>Kolkata</t>
  </si>
  <si>
    <t>2024-10-12</t>
  </si>
  <si>
    <t>S0004</t>
  </si>
  <si>
    <t>Priya</t>
  </si>
  <si>
    <t>Singh</t>
  </si>
  <si>
    <t>Female</t>
  </si>
  <si>
    <t>A</t>
  </si>
  <si>
    <t>2023-06-14</t>
  </si>
  <si>
    <t>S0005</t>
  </si>
  <si>
    <t>Neha</t>
  </si>
  <si>
    <t>Kumar</t>
  </si>
  <si>
    <t>Bengaluru</t>
  </si>
  <si>
    <t>2023-09-21</t>
  </si>
  <si>
    <t>S0006</t>
  </si>
  <si>
    <t>Hyderabad</t>
  </si>
  <si>
    <t>2023-09-12</t>
  </si>
  <si>
    <t>S0007</t>
  </si>
  <si>
    <t>C</t>
  </si>
  <si>
    <t>2025-08-17</t>
  </si>
  <si>
    <t>S0008</t>
  </si>
  <si>
    <t>Mumbai</t>
  </si>
  <si>
    <t>2025-01-28</t>
  </si>
  <si>
    <t>S0009</t>
  </si>
  <si>
    <t>2023-06-04</t>
  </si>
  <si>
    <t>S0010</t>
  </si>
  <si>
    <t>Arjun</t>
  </si>
  <si>
    <t>2025-03-19</t>
  </si>
  <si>
    <t>S0011</t>
  </si>
  <si>
    <t>Riya</t>
  </si>
  <si>
    <t>Gupta</t>
  </si>
  <si>
    <t>2024-10-08</t>
  </si>
  <si>
    <t>S0012</t>
  </si>
  <si>
    <t>Patel</t>
  </si>
  <si>
    <t>2024-08-18</t>
  </si>
  <si>
    <t>S0013</t>
  </si>
  <si>
    <t>Delhi</t>
  </si>
  <si>
    <t>2024-04-25</t>
  </si>
  <si>
    <t>S0014</t>
  </si>
  <si>
    <t>2023-04-30</t>
  </si>
  <si>
    <t>S0015</t>
  </si>
  <si>
    <t>2024-02-05</t>
  </si>
  <si>
    <t>S0016</t>
  </si>
  <si>
    <t>Vikram</t>
  </si>
  <si>
    <t>2025-08-10</t>
  </si>
  <si>
    <t>S0017</t>
  </si>
  <si>
    <t>2023-09-19</t>
  </si>
  <si>
    <t>S0018</t>
  </si>
  <si>
    <t>Pooja</t>
  </si>
  <si>
    <t>2024-05-30</t>
  </si>
  <si>
    <t>S0019</t>
  </si>
  <si>
    <t>Chennai</t>
  </si>
  <si>
    <t>2025-04-12</t>
  </si>
  <si>
    <t>S0020</t>
  </si>
  <si>
    <t>Ghosh</t>
  </si>
  <si>
    <t>2023-11-01</t>
  </si>
  <si>
    <t>S0021</t>
  </si>
  <si>
    <t>2025-08-12</t>
  </si>
  <si>
    <t>S0022</t>
  </si>
  <si>
    <t>Rahul</t>
  </si>
  <si>
    <t>Sharma</t>
  </si>
  <si>
    <t>2025-02-24</t>
  </si>
  <si>
    <t>S0023</t>
  </si>
  <si>
    <t>2024-05-03</t>
  </si>
  <si>
    <t>S0024</t>
  </si>
  <si>
    <t>2025-08-25</t>
  </si>
  <si>
    <t>S0025</t>
  </si>
  <si>
    <t>2025-09-27</t>
  </si>
  <si>
    <t>S0026</t>
  </si>
  <si>
    <t>2023-11-06</t>
  </si>
  <si>
    <t>S0027</t>
  </si>
  <si>
    <t>Mishra</t>
  </si>
  <si>
    <t>2024-01-03</t>
  </si>
  <si>
    <t>S0028</t>
  </si>
  <si>
    <t>2025-03-20</t>
  </si>
  <si>
    <t>S0029</t>
  </si>
  <si>
    <t>2024-06-26</t>
  </si>
  <si>
    <t>S0030</t>
  </si>
  <si>
    <t>2024-05-26</t>
  </si>
  <si>
    <t>S0031</t>
  </si>
  <si>
    <t>2024-12-14</t>
  </si>
  <si>
    <t>S0032</t>
  </si>
  <si>
    <t>2023-02-24</t>
  </si>
  <si>
    <t>S0033</t>
  </si>
  <si>
    <t>2023-03-14</t>
  </si>
  <si>
    <t>S0034</t>
  </si>
  <si>
    <t>2023-10-12</t>
  </si>
  <si>
    <t>S0035</t>
  </si>
  <si>
    <t>2025-03-27</t>
  </si>
  <si>
    <t>S0036</t>
  </si>
  <si>
    <t>2024-09-17</t>
  </si>
  <si>
    <t>S0037</t>
  </si>
  <si>
    <t>2025-04-09</t>
  </si>
  <si>
    <t>S0038</t>
  </si>
  <si>
    <t>2023-09-23</t>
  </si>
  <si>
    <t>S0039</t>
  </si>
  <si>
    <t>2023-12-22</t>
  </si>
  <si>
    <t>S0040</t>
  </si>
  <si>
    <t>2023-10-05</t>
  </si>
  <si>
    <t>S0041</t>
  </si>
  <si>
    <t>2024-05-20</t>
  </si>
  <si>
    <t>S0042</t>
  </si>
  <si>
    <t>2025-04-13</t>
  </si>
  <si>
    <t>S0043</t>
  </si>
  <si>
    <t>2025-05-29</t>
  </si>
  <si>
    <t>S0044</t>
  </si>
  <si>
    <t>2025-09-16</t>
  </si>
  <si>
    <t>S0045</t>
  </si>
  <si>
    <t>2023-04-05</t>
  </si>
  <si>
    <t>S0046</t>
  </si>
  <si>
    <t>2024-10-29</t>
  </si>
  <si>
    <t>S0047</t>
  </si>
  <si>
    <t>2024-09-04</t>
  </si>
  <si>
    <t>S0048</t>
  </si>
  <si>
    <t>2024-08-25</t>
  </si>
  <si>
    <t>S0049</t>
  </si>
  <si>
    <t>2023-04-24</t>
  </si>
  <si>
    <t>S0050</t>
  </si>
  <si>
    <t>2024-12-19</t>
  </si>
  <si>
    <t>S0051</t>
  </si>
  <si>
    <t>2025-07-27</t>
  </si>
  <si>
    <t>S0052</t>
  </si>
  <si>
    <t>2024-02-10</t>
  </si>
  <si>
    <t>S0053</t>
  </si>
  <si>
    <t>2024-11-17</t>
  </si>
  <si>
    <t>S0054</t>
  </si>
  <si>
    <t>2024-02-22</t>
  </si>
  <si>
    <t>S0055</t>
  </si>
  <si>
    <t>2023-09-22</t>
  </si>
  <si>
    <t>S0056</t>
  </si>
  <si>
    <t>2023-12-10</t>
  </si>
  <si>
    <t>S0057</t>
  </si>
  <si>
    <t>2024-02-11</t>
  </si>
  <si>
    <t>S0058</t>
  </si>
  <si>
    <t>2023-05-14</t>
  </si>
  <si>
    <t>S0059</t>
  </si>
  <si>
    <t>2024-05-21</t>
  </si>
  <si>
    <t>S0060</t>
  </si>
  <si>
    <t>2024-01-01</t>
  </si>
  <si>
    <t>S0061</t>
  </si>
  <si>
    <t>2025-07-17</t>
  </si>
  <si>
    <t>S0062</t>
  </si>
  <si>
    <t>2024-10-01</t>
  </si>
  <si>
    <t>S0063</t>
  </si>
  <si>
    <t>S0064</t>
  </si>
  <si>
    <t>2025-06-06</t>
  </si>
  <si>
    <t>S0065</t>
  </si>
  <si>
    <t>2023-01-05</t>
  </si>
  <si>
    <t>S0066</t>
  </si>
  <si>
    <t>2025-05-24</t>
  </si>
  <si>
    <t>S0067</t>
  </si>
  <si>
    <t>2024-12-01</t>
  </si>
  <si>
    <t>S0068</t>
  </si>
  <si>
    <t>2025-07-15</t>
  </si>
  <si>
    <t>S0069</t>
  </si>
  <si>
    <t>2023-07-19</t>
  </si>
  <si>
    <t>S0070</t>
  </si>
  <si>
    <t>2024-07-07</t>
  </si>
  <si>
    <t>S0071</t>
  </si>
  <si>
    <t>2024-01-25</t>
  </si>
  <si>
    <t>S0072</t>
  </si>
  <si>
    <t>2025-08-28</t>
  </si>
  <si>
    <t>S0073</t>
  </si>
  <si>
    <t>S0074</t>
  </si>
  <si>
    <t>2023-08-21</t>
  </si>
  <si>
    <t>S0075</t>
  </si>
  <si>
    <t>2025-02-17</t>
  </si>
  <si>
    <t>S0076</t>
  </si>
  <si>
    <t>2024-11-20</t>
  </si>
  <si>
    <t>S0077</t>
  </si>
  <si>
    <t>2024-09-25</t>
  </si>
  <si>
    <t>S0078</t>
  </si>
  <si>
    <t>2024-04-10</t>
  </si>
  <si>
    <t>S0079</t>
  </si>
  <si>
    <t>2024-01-21</t>
  </si>
  <si>
    <t>S0080</t>
  </si>
  <si>
    <t>2025-06-29</t>
  </si>
  <si>
    <t>S0081</t>
  </si>
  <si>
    <t>S0082</t>
  </si>
  <si>
    <t>2025-01-16</t>
  </si>
  <si>
    <t>S0083</t>
  </si>
  <si>
    <t>2024-03-04</t>
  </si>
  <si>
    <t>S0084</t>
  </si>
  <si>
    <t>2025-08-07</t>
  </si>
  <si>
    <t>S0085</t>
  </si>
  <si>
    <t>2023-12-24</t>
  </si>
  <si>
    <t>S0086</t>
  </si>
  <si>
    <t>2024-08-28</t>
  </si>
  <si>
    <t>S0087</t>
  </si>
  <si>
    <t>2025-07-13</t>
  </si>
  <si>
    <t>S0088</t>
  </si>
  <si>
    <t>2023-06-28</t>
  </si>
  <si>
    <t>S0089</t>
  </si>
  <si>
    <t>2025-01-25</t>
  </si>
  <si>
    <t>S0090</t>
  </si>
  <si>
    <t>2025-08-01</t>
  </si>
  <si>
    <t>S0091</t>
  </si>
  <si>
    <t>2025-04-15</t>
  </si>
  <si>
    <t>S0092</t>
  </si>
  <si>
    <t>2023-07-28</t>
  </si>
  <si>
    <t>S0093</t>
  </si>
  <si>
    <t>2024-11-23</t>
  </si>
  <si>
    <t>S0094</t>
  </si>
  <si>
    <t>2024-02-21</t>
  </si>
  <si>
    <t>S0095</t>
  </si>
  <si>
    <t>2024-10-10</t>
  </si>
  <si>
    <t>S0096</t>
  </si>
  <si>
    <t>2023-03-29</t>
  </si>
  <si>
    <t>S0097</t>
  </si>
  <si>
    <t>2025-09-05</t>
  </si>
  <si>
    <t>S0098</t>
  </si>
  <si>
    <t>2024-04-17</t>
  </si>
  <si>
    <t>S0099</t>
  </si>
  <si>
    <t>2024-04-04</t>
  </si>
  <si>
    <t>S0100</t>
  </si>
  <si>
    <t>2023-08-07</t>
  </si>
  <si>
    <t>S0101</t>
  </si>
  <si>
    <t>2024-05-22</t>
  </si>
  <si>
    <t>S0102</t>
  </si>
  <si>
    <t>2025-04-25</t>
  </si>
  <si>
    <t>S0103</t>
  </si>
  <si>
    <t>2025-07-22</t>
  </si>
  <si>
    <t>S0104</t>
  </si>
  <si>
    <t>2025-08-30</t>
  </si>
  <si>
    <t>S0105</t>
  </si>
  <si>
    <t>2023-02-23</t>
  </si>
  <si>
    <t>S0106</t>
  </si>
  <si>
    <t>2025-03-04</t>
  </si>
  <si>
    <t>S0107</t>
  </si>
  <si>
    <t>2023-11-11</t>
  </si>
  <si>
    <t>S0108</t>
  </si>
  <si>
    <t>2024-08-12</t>
  </si>
  <si>
    <t>S0109</t>
  </si>
  <si>
    <t>2025-07-08</t>
  </si>
  <si>
    <t>S0110</t>
  </si>
  <si>
    <t>2023-01-10</t>
  </si>
  <si>
    <t>S0111</t>
  </si>
  <si>
    <t>2023-12-04</t>
  </si>
  <si>
    <t>S0112</t>
  </si>
  <si>
    <t>2024-05-12</t>
  </si>
  <si>
    <t>S0113</t>
  </si>
  <si>
    <t>S0114</t>
  </si>
  <si>
    <t>2023-04-03</t>
  </si>
  <si>
    <t>S0115</t>
  </si>
  <si>
    <t>2023-08-18</t>
  </si>
  <si>
    <t>S0116</t>
  </si>
  <si>
    <t>2023-07-21</t>
  </si>
  <si>
    <t>S0117</t>
  </si>
  <si>
    <t>2023-08-11</t>
  </si>
  <si>
    <t>S0118</t>
  </si>
  <si>
    <t>2025-06-09</t>
  </si>
  <si>
    <t>S0119</t>
  </si>
  <si>
    <t>2024-03-27</t>
  </si>
  <si>
    <t>S0120</t>
  </si>
  <si>
    <t>2023-12-27</t>
  </si>
  <si>
    <t>S0121</t>
  </si>
  <si>
    <t>S0122</t>
  </si>
  <si>
    <t>2024-12-09</t>
  </si>
  <si>
    <t>S0123</t>
  </si>
  <si>
    <t>2024-08-27</t>
  </si>
  <si>
    <t>S0124</t>
  </si>
  <si>
    <t>2023-01-30</t>
  </si>
  <si>
    <t>S0125</t>
  </si>
  <si>
    <t>2023-04-04</t>
  </si>
  <si>
    <t>S0126</t>
  </si>
  <si>
    <t>2024-01-06</t>
  </si>
  <si>
    <t>S0127</t>
  </si>
  <si>
    <t>2023-08-29</t>
  </si>
  <si>
    <t>S0128</t>
  </si>
  <si>
    <t>S0129</t>
  </si>
  <si>
    <t>2024-07-16</t>
  </si>
  <si>
    <t>S0130</t>
  </si>
  <si>
    <t>2025-08-05</t>
  </si>
  <si>
    <t>S0131</t>
  </si>
  <si>
    <t>2025-08-29</t>
  </si>
  <si>
    <t>S0132</t>
  </si>
  <si>
    <t>2023-11-08</t>
  </si>
  <si>
    <t>S0133</t>
  </si>
  <si>
    <t>2023-05-13</t>
  </si>
  <si>
    <t>S0134</t>
  </si>
  <si>
    <t>2024-11-01</t>
  </si>
  <si>
    <t>S0135</t>
  </si>
  <si>
    <t>2023-01-20</t>
  </si>
  <si>
    <t>S0136</t>
  </si>
  <si>
    <t>2023-05-31</t>
  </si>
  <si>
    <t>S0137</t>
  </si>
  <si>
    <t>2023-11-13</t>
  </si>
  <si>
    <t>S0138</t>
  </si>
  <si>
    <t>2024-08-09</t>
  </si>
  <si>
    <t>S0139</t>
  </si>
  <si>
    <t>2024-11-21</t>
  </si>
  <si>
    <t>S0140</t>
  </si>
  <si>
    <t>2024-07-03</t>
  </si>
  <si>
    <t>S0141</t>
  </si>
  <si>
    <t>2023-12-19</t>
  </si>
  <si>
    <t>S0142</t>
  </si>
  <si>
    <t>2025-04-08</t>
  </si>
  <si>
    <t>S0143</t>
  </si>
  <si>
    <t>2023-11-04</t>
  </si>
  <si>
    <t>S0144</t>
  </si>
  <si>
    <t>2023-05-18</t>
  </si>
  <si>
    <t>S0145</t>
  </si>
  <si>
    <t>S0146</t>
  </si>
  <si>
    <t>2024-12-25</t>
  </si>
  <si>
    <t>S0147</t>
  </si>
  <si>
    <t>2023-05-15</t>
  </si>
  <si>
    <t>S0148</t>
  </si>
  <si>
    <t>S0149</t>
  </si>
  <si>
    <t>2024-06-06</t>
  </si>
  <si>
    <t>S0150</t>
  </si>
  <si>
    <t>2024-12-30</t>
  </si>
  <si>
    <t>S0151</t>
  </si>
  <si>
    <t>S0152</t>
  </si>
  <si>
    <t>2024-12-31</t>
  </si>
  <si>
    <t>S0153</t>
  </si>
  <si>
    <t>2023-07-26</t>
  </si>
  <si>
    <t>S0154</t>
  </si>
  <si>
    <t>2024-05-11</t>
  </si>
  <si>
    <t>S0155</t>
  </si>
  <si>
    <t>2024-10-18</t>
  </si>
  <si>
    <t>S0156</t>
  </si>
  <si>
    <t>2025-03-29</t>
  </si>
  <si>
    <t>S0157</t>
  </si>
  <si>
    <t>2025-01-20</t>
  </si>
  <si>
    <t>S0158</t>
  </si>
  <si>
    <t>2024-07-17</t>
  </si>
  <si>
    <t>S0159</t>
  </si>
  <si>
    <t>2023-04-27</t>
  </si>
  <si>
    <t>S0160</t>
  </si>
  <si>
    <t>2023-07-25</t>
  </si>
  <si>
    <t>S0161</t>
  </si>
  <si>
    <t>2023-08-10</t>
  </si>
  <si>
    <t>S0162</t>
  </si>
  <si>
    <t>2024-12-06</t>
  </si>
  <si>
    <t>S0163</t>
  </si>
  <si>
    <t>2025-01-29</t>
  </si>
  <si>
    <t>S0164</t>
  </si>
  <si>
    <t>2024-06-03</t>
  </si>
  <si>
    <t>S0165</t>
  </si>
  <si>
    <t>2023-03-09</t>
  </si>
  <si>
    <t>S0166</t>
  </si>
  <si>
    <t>2024-08-16</t>
  </si>
  <si>
    <t>S0167</t>
  </si>
  <si>
    <t>2024-02-27</t>
  </si>
  <si>
    <t>S0168</t>
  </si>
  <si>
    <t>2025-05-08</t>
  </si>
  <si>
    <t>S0169</t>
  </si>
  <si>
    <t>2024-08-11</t>
  </si>
  <si>
    <t>S0170</t>
  </si>
  <si>
    <t>2024-02-28</t>
  </si>
  <si>
    <t>S0171</t>
  </si>
  <si>
    <t>2023-08-15</t>
  </si>
  <si>
    <t>S0172</t>
  </si>
  <si>
    <t>S0173</t>
  </si>
  <si>
    <t>2023-12-12</t>
  </si>
  <si>
    <t>S0174</t>
  </si>
  <si>
    <t>2023-12-28</t>
  </si>
  <si>
    <t>S0175</t>
  </si>
  <si>
    <t>2024-10-03</t>
  </si>
  <si>
    <t>S0176</t>
  </si>
  <si>
    <t>2024-07-27</t>
  </si>
  <si>
    <t>S0177</t>
  </si>
  <si>
    <t>2023-12-07</t>
  </si>
  <si>
    <t>S0178</t>
  </si>
  <si>
    <t>S0179</t>
  </si>
  <si>
    <t>2024-03-21</t>
  </si>
  <si>
    <t>S0180</t>
  </si>
  <si>
    <t>2023-12-31</t>
  </si>
  <si>
    <t>S0181</t>
  </si>
  <si>
    <t>2024-03-16</t>
  </si>
  <si>
    <t>S0182</t>
  </si>
  <si>
    <t>2023-10-27</t>
  </si>
  <si>
    <t>S0183</t>
  </si>
  <si>
    <t>2024-10-25</t>
  </si>
  <si>
    <t>S0184</t>
  </si>
  <si>
    <t>2024-09-10</t>
  </si>
  <si>
    <t>S0185</t>
  </si>
  <si>
    <t>2023-01-27</t>
  </si>
  <si>
    <t>S0186</t>
  </si>
  <si>
    <t>2023-06-22</t>
  </si>
  <si>
    <t>S0187</t>
  </si>
  <si>
    <t>2025-09-11</t>
  </si>
  <si>
    <t>S0188</t>
  </si>
  <si>
    <t>S0189</t>
  </si>
  <si>
    <t>S0190</t>
  </si>
  <si>
    <t>S0191</t>
  </si>
  <si>
    <t>2025-08-04</t>
  </si>
  <si>
    <t>S0192</t>
  </si>
  <si>
    <t>2023-11-16</t>
  </si>
  <si>
    <t>S0193</t>
  </si>
  <si>
    <t>2025-02-22</t>
  </si>
  <si>
    <t>S0194</t>
  </si>
  <si>
    <t>2023-06-08</t>
  </si>
  <si>
    <t>S0195</t>
  </si>
  <si>
    <t>2024-04-20</t>
  </si>
  <si>
    <t>S0196</t>
  </si>
  <si>
    <t>2023-02-12</t>
  </si>
  <si>
    <t>S0197</t>
  </si>
  <si>
    <t>2023-10-21</t>
  </si>
  <si>
    <t>S0198</t>
  </si>
  <si>
    <t>S0199</t>
  </si>
  <si>
    <t>S0200</t>
  </si>
  <si>
    <t>2025-09-07</t>
  </si>
  <si>
    <t>S0201</t>
  </si>
  <si>
    <t>2025-09-22</t>
  </si>
  <si>
    <t>S0202</t>
  </si>
  <si>
    <t>2024-08-14</t>
  </si>
  <si>
    <t>S0203</t>
  </si>
  <si>
    <t>S0204</t>
  </si>
  <si>
    <t>2023-12-09</t>
  </si>
  <si>
    <t>S0205</t>
  </si>
  <si>
    <t>2023-05-03</t>
  </si>
  <si>
    <t>S0206</t>
  </si>
  <si>
    <t>2023-03-18</t>
  </si>
  <si>
    <t>S0207</t>
  </si>
  <si>
    <t>2024-09-14</t>
  </si>
  <si>
    <t>S0208</t>
  </si>
  <si>
    <t>2024-03-29</t>
  </si>
  <si>
    <t>S0209</t>
  </si>
  <si>
    <t>2025-07-06</t>
  </si>
  <si>
    <t>S0210</t>
  </si>
  <si>
    <t>S0211</t>
  </si>
  <si>
    <t>2024-01-22</t>
  </si>
  <si>
    <t>S0212</t>
  </si>
  <si>
    <t>2024-06-11</t>
  </si>
  <si>
    <t>S0213</t>
  </si>
  <si>
    <t>2023-05-23</t>
  </si>
  <si>
    <t>S0214</t>
  </si>
  <si>
    <t>2025-03-14</t>
  </si>
  <si>
    <t>S0215</t>
  </si>
  <si>
    <t>S0216</t>
  </si>
  <si>
    <t>S0217</t>
  </si>
  <si>
    <t>2023-06-17</t>
  </si>
  <si>
    <t>S0218</t>
  </si>
  <si>
    <t>2024-01-29</t>
  </si>
  <si>
    <t>S0219</t>
  </si>
  <si>
    <t>2024-06-23</t>
  </si>
  <si>
    <t>S0220</t>
  </si>
  <si>
    <t>2025-02-10</t>
  </si>
  <si>
    <t>S0221</t>
  </si>
  <si>
    <t>2024-05-05</t>
  </si>
  <si>
    <t>S0222</t>
  </si>
  <si>
    <t>2023-01-03</t>
  </si>
  <si>
    <t>S0223</t>
  </si>
  <si>
    <t>2024-03-22</t>
  </si>
  <si>
    <t>S0224</t>
  </si>
  <si>
    <t>2025-08-11</t>
  </si>
  <si>
    <t>S0225</t>
  </si>
  <si>
    <t>S0226</t>
  </si>
  <si>
    <t>2024-05-19</t>
  </si>
  <si>
    <t>S0227</t>
  </si>
  <si>
    <t>S0228</t>
  </si>
  <si>
    <t>2025-09-24</t>
  </si>
  <si>
    <t>S0229</t>
  </si>
  <si>
    <t>2025-08-18</t>
  </si>
  <si>
    <t>S0230</t>
  </si>
  <si>
    <t>2025-02-13</t>
  </si>
  <si>
    <t>S0231</t>
  </si>
  <si>
    <t>2025-07-01</t>
  </si>
  <si>
    <t>S0232</t>
  </si>
  <si>
    <t>S0233</t>
  </si>
  <si>
    <t>2023-02-08</t>
  </si>
  <si>
    <t>S0234</t>
  </si>
  <si>
    <t>2024-03-14</t>
  </si>
  <si>
    <t>S0235</t>
  </si>
  <si>
    <t>S0236</t>
  </si>
  <si>
    <t>2023-02-26</t>
  </si>
  <si>
    <t>S0237</t>
  </si>
  <si>
    <t>S0238</t>
  </si>
  <si>
    <t>2023-11-17</t>
  </si>
  <si>
    <t>S0239</t>
  </si>
  <si>
    <t>2024-10-21</t>
  </si>
  <si>
    <t>S0240</t>
  </si>
  <si>
    <t>2025-06-19</t>
  </si>
  <si>
    <t>S0241</t>
  </si>
  <si>
    <t>2023-07-02</t>
  </si>
  <si>
    <t>S0242</t>
  </si>
  <si>
    <t>2023-02-19</t>
  </si>
  <si>
    <t>S0243</t>
  </si>
  <si>
    <t>2024-01-07</t>
  </si>
  <si>
    <t>S0244</t>
  </si>
  <si>
    <t>2023-08-05</t>
  </si>
  <si>
    <t>S0245</t>
  </si>
  <si>
    <t>S0246</t>
  </si>
  <si>
    <t>2023-01-31</t>
  </si>
  <si>
    <t>S0247</t>
  </si>
  <si>
    <t>S0248</t>
  </si>
  <si>
    <t>2025-02-18</t>
  </si>
  <si>
    <t>S0249</t>
  </si>
  <si>
    <t>S0250</t>
  </si>
  <si>
    <t>2024-10-16</t>
  </si>
  <si>
    <t>S0251</t>
  </si>
  <si>
    <t>2025-09-25</t>
  </si>
  <si>
    <t>S0252</t>
  </si>
  <si>
    <t>2023-05-17</t>
  </si>
  <si>
    <t>S0253</t>
  </si>
  <si>
    <t>2023-11-29</t>
  </si>
  <si>
    <t>S0254</t>
  </si>
  <si>
    <t>2023-12-29</t>
  </si>
  <si>
    <t>S0255</t>
  </si>
  <si>
    <t>2025-09-14</t>
  </si>
  <si>
    <t>S0256</t>
  </si>
  <si>
    <t>S0257</t>
  </si>
  <si>
    <t>S0258</t>
  </si>
  <si>
    <t>S0259</t>
  </si>
  <si>
    <t>S0260</t>
  </si>
  <si>
    <t>S0261</t>
  </si>
  <si>
    <t>S0262</t>
  </si>
  <si>
    <t>2025-02-28</t>
  </si>
  <si>
    <t>S0263</t>
  </si>
  <si>
    <t>S0264</t>
  </si>
  <si>
    <t>2023-02-01</t>
  </si>
  <si>
    <t>S0265</t>
  </si>
  <si>
    <t>2025-01-14</t>
  </si>
  <si>
    <t>S0266</t>
  </si>
  <si>
    <t>S0267</t>
  </si>
  <si>
    <t>2023-02-17</t>
  </si>
  <si>
    <t>S0268</t>
  </si>
  <si>
    <t>2024-04-23</t>
  </si>
  <si>
    <t>S0269</t>
  </si>
  <si>
    <t>2023-10-26</t>
  </si>
  <si>
    <t>S0270</t>
  </si>
  <si>
    <t>2025-02-08</t>
  </si>
  <si>
    <t>S0271</t>
  </si>
  <si>
    <t>2023-12-16</t>
  </si>
  <si>
    <t>S0272</t>
  </si>
  <si>
    <t>2024-05-07</t>
  </si>
  <si>
    <t>S0273</t>
  </si>
  <si>
    <t>2023-09-15</t>
  </si>
  <si>
    <t>S0274</t>
  </si>
  <si>
    <t>S0275</t>
  </si>
  <si>
    <t>2024-06-05</t>
  </si>
  <si>
    <t>S0276</t>
  </si>
  <si>
    <t>S0277</t>
  </si>
  <si>
    <t>2023-11-05</t>
  </si>
  <si>
    <t>S0278</t>
  </si>
  <si>
    <t>2024-11-08</t>
  </si>
  <si>
    <t>S0279</t>
  </si>
  <si>
    <t>S0280</t>
  </si>
  <si>
    <t>2024-02-29</t>
  </si>
  <si>
    <t>S0281</t>
  </si>
  <si>
    <t>2025-01-02</t>
  </si>
  <si>
    <t>S0282</t>
  </si>
  <si>
    <t>2024-08-01</t>
  </si>
  <si>
    <t>S0283</t>
  </si>
  <si>
    <t>2024-09-06</t>
  </si>
  <si>
    <t>S0284</t>
  </si>
  <si>
    <t>S0285</t>
  </si>
  <si>
    <t>S0286</t>
  </si>
  <si>
    <t>2023-12-03</t>
  </si>
  <si>
    <t>S0287</t>
  </si>
  <si>
    <t>2024-02-26</t>
  </si>
  <si>
    <t>S0288</t>
  </si>
  <si>
    <t>2024-10-23</t>
  </si>
  <si>
    <t>S0289</t>
  </si>
  <si>
    <t>S0290</t>
  </si>
  <si>
    <t>2025-04-07</t>
  </si>
  <si>
    <t>S0291</t>
  </si>
  <si>
    <t>2024-12-03</t>
  </si>
  <si>
    <t>S0292</t>
  </si>
  <si>
    <t>2023-06-23</t>
  </si>
  <si>
    <t>S0293</t>
  </si>
  <si>
    <t>2025-08-02</t>
  </si>
  <si>
    <t>S0294</t>
  </si>
  <si>
    <t>2023-04-09</t>
  </si>
  <si>
    <t>S0295</t>
  </si>
  <si>
    <t>2024-01-14</t>
  </si>
  <si>
    <t>S0296</t>
  </si>
  <si>
    <t>2023-01-01</t>
  </si>
  <si>
    <t>S0297</t>
  </si>
  <si>
    <t>2024-09-21</t>
  </si>
  <si>
    <t>S0298</t>
  </si>
  <si>
    <t>S0299</t>
  </si>
  <si>
    <t>2024-01-02</t>
  </si>
  <si>
    <t>S0300</t>
  </si>
  <si>
    <t>2024-09-11</t>
  </si>
  <si>
    <t>S0301</t>
  </si>
  <si>
    <t>S0302</t>
  </si>
  <si>
    <t>2023-11-03</t>
  </si>
  <si>
    <t>S0303</t>
  </si>
  <si>
    <t>S0304</t>
  </si>
  <si>
    <t>2024-11-28</t>
  </si>
  <si>
    <t>S0305</t>
  </si>
  <si>
    <t>2023-06-27</t>
  </si>
  <si>
    <t>S0306</t>
  </si>
  <si>
    <t>2024-07-11</t>
  </si>
  <si>
    <t>S0307</t>
  </si>
  <si>
    <t>2025-01-19</t>
  </si>
  <si>
    <t>S0308</t>
  </si>
  <si>
    <t>2025-05-31</t>
  </si>
  <si>
    <t>S0309</t>
  </si>
  <si>
    <t>2024-03-19</t>
  </si>
  <si>
    <t>S0310</t>
  </si>
  <si>
    <t>S0311</t>
  </si>
  <si>
    <t>2023-08-01</t>
  </si>
  <si>
    <t>S0312</t>
  </si>
  <si>
    <t>2023-06-09</t>
  </si>
  <si>
    <t>S0313</t>
  </si>
  <si>
    <t>S0314</t>
  </si>
  <si>
    <t>2025-08-27</t>
  </si>
  <si>
    <t>S0315</t>
  </si>
  <si>
    <t>2025-02-02</t>
  </si>
  <si>
    <t>S0316</t>
  </si>
  <si>
    <t>2024-12-21</t>
  </si>
  <si>
    <t>S0317</t>
  </si>
  <si>
    <t>S0318</t>
  </si>
  <si>
    <t>2024-03-11</t>
  </si>
  <si>
    <t>S0319</t>
  </si>
  <si>
    <t>2023-12-21</t>
  </si>
  <si>
    <t>S0320</t>
  </si>
  <si>
    <t>2025-02-16</t>
  </si>
  <si>
    <t>S0321</t>
  </si>
  <si>
    <t>2024-08-24</t>
  </si>
  <si>
    <t>S0322</t>
  </si>
  <si>
    <t>2024-09-20</t>
  </si>
  <si>
    <t>S0323</t>
  </si>
  <si>
    <t>2024-05-16</t>
  </si>
  <si>
    <t>S0324</t>
  </si>
  <si>
    <t>2023-11-18</t>
  </si>
  <si>
    <t>S0325</t>
  </si>
  <si>
    <t>2025-05-13</t>
  </si>
  <si>
    <t>S0326</t>
  </si>
  <si>
    <t>2023-01-14</t>
  </si>
  <si>
    <t>S0327</t>
  </si>
  <si>
    <t>2024-03-25</t>
  </si>
  <si>
    <t>S0328</t>
  </si>
  <si>
    <t>2023-03-15</t>
  </si>
  <si>
    <t>S0329</t>
  </si>
  <si>
    <t>2024-08-13</t>
  </si>
  <si>
    <t>S0330</t>
  </si>
  <si>
    <t>2023-07-07</t>
  </si>
  <si>
    <t>S0331</t>
  </si>
  <si>
    <t>2024-08-19</t>
  </si>
  <si>
    <t>S0332</t>
  </si>
  <si>
    <t>2024-05-06</t>
  </si>
  <si>
    <t>S0333</t>
  </si>
  <si>
    <t>S0334</t>
  </si>
  <si>
    <t>2024-08-04</t>
  </si>
  <si>
    <t>S0335</t>
  </si>
  <si>
    <t>2023-12-17</t>
  </si>
  <si>
    <t>S0336</t>
  </si>
  <si>
    <t>2023-08-27</t>
  </si>
  <si>
    <t>S0337</t>
  </si>
  <si>
    <t>2024-07-05</t>
  </si>
  <si>
    <t>S0338</t>
  </si>
  <si>
    <t>2023-01-25</t>
  </si>
  <si>
    <t>S0339</t>
  </si>
  <si>
    <t>2023-03-01</t>
  </si>
  <si>
    <t>S0340</t>
  </si>
  <si>
    <t>2024-04-27</t>
  </si>
  <si>
    <t>S0341</t>
  </si>
  <si>
    <t>2023-03-23</t>
  </si>
  <si>
    <t>S0342</t>
  </si>
  <si>
    <t>2024-09-02</t>
  </si>
  <si>
    <t>S0343</t>
  </si>
  <si>
    <t>2024-12-22</t>
  </si>
  <si>
    <t>S0344</t>
  </si>
  <si>
    <t>2024-01-15</t>
  </si>
  <si>
    <t>S0345</t>
  </si>
  <si>
    <t>S0346</t>
  </si>
  <si>
    <t>2025-05-22</t>
  </si>
  <si>
    <t>S0347</t>
  </si>
  <si>
    <t>S0348</t>
  </si>
  <si>
    <t>S0349</t>
  </si>
  <si>
    <t>S0350</t>
  </si>
  <si>
    <t>S0351</t>
  </si>
  <si>
    <t>S0352</t>
  </si>
  <si>
    <t>2024-02-17</t>
  </si>
  <si>
    <t>S0353</t>
  </si>
  <si>
    <t>2023-11-21</t>
  </si>
  <si>
    <t>S0354</t>
  </si>
  <si>
    <t>2024-05-24</t>
  </si>
  <si>
    <t>S0355</t>
  </si>
  <si>
    <t>2024-06-27</t>
  </si>
  <si>
    <t>S0356</t>
  </si>
  <si>
    <t>S0357</t>
  </si>
  <si>
    <t>S0358</t>
  </si>
  <si>
    <t>2023-05-12</t>
  </si>
  <si>
    <t>S0359</t>
  </si>
  <si>
    <t>2025-09-01</t>
  </si>
  <si>
    <t>S0360</t>
  </si>
  <si>
    <t>2023-07-22</t>
  </si>
  <si>
    <t>S0361</t>
  </si>
  <si>
    <t>2023-01-11</t>
  </si>
  <si>
    <t>S0362</t>
  </si>
  <si>
    <t>2023-04-21</t>
  </si>
  <si>
    <t>S0363</t>
  </si>
  <si>
    <t>2023-03-26</t>
  </si>
  <si>
    <t>S0364</t>
  </si>
  <si>
    <t>2024-03-08</t>
  </si>
  <si>
    <t>S0365</t>
  </si>
  <si>
    <t>S0366</t>
  </si>
  <si>
    <t>2024-04-14</t>
  </si>
  <si>
    <t>S0367</t>
  </si>
  <si>
    <t>S0368</t>
  </si>
  <si>
    <t>2024-05-28</t>
  </si>
  <si>
    <t>S0369</t>
  </si>
  <si>
    <t>2024-05-01</t>
  </si>
  <si>
    <t>S0370</t>
  </si>
  <si>
    <t>2025-03-17</t>
  </si>
  <si>
    <t>S0371</t>
  </si>
  <si>
    <t>2023-12-02</t>
  </si>
  <si>
    <t>S0372</t>
  </si>
  <si>
    <t>2024-04-12</t>
  </si>
  <si>
    <t>S0373</t>
  </si>
  <si>
    <t>2024-01-20</t>
  </si>
  <si>
    <t>S0374</t>
  </si>
  <si>
    <t>2023-04-13</t>
  </si>
  <si>
    <t>S0375</t>
  </si>
  <si>
    <t>2023-07-09</t>
  </si>
  <si>
    <t>S0376</t>
  </si>
  <si>
    <t>2023-09-25</t>
  </si>
  <si>
    <t>S0377</t>
  </si>
  <si>
    <t>2024-11-11</t>
  </si>
  <si>
    <t>S0378</t>
  </si>
  <si>
    <t>2024-08-15</t>
  </si>
  <si>
    <t>S0379</t>
  </si>
  <si>
    <t>2024-02-15</t>
  </si>
  <si>
    <t>S0380</t>
  </si>
  <si>
    <t>2023-11-23</t>
  </si>
  <si>
    <t>S0381</t>
  </si>
  <si>
    <t>2025-08-09</t>
  </si>
  <si>
    <t>S0382</t>
  </si>
  <si>
    <t>2025-05-07</t>
  </si>
  <si>
    <t>S0383</t>
  </si>
  <si>
    <t>2025-01-07</t>
  </si>
  <si>
    <t>S0384</t>
  </si>
  <si>
    <t>2025-07-09</t>
  </si>
  <si>
    <t>S0385</t>
  </si>
  <si>
    <t>S0386</t>
  </si>
  <si>
    <t>2023-05-07</t>
  </si>
  <si>
    <t>S0387</t>
  </si>
  <si>
    <t>2024-03-09</t>
  </si>
  <si>
    <t>S0388</t>
  </si>
  <si>
    <t>2023-11-25</t>
  </si>
  <si>
    <t>S0389</t>
  </si>
  <si>
    <t>2024-01-23</t>
  </si>
  <si>
    <t>S0390</t>
  </si>
  <si>
    <t>2023-05-06</t>
  </si>
  <si>
    <t>S0391</t>
  </si>
  <si>
    <t>2024-02-25</t>
  </si>
  <si>
    <t>S0392</t>
  </si>
  <si>
    <t>2025-04-17</t>
  </si>
  <si>
    <t>S0393</t>
  </si>
  <si>
    <t>S0394</t>
  </si>
  <si>
    <t>2025-06-14</t>
  </si>
  <si>
    <t>S0395</t>
  </si>
  <si>
    <t>2023-01-08</t>
  </si>
  <si>
    <t>S0396</t>
  </si>
  <si>
    <t>2024-06-18</t>
  </si>
  <si>
    <t>S0397</t>
  </si>
  <si>
    <t>S0398</t>
  </si>
  <si>
    <t>2023-04-19</t>
  </si>
  <si>
    <t>S0399</t>
  </si>
  <si>
    <t>2023-01-07</t>
  </si>
  <si>
    <t>S0400</t>
  </si>
  <si>
    <t>2024-07-23</t>
  </si>
  <si>
    <t>S0401</t>
  </si>
  <si>
    <t>S0402</t>
  </si>
  <si>
    <t>S0403</t>
  </si>
  <si>
    <t>S0404</t>
  </si>
  <si>
    <t>2023-06-15</t>
  </si>
  <si>
    <t>S0405</t>
  </si>
  <si>
    <t>2023-12-18</t>
  </si>
  <si>
    <t>S0406</t>
  </si>
  <si>
    <t>2024-11-02</t>
  </si>
  <si>
    <t>S0407</t>
  </si>
  <si>
    <t>2025-07-05</t>
  </si>
  <si>
    <t>S0408</t>
  </si>
  <si>
    <t>2024-08-03</t>
  </si>
  <si>
    <t>S0409</t>
  </si>
  <si>
    <t>2024-12-15</t>
  </si>
  <si>
    <t>S0410</t>
  </si>
  <si>
    <t>S0411</t>
  </si>
  <si>
    <t>S0412</t>
  </si>
  <si>
    <t>S0413</t>
  </si>
  <si>
    <t>2025-05-04</t>
  </si>
  <si>
    <t>S0414</t>
  </si>
  <si>
    <t>2023-11-02</t>
  </si>
  <si>
    <t>S0415</t>
  </si>
  <si>
    <t>S0416</t>
  </si>
  <si>
    <t>2024-08-31</t>
  </si>
  <si>
    <t>S0417</t>
  </si>
  <si>
    <t>S0418</t>
  </si>
  <si>
    <t>2024-04-15</t>
  </si>
  <si>
    <t>S0419</t>
  </si>
  <si>
    <t>S0420</t>
  </si>
  <si>
    <t>S0421</t>
  </si>
  <si>
    <t>S0422</t>
  </si>
  <si>
    <t>S0423</t>
  </si>
  <si>
    <t>2023-04-08</t>
  </si>
  <si>
    <t>S0424</t>
  </si>
  <si>
    <t>S0425</t>
  </si>
  <si>
    <t>2024-06-10</t>
  </si>
  <si>
    <t>S0426</t>
  </si>
  <si>
    <t>2023-01-15</t>
  </si>
  <si>
    <t>S0427</t>
  </si>
  <si>
    <t>2025-02-06</t>
  </si>
  <si>
    <t>S0428</t>
  </si>
  <si>
    <t>S0429</t>
  </si>
  <si>
    <t>2024-07-26</t>
  </si>
  <si>
    <t>S0430</t>
  </si>
  <si>
    <t>S0431</t>
  </si>
  <si>
    <t>S0432</t>
  </si>
  <si>
    <t>2025-01-17</t>
  </si>
  <si>
    <t>S0433</t>
  </si>
  <si>
    <t>S0434</t>
  </si>
  <si>
    <t>2023-03-16</t>
  </si>
  <si>
    <t>S0435</t>
  </si>
  <si>
    <t>2023-08-13</t>
  </si>
  <si>
    <t>S0436</t>
  </si>
  <si>
    <t>S0437</t>
  </si>
  <si>
    <t>2025-01-04</t>
  </si>
  <si>
    <t>S0438</t>
  </si>
  <si>
    <t>2024-07-29</t>
  </si>
  <si>
    <t>S0439</t>
  </si>
  <si>
    <t>2024-10-27</t>
  </si>
  <si>
    <t>S0440</t>
  </si>
  <si>
    <t>S0441</t>
  </si>
  <si>
    <t>2023-10-18</t>
  </si>
  <si>
    <t>S0442</t>
  </si>
  <si>
    <t>S0443</t>
  </si>
  <si>
    <t>2024-01-04</t>
  </si>
  <si>
    <t>S0444</t>
  </si>
  <si>
    <t>2023-04-02</t>
  </si>
  <si>
    <t>S0445</t>
  </si>
  <si>
    <t>2024-09-18</t>
  </si>
  <si>
    <t>S0446</t>
  </si>
  <si>
    <t>2025-07-12</t>
  </si>
  <si>
    <t>S0447</t>
  </si>
  <si>
    <t>2025-07-11</t>
  </si>
  <si>
    <t>S0448</t>
  </si>
  <si>
    <t>S0449</t>
  </si>
  <si>
    <t>S0450</t>
  </si>
  <si>
    <t>2024-06-25</t>
  </si>
  <si>
    <t>S0451</t>
  </si>
  <si>
    <t>2024-09-26</t>
  </si>
  <si>
    <t>S0452</t>
  </si>
  <si>
    <t>2025-09-23</t>
  </si>
  <si>
    <t>S0453</t>
  </si>
  <si>
    <t>2024-09-07</t>
  </si>
  <si>
    <t>S0454</t>
  </si>
  <si>
    <t>2025-03-11</t>
  </si>
  <si>
    <t>S0455</t>
  </si>
  <si>
    <t>S0456</t>
  </si>
  <si>
    <t>2024-01-08</t>
  </si>
  <si>
    <t>S0457</t>
  </si>
  <si>
    <t>2024-01-17</t>
  </si>
  <si>
    <t>S0458</t>
  </si>
  <si>
    <t>S0459</t>
  </si>
  <si>
    <t>2024-12-28</t>
  </si>
  <si>
    <t>S0460</t>
  </si>
  <si>
    <t>S0461</t>
  </si>
  <si>
    <t>2024-12-12</t>
  </si>
  <si>
    <t>S0462</t>
  </si>
  <si>
    <t>2023-06-20</t>
  </si>
  <si>
    <t>S0463</t>
  </si>
  <si>
    <t>2024-05-23</t>
  </si>
  <si>
    <t>S0464</t>
  </si>
  <si>
    <t>2023-01-12</t>
  </si>
  <si>
    <t>S0465</t>
  </si>
  <si>
    <t>2024-01-11</t>
  </si>
  <si>
    <t>S0466</t>
  </si>
  <si>
    <t>S0467</t>
  </si>
  <si>
    <t>S0468</t>
  </si>
  <si>
    <t>2023-04-25</t>
  </si>
  <si>
    <t>S0469</t>
  </si>
  <si>
    <t>2024-01-31</t>
  </si>
  <si>
    <t>S0470</t>
  </si>
  <si>
    <t>S0471</t>
  </si>
  <si>
    <t>2025-03-31</t>
  </si>
  <si>
    <t>S0472</t>
  </si>
  <si>
    <t>2025-05-20</t>
  </si>
  <si>
    <t>S0473</t>
  </si>
  <si>
    <t>S0474</t>
  </si>
  <si>
    <t>2023-01-09</t>
  </si>
  <si>
    <t>S0475</t>
  </si>
  <si>
    <t>S0476</t>
  </si>
  <si>
    <t>S0477</t>
  </si>
  <si>
    <t>2024-06-24</t>
  </si>
  <si>
    <t>S0478</t>
  </si>
  <si>
    <t>S0479</t>
  </si>
  <si>
    <t>2024-09-19</t>
  </si>
  <si>
    <t>S0480</t>
  </si>
  <si>
    <t>2023-03-17</t>
  </si>
  <si>
    <t>S0481</t>
  </si>
  <si>
    <t>2023-04-12</t>
  </si>
  <si>
    <t>S0482</t>
  </si>
  <si>
    <t>S0483</t>
  </si>
  <si>
    <t>2025-07-18</t>
  </si>
  <si>
    <t>S0484</t>
  </si>
  <si>
    <t>2025-07-23</t>
  </si>
  <si>
    <t>S0485</t>
  </si>
  <si>
    <t>2024-10-14</t>
  </si>
  <si>
    <t>S0486</t>
  </si>
  <si>
    <t>2025-03-16</t>
  </si>
  <si>
    <t>S0487</t>
  </si>
  <si>
    <t>2024-02-20</t>
  </si>
  <si>
    <t>S0488</t>
  </si>
  <si>
    <t>2023-06-21</t>
  </si>
  <si>
    <t>S0489</t>
  </si>
  <si>
    <t>S0490</t>
  </si>
  <si>
    <t>2025-05-19</t>
  </si>
  <si>
    <t>S0491</t>
  </si>
  <si>
    <t>S0492</t>
  </si>
  <si>
    <t>S0493</t>
  </si>
  <si>
    <t>S0494</t>
  </si>
  <si>
    <t>2025-07-19</t>
  </si>
  <si>
    <t>S0495</t>
  </si>
  <si>
    <t>S0496</t>
  </si>
  <si>
    <t>S0497</t>
  </si>
  <si>
    <t>2024-10-15</t>
  </si>
  <si>
    <t>S0498</t>
  </si>
  <si>
    <t>S0499</t>
  </si>
  <si>
    <t>2025-06-05</t>
  </si>
  <si>
    <t>S0500</t>
  </si>
  <si>
    <r>
      <t>1.</t>
    </r>
    <r>
      <rPr>
        <b/>
        <sz val="12"/>
        <color theme="1"/>
        <rFont val="Times New Roman"/>
        <family val="1"/>
      </rPr>
      <t xml:space="preserve">      </t>
    </r>
    <r>
      <rPr>
        <b/>
        <sz val="12"/>
        <color theme="1"/>
        <rFont val="Calibri"/>
        <family val="2"/>
        <scheme val="minor"/>
      </rPr>
      <t>Count the total number of students.</t>
    </r>
  </si>
  <si>
    <t>no_of_students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</si>
  <si>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highest marks scored.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</si>
  <si>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lowest marks scored.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</si>
  <si>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Calculate the average marks of all students.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</si>
  <si>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Count the number of male and female students.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</si>
  <si>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average age of students.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</si>
  <si>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Sort students by Marks (Highest to Lowest).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</si>
  <si>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Sort students by Age (Lowest to Highest).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</si>
  <si>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Filter students from Kolkata.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</si>
  <si>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Display students who scored above 80 marks.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</si>
  <si>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Display only female students from Class 12.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</si>
  <si>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Highlight marks greater than 90.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</si>
  <si>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Highlight marks below 40.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</si>
  <si>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Apply color scales to Marks.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</si>
  <si>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Highlight duplicate First Names.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</si>
  <si>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Highlight students aged above 18.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</si>
  <si>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Create a new column named </t>
    </r>
    <r>
      <rPr>
        <b/>
        <sz val="11"/>
        <color theme="1"/>
        <rFont val="Calibri"/>
        <family val="2"/>
        <scheme val="minor"/>
      </rPr>
      <t>Result</t>
    </r>
    <r>
      <rPr>
        <sz val="11"/>
        <color theme="1"/>
        <rFont val="Calibri"/>
        <family val="2"/>
        <scheme val="minor"/>
      </rPr>
      <t>.</t>
    </r>
  </si>
  <si>
    <t>Highest Marks</t>
  </si>
  <si>
    <t>Lowest Marks</t>
  </si>
  <si>
    <t>Average Marks</t>
  </si>
  <si>
    <t>Male Students</t>
  </si>
  <si>
    <t>Female Students</t>
  </si>
  <si>
    <t>Average_Age_of_students</t>
  </si>
  <si>
    <t>&gt;80</t>
  </si>
  <si>
    <t>Result</t>
  </si>
  <si>
    <t>Create a Grade column</t>
  </si>
  <si>
    <t>Grade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</si>
  <si>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Count students from Kolkata.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</si>
  <si>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Count students scoring above 80.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</si>
  <si>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Count female students in Class 12.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</si>
  <si>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Count male students from Delhi scoring above 70.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</si>
  <si>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Calculate average marks of students from Kolkata.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</si>
  <si>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Calculate average marks of female students.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</si>
  <si>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Calculate total marks of Class 10 students.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</si>
  <si>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Calculate average age of students from Mumbai.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</si>
  <si>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Create a Pivot Table showing:</t>
    </r>
  </si>
  <si>
    <t>students from kolkata</t>
  </si>
  <si>
    <t>students scoring above 80</t>
  </si>
  <si>
    <t>female students in Class 12</t>
  </si>
  <si>
    <t>male students from Delhi scoring above 70</t>
  </si>
  <si>
    <t>average marks of students from Kolkata</t>
  </si>
  <si>
    <t>average marks of female students</t>
  </si>
  <si>
    <t>total marks of class 10</t>
  </si>
  <si>
    <t>average age of students from mumbai</t>
  </si>
  <si>
    <t>Average Marks by City.</t>
  </si>
  <si>
    <t>Student Count by Gender.</t>
  </si>
  <si>
    <t>Average Age by Class.</t>
  </si>
  <si>
    <t>Total Students by City and Gender.</t>
  </si>
  <si>
    <t>Highest Marks by Class.</t>
  </si>
  <si>
    <t>Row Labels</t>
  </si>
  <si>
    <t>Grand Total</t>
  </si>
  <si>
    <t>Average of Marks</t>
  </si>
  <si>
    <t>Count of Student_ID</t>
  </si>
  <si>
    <t>Average of Age</t>
  </si>
  <si>
    <t>Column Labels</t>
  </si>
  <si>
    <t>Max of Marks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</si>
  <si>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Create a dashboard containing:</t>
    </r>
  </si>
  <si>
    <t>Total Students</t>
  </si>
  <si>
    <t>Gender Distribution Chart</t>
  </si>
  <si>
    <t>City-wise Student Count</t>
  </si>
  <si>
    <t>Class-wise Average Marks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</si>
  <si>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Extract students from Kolkata.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</si>
  <si>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Extract students with Marks &gt; 80.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</si>
  <si>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Extract female students from Class 12.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</si>
  <si>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Extract students aged between 16 and 18.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</si>
  <si>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Extract students from Mumbai or Delhi.</t>
    </r>
  </si>
  <si>
    <t>&gt;=16</t>
  </si>
  <si>
    <t>&lt;=18</t>
  </si>
  <si>
    <t>Fees</t>
  </si>
  <si>
    <t>fees(1)</t>
  </si>
  <si>
    <t>fees(2)</t>
  </si>
  <si>
    <t>fees(3)</t>
  </si>
  <si>
    <t>is calculated by index and match function</t>
  </si>
  <si>
    <t>is calculated using vlookup function</t>
  </si>
  <si>
    <t>is calculated by xlookup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</si>
</sst>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" fontId="0" fillId="0" borderId="1" xfId="0" applyNumberFormat="1" applyBorder="1"/>
    <xf numFmtId="14" fontId="0" fillId="0" borderId="1" xfId="0" applyNumberFormat="1" applyBorder="1"/>
    <xf numFmtId="0" fontId="0" fillId="0" borderId="0" xfId="0" applyAlignment="1">
      <alignment horizontal="left" vertical="center" indent="5"/>
    </xf>
    <xf numFmtId="0" fontId="3" fillId="0" borderId="0" xfId="0" applyFont="1" applyAlignment="1">
      <alignment horizontal="left" vertical="center" indent="5"/>
    </xf>
    <xf numFmtId="1" fontId="0" fillId="0" borderId="0" xfId="0" applyNumberFormat="1"/>
    <xf numFmtId="0" fontId="1" fillId="0" borderId="2" xfId="0" applyFont="1" applyBorder="1"/>
    <xf numFmtId="2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5" fillId="0" borderId="0" xfId="0" applyFont="1" applyAlignment="1">
      <alignment horizontal="left" vertical="center" indent="5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Border="1"/>
    <xf numFmtId="0" fontId="0" fillId="0" borderId="3" xfId="0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0" fillId="0" borderId="0" xfId="0" applyAlignment="1">
      <alignment horizontal="left" vertical="center" indent="2"/>
    </xf>
    <xf numFmtId="0" fontId="1" fillId="0" borderId="1" xfId="0" applyFont="1" applyFill="1" applyBorder="1"/>
  </cellXfs>
  <cellStyles count="1">
    <cellStyle name="Normal" xfId="0" builtinId="0"/>
  </cellStyles>
  <dxfs count="17">
    <dxf>
      <fill>
        <patternFill>
          <bgColor theme="6" tint="0.39994506668294322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 tint="0.3999450666829432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[excel_project1.xlsx]pivottables!PivotTable2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Algerian" panose="04020705040A02060702" pitchFamily="82" charset="0"/>
              </a:rPr>
              <a:t>GENDER</a:t>
            </a:r>
            <a:r>
              <a:rPr lang="en-IN" sz="1600" b="1" baseline="0">
                <a:latin typeface="Algerian" panose="04020705040A02060702" pitchFamily="82" charset="0"/>
              </a:rPr>
              <a:t> DISTRIBUTION CHART</a:t>
            </a:r>
            <a:endParaRPr lang="en-IN" sz="1600" b="1"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473621103117509E-2"/>
          <c:y val="0.2631223327131057"/>
          <c:w val="0.79106714628297348"/>
          <c:h val="0.62550285674384598"/>
        </c:manualLayout>
      </c:layout>
      <c:pie3DChart>
        <c:varyColors val="1"/>
        <c:ser>
          <c:idx val="0"/>
          <c:order val="0"/>
          <c:tx>
            <c:strRef>
              <c:f>pivottables!$G$5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6C0-49C7-979D-0B478B7066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6C0-49C7-979D-0B478B7066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pivottables!$F$6:$F$8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pivottables!$G$6:$G$8</c:f>
              <c:numCache>
                <c:formatCode>General</c:formatCode>
                <c:ptCount val="2"/>
                <c:pt idx="0">
                  <c:v>271</c:v>
                </c:pt>
                <c:pt idx="1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C0-49C7-979D-0B478B7066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[excel_project1.xlsx]pivottables!PivotTable10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Algerian" panose="04020705040A02060702" pitchFamily="82" charset="0"/>
              </a:rPr>
              <a:t>CITY</a:t>
            </a:r>
            <a:r>
              <a:rPr lang="en-IN" sz="1600" b="1" baseline="0">
                <a:latin typeface="Algerian" panose="04020705040A02060702" pitchFamily="82" charset="0"/>
              </a:rPr>
              <a:t> WISE STUDENT COUNT</a:t>
            </a:r>
            <a:endParaRPr lang="en-IN" sz="1600" b="1">
              <a:latin typeface="Algerian" panose="04020705040A02060702" pitchFamily="82" charset="0"/>
            </a:endParaRPr>
          </a:p>
        </c:rich>
      </c:tx>
      <c:layout>
        <c:manualLayout>
          <c:xMode val="edge"/>
          <c:yMode val="edge"/>
          <c:x val="0.2357430008748906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pivottables!$B$23:$B$31</c:f>
              <c:strCache>
                <c:ptCount val="8"/>
                <c:pt idx="0">
                  <c:v>Pune</c:v>
                </c:pt>
                <c:pt idx="1">
                  <c:v>Kolkata</c:v>
                </c:pt>
                <c:pt idx="2">
                  <c:v>Bengaluru</c:v>
                </c:pt>
                <c:pt idx="3">
                  <c:v>Jaipur</c:v>
                </c:pt>
                <c:pt idx="4">
                  <c:v>Hyderabad</c:v>
                </c:pt>
                <c:pt idx="5">
                  <c:v>Chennai</c:v>
                </c:pt>
                <c:pt idx="6">
                  <c:v>Mumbai</c:v>
                </c:pt>
                <c:pt idx="7">
                  <c:v>Delhi</c:v>
                </c:pt>
              </c:strCache>
            </c:strRef>
          </c:cat>
          <c:val>
            <c:numRef>
              <c:f>pivottables!$C$23:$C$31</c:f>
              <c:numCache>
                <c:formatCode>General</c:formatCode>
                <c:ptCount val="8"/>
                <c:pt idx="0">
                  <c:v>48</c:v>
                </c:pt>
                <c:pt idx="1">
                  <c:v>57</c:v>
                </c:pt>
                <c:pt idx="2">
                  <c:v>58</c:v>
                </c:pt>
                <c:pt idx="3">
                  <c:v>62</c:v>
                </c:pt>
                <c:pt idx="4">
                  <c:v>64</c:v>
                </c:pt>
                <c:pt idx="5">
                  <c:v>66</c:v>
                </c:pt>
                <c:pt idx="6">
                  <c:v>69</c:v>
                </c:pt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2-44C0-8CD8-3BA5E814A6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275776"/>
        <c:axId val="29285376"/>
      </c:barChart>
      <c:catAx>
        <c:axId val="2927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85376"/>
        <c:crosses val="autoZero"/>
        <c:auto val="1"/>
        <c:lblAlgn val="ctr"/>
        <c:lblOffset val="100"/>
        <c:noMultiLvlLbl val="0"/>
      </c:catAx>
      <c:valAx>
        <c:axId val="29285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27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[excel_project1.xlsx]pivottables!PivotTable11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Algerian" panose="04020705040A02060702" pitchFamily="82" charset="0"/>
              </a:rPr>
              <a:t>CLASS</a:t>
            </a:r>
            <a:r>
              <a:rPr lang="en-US" sz="1600" b="1" baseline="0">
                <a:latin typeface="Algerian" panose="04020705040A02060702" pitchFamily="82" charset="0"/>
              </a:rPr>
              <a:t> WISE AVERAGE MARKS</a:t>
            </a:r>
            <a:endParaRPr lang="en-US" sz="1600" b="1"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pivottables!$G$22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pivottables!$F$23:$F$27</c:f>
              <c:strCache>
                <c:ptCount val="4"/>
                <c:pt idx="0">
                  <c:v>9</c:v>
                </c:pt>
                <c:pt idx="1">
                  <c:v>12</c:v>
                </c:pt>
                <c:pt idx="2">
                  <c:v>10</c:v>
                </c:pt>
                <c:pt idx="3">
                  <c:v>11</c:v>
                </c:pt>
              </c:strCache>
            </c:strRef>
          </c:cat>
          <c:val>
            <c:numRef>
              <c:f>pivottables!$G$23:$G$27</c:f>
              <c:numCache>
                <c:formatCode>0</c:formatCode>
                <c:ptCount val="4"/>
                <c:pt idx="0">
                  <c:v>65.442857142857136</c:v>
                </c:pt>
                <c:pt idx="1">
                  <c:v>65.937007874015748</c:v>
                </c:pt>
                <c:pt idx="2">
                  <c:v>66.295652173913041</c:v>
                </c:pt>
                <c:pt idx="3">
                  <c:v>68.593220338983045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5-4C5D-91EF-0785D08B67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9952976"/>
        <c:axId val="909955376"/>
      </c:barChart>
      <c:catAx>
        <c:axId val="90995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55376"/>
        <c:crosses val="autoZero"/>
        <c:auto val="1"/>
        <c:lblAlgn val="ctr"/>
        <c:lblOffset val="100"/>
        <c:noMultiLvlLbl val="0"/>
      </c:catAx>
      <c:valAx>
        <c:axId val="909955376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90995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4</xdr:row>
      <xdr:rowOff>7620</xdr:rowOff>
    </xdr:from>
    <xdr:to>
      <xdr:col>9</xdr:col>
      <xdr:colOff>1280160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1CC89-CC72-4FC6-8E43-1402ADCEF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1303020</xdr:colOff>
      <xdr:row>4</xdr:row>
      <xdr:rowOff>7620</xdr:rowOff>
    </xdr:from>
    <xdr:to>
      <xdr:col>13</xdr:col>
      <xdr:colOff>76200</xdr:colOff>
      <xdr:row>16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B9469E-FB02-4076-BC39-BF1EAB958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83820</xdr:colOff>
      <xdr:row>4</xdr:row>
      <xdr:rowOff>0</xdr:rowOff>
    </xdr:from>
    <xdr:to>
      <xdr:col>20</xdr:col>
      <xdr:colOff>167640</xdr:colOff>
      <xdr:row>16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4B5744-E34D-4A3E-AB58-4AC5D82F9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5.500136805553" createdVersion="8" refreshedVersion="8" minRefreshableVersion="3" recordCount="500" xr:uid="{D5773A6F-8BEA-4E5B-BC62-E490440F06C8}">
  <cacheSource type="worksheet">
    <worksheetSource ref="A1:J501" sheet="Student"/>
  </cacheSource>
  <cacheFields count="10">
    <cacheField name="Student_ID" numFmtId="0">
      <sharedItems/>
    </cacheField>
    <cacheField name="First_Name" numFmtId="0">
      <sharedItems/>
    </cacheField>
    <cacheField name="Last_Name" numFmtId="0">
      <sharedItems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14" maxValue="20"/>
    </cacheField>
    <cacheField name="Class" numFmtId="1">
      <sharedItems containsSemiMixedTypes="0" containsString="0" containsNumber="1" containsInteger="1" minValue="9" maxValue="12" count="4">
        <n v="10"/>
        <n v="12"/>
        <n v="9"/>
        <n v="11"/>
      </sharedItems>
    </cacheField>
    <cacheField name="Section" numFmtId="0">
      <sharedItems/>
    </cacheField>
    <cacheField name="City" numFmtId="0">
      <sharedItems count="8">
        <s v="Pune"/>
        <s v="Jaipur"/>
        <s v="Kolkata"/>
        <s v="Bengaluru"/>
        <s v="Hyderabad"/>
        <s v="Mumbai"/>
        <s v="Delhi"/>
        <s v="Chennai"/>
      </sharedItems>
    </cacheField>
    <cacheField name="Admission_Date" numFmtId="14">
      <sharedItems/>
    </cacheField>
    <cacheField name="Marks" numFmtId="1">
      <sharedItems containsSemiMixedTypes="0" containsString="0" containsNumber="1" containsInteger="1" minValue="35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0001"/>
    <s v="Sneha"/>
    <s v="Paul"/>
    <x v="0"/>
    <n v="16"/>
    <x v="0"/>
    <s v="B"/>
    <x v="0"/>
    <s v="2024-10-06"/>
    <n v="37"/>
  </r>
  <r>
    <s v="S0002"/>
    <s v="Amit"/>
    <s v="Das"/>
    <x v="0"/>
    <n v="15"/>
    <x v="1"/>
    <s v="B"/>
    <x v="1"/>
    <s v="2024-11-06"/>
    <n v="98"/>
  </r>
  <r>
    <s v="S0003"/>
    <s v="Karan"/>
    <s v="Roy"/>
    <x v="0"/>
    <n v="14"/>
    <x v="1"/>
    <s v="D"/>
    <x v="2"/>
    <s v="2024-10-12"/>
    <n v="38"/>
  </r>
  <r>
    <s v="S0004"/>
    <s v="Priya"/>
    <s v="Singh"/>
    <x v="1"/>
    <n v="20"/>
    <x v="2"/>
    <s v="A"/>
    <x v="2"/>
    <s v="2023-06-14"/>
    <n v="84"/>
  </r>
  <r>
    <s v="S0005"/>
    <s v="Neha"/>
    <s v="Kumar"/>
    <x v="1"/>
    <n v="17"/>
    <x v="0"/>
    <s v="A"/>
    <x v="3"/>
    <s v="2023-09-21"/>
    <n v="45"/>
  </r>
  <r>
    <s v="S0006"/>
    <s v="Sneha"/>
    <s v="Paul"/>
    <x v="1"/>
    <n v="19"/>
    <x v="0"/>
    <s v="B"/>
    <x v="4"/>
    <s v="2023-09-12"/>
    <n v="36"/>
  </r>
  <r>
    <s v="S0007"/>
    <s v="Priya"/>
    <s v="Roy"/>
    <x v="1"/>
    <n v="20"/>
    <x v="2"/>
    <s v="C"/>
    <x v="4"/>
    <s v="2025-08-17"/>
    <n v="88"/>
  </r>
  <r>
    <s v="S0008"/>
    <s v="Neha"/>
    <s v="Paul"/>
    <x v="0"/>
    <n v="19"/>
    <x v="1"/>
    <s v="A"/>
    <x v="5"/>
    <s v="2025-01-28"/>
    <n v="60"/>
  </r>
  <r>
    <s v="S0009"/>
    <s v="Amit"/>
    <s v="Singh"/>
    <x v="1"/>
    <n v="19"/>
    <x v="1"/>
    <s v="B"/>
    <x v="5"/>
    <s v="2023-06-04"/>
    <n v="92"/>
  </r>
  <r>
    <s v="S0010"/>
    <s v="Arjun"/>
    <s v="Roy"/>
    <x v="1"/>
    <n v="15"/>
    <x v="2"/>
    <s v="C"/>
    <x v="0"/>
    <s v="2025-03-19"/>
    <n v="90"/>
  </r>
  <r>
    <s v="S0011"/>
    <s v="Riya"/>
    <s v="Gupta"/>
    <x v="1"/>
    <n v="20"/>
    <x v="0"/>
    <s v="D"/>
    <x v="4"/>
    <s v="2024-10-08"/>
    <n v="59"/>
  </r>
  <r>
    <s v="S0012"/>
    <s v="Arjun"/>
    <s v="Patel"/>
    <x v="0"/>
    <n v="14"/>
    <x v="1"/>
    <s v="A"/>
    <x v="4"/>
    <s v="2024-08-18"/>
    <n v="43"/>
  </r>
  <r>
    <s v="S0013"/>
    <s v="Neha"/>
    <s v="Gupta"/>
    <x v="0"/>
    <n v="15"/>
    <x v="1"/>
    <s v="B"/>
    <x v="6"/>
    <s v="2024-04-25"/>
    <n v="51"/>
  </r>
  <r>
    <s v="S0014"/>
    <s v="Sneha"/>
    <s v="Gupta"/>
    <x v="0"/>
    <n v="16"/>
    <x v="0"/>
    <s v="D"/>
    <x v="2"/>
    <s v="2023-04-30"/>
    <n v="42"/>
  </r>
  <r>
    <s v="S0015"/>
    <s v="Karan"/>
    <s v="Singh"/>
    <x v="0"/>
    <n v="20"/>
    <x v="1"/>
    <s v="B"/>
    <x v="4"/>
    <s v="2024-02-05"/>
    <n v="62"/>
  </r>
  <r>
    <s v="S0016"/>
    <s v="Vikram"/>
    <s v="Das"/>
    <x v="0"/>
    <n v="20"/>
    <x v="2"/>
    <s v="B"/>
    <x v="1"/>
    <s v="2025-08-10"/>
    <n v="55"/>
  </r>
  <r>
    <s v="S0017"/>
    <s v="Arjun"/>
    <s v="Kumar"/>
    <x v="0"/>
    <n v="14"/>
    <x v="1"/>
    <s v="D"/>
    <x v="3"/>
    <s v="2023-09-19"/>
    <n v="42"/>
  </r>
  <r>
    <s v="S0018"/>
    <s v="Pooja"/>
    <s v="Patel"/>
    <x v="1"/>
    <n v="19"/>
    <x v="2"/>
    <s v="A"/>
    <x v="5"/>
    <s v="2024-05-30"/>
    <n v="76"/>
  </r>
  <r>
    <s v="S0019"/>
    <s v="Priya"/>
    <s v="Patel"/>
    <x v="1"/>
    <n v="17"/>
    <x v="1"/>
    <s v="A"/>
    <x v="7"/>
    <s v="2025-04-12"/>
    <n v="66"/>
  </r>
  <r>
    <s v="S0020"/>
    <s v="Vikram"/>
    <s v="Ghosh"/>
    <x v="1"/>
    <n v="15"/>
    <x v="0"/>
    <s v="B"/>
    <x v="1"/>
    <s v="2023-11-01"/>
    <n v="59"/>
  </r>
  <r>
    <s v="S0021"/>
    <s v="Priya"/>
    <s v="Patel"/>
    <x v="1"/>
    <n v="19"/>
    <x v="2"/>
    <s v="B"/>
    <x v="6"/>
    <s v="2025-08-12"/>
    <n v="50"/>
  </r>
  <r>
    <s v="S0022"/>
    <s v="Rahul"/>
    <s v="Sharma"/>
    <x v="1"/>
    <n v="16"/>
    <x v="2"/>
    <s v="C"/>
    <x v="3"/>
    <s v="2025-02-24"/>
    <n v="52"/>
  </r>
  <r>
    <s v="S0023"/>
    <s v="Amit"/>
    <s v="Paul"/>
    <x v="0"/>
    <n v="20"/>
    <x v="1"/>
    <s v="A"/>
    <x v="2"/>
    <s v="2024-05-03"/>
    <n v="86"/>
  </r>
  <r>
    <s v="S0024"/>
    <s v="Vikram"/>
    <s v="Sharma"/>
    <x v="1"/>
    <n v="16"/>
    <x v="2"/>
    <s v="C"/>
    <x v="1"/>
    <s v="2025-08-25"/>
    <n v="52"/>
  </r>
  <r>
    <s v="S0025"/>
    <s v="Pooja"/>
    <s v="Paul"/>
    <x v="0"/>
    <n v="20"/>
    <x v="0"/>
    <s v="C"/>
    <x v="5"/>
    <s v="2025-09-27"/>
    <n v="82"/>
  </r>
  <r>
    <s v="S0026"/>
    <s v="Priya"/>
    <s v="Roy"/>
    <x v="1"/>
    <n v="14"/>
    <x v="1"/>
    <s v="A"/>
    <x v="6"/>
    <s v="2023-11-06"/>
    <n v="72"/>
  </r>
  <r>
    <s v="S0027"/>
    <s v="Amit"/>
    <s v="Mishra"/>
    <x v="0"/>
    <n v="19"/>
    <x v="1"/>
    <s v="B"/>
    <x v="0"/>
    <s v="2024-01-03"/>
    <n v="56"/>
  </r>
  <r>
    <s v="S0028"/>
    <s v="Vikram"/>
    <s v="Gupta"/>
    <x v="0"/>
    <n v="19"/>
    <x v="3"/>
    <s v="C"/>
    <x v="0"/>
    <s v="2025-03-20"/>
    <n v="56"/>
  </r>
  <r>
    <s v="S0029"/>
    <s v="Neha"/>
    <s v="Paul"/>
    <x v="1"/>
    <n v="19"/>
    <x v="1"/>
    <s v="D"/>
    <x v="7"/>
    <s v="2024-06-26"/>
    <n v="54"/>
  </r>
  <r>
    <s v="S0030"/>
    <s v="Neha"/>
    <s v="Paul"/>
    <x v="0"/>
    <n v="20"/>
    <x v="3"/>
    <s v="B"/>
    <x v="2"/>
    <s v="2024-05-26"/>
    <n v="70"/>
  </r>
  <r>
    <s v="S0031"/>
    <s v="Priya"/>
    <s v="Ghosh"/>
    <x v="1"/>
    <n v="18"/>
    <x v="0"/>
    <s v="D"/>
    <x v="6"/>
    <s v="2024-12-14"/>
    <n v="57"/>
  </r>
  <r>
    <s v="S0032"/>
    <s v="Arjun"/>
    <s v="Gupta"/>
    <x v="0"/>
    <n v="20"/>
    <x v="2"/>
    <s v="A"/>
    <x v="2"/>
    <s v="2023-02-24"/>
    <n v="91"/>
  </r>
  <r>
    <s v="S0033"/>
    <s v="Priya"/>
    <s v="Mishra"/>
    <x v="1"/>
    <n v="15"/>
    <x v="3"/>
    <s v="C"/>
    <x v="2"/>
    <s v="2023-03-14"/>
    <n v="77"/>
  </r>
  <r>
    <s v="S0034"/>
    <s v="Arjun"/>
    <s v="Patel"/>
    <x v="1"/>
    <n v="14"/>
    <x v="0"/>
    <s v="A"/>
    <x v="7"/>
    <s v="2023-10-12"/>
    <n v="60"/>
  </r>
  <r>
    <s v="S0035"/>
    <s v="Pooja"/>
    <s v="Singh"/>
    <x v="0"/>
    <n v="15"/>
    <x v="2"/>
    <s v="B"/>
    <x v="2"/>
    <s v="2025-03-27"/>
    <n v="58"/>
  </r>
  <r>
    <s v="S0036"/>
    <s v="Pooja"/>
    <s v="Patel"/>
    <x v="0"/>
    <n v="20"/>
    <x v="2"/>
    <s v="D"/>
    <x v="5"/>
    <s v="2024-09-17"/>
    <n v="40"/>
  </r>
  <r>
    <s v="S0037"/>
    <s v="Rahul"/>
    <s v="Das"/>
    <x v="0"/>
    <n v="19"/>
    <x v="1"/>
    <s v="B"/>
    <x v="1"/>
    <s v="2025-04-09"/>
    <n v="56"/>
  </r>
  <r>
    <s v="S0038"/>
    <s v="Rahul"/>
    <s v="Patel"/>
    <x v="1"/>
    <n v="20"/>
    <x v="0"/>
    <s v="A"/>
    <x v="2"/>
    <s v="2023-09-23"/>
    <n v="52"/>
  </r>
  <r>
    <s v="S0039"/>
    <s v="Neha"/>
    <s v="Kumar"/>
    <x v="1"/>
    <n v="20"/>
    <x v="0"/>
    <s v="C"/>
    <x v="6"/>
    <s v="2023-12-22"/>
    <n v="37"/>
  </r>
  <r>
    <s v="S0040"/>
    <s v="Amit"/>
    <s v="Das"/>
    <x v="0"/>
    <n v="15"/>
    <x v="0"/>
    <s v="A"/>
    <x v="1"/>
    <s v="2023-10-05"/>
    <n v="51"/>
  </r>
  <r>
    <s v="S0041"/>
    <s v="Vikram"/>
    <s v="Kumar"/>
    <x v="0"/>
    <n v="18"/>
    <x v="0"/>
    <s v="C"/>
    <x v="1"/>
    <s v="2024-05-20"/>
    <n v="66"/>
  </r>
  <r>
    <s v="S0042"/>
    <s v="Amit"/>
    <s v="Roy"/>
    <x v="0"/>
    <n v="15"/>
    <x v="2"/>
    <s v="D"/>
    <x v="7"/>
    <s v="2025-04-13"/>
    <n v="59"/>
  </r>
  <r>
    <s v="S0043"/>
    <s v="Sneha"/>
    <s v="Roy"/>
    <x v="1"/>
    <n v="17"/>
    <x v="1"/>
    <s v="A"/>
    <x v="0"/>
    <s v="2025-05-29"/>
    <n v="68"/>
  </r>
  <r>
    <s v="S0044"/>
    <s v="Pooja"/>
    <s v="Singh"/>
    <x v="0"/>
    <n v="17"/>
    <x v="1"/>
    <s v="D"/>
    <x v="4"/>
    <s v="2025-09-16"/>
    <n v="82"/>
  </r>
  <r>
    <s v="S0045"/>
    <s v="Priya"/>
    <s v="Paul"/>
    <x v="0"/>
    <n v="17"/>
    <x v="0"/>
    <s v="D"/>
    <x v="3"/>
    <s v="2023-04-05"/>
    <n v="88"/>
  </r>
  <r>
    <s v="S0046"/>
    <s v="Karan"/>
    <s v="Singh"/>
    <x v="1"/>
    <n v="20"/>
    <x v="2"/>
    <s v="B"/>
    <x v="0"/>
    <s v="2024-10-29"/>
    <n v="50"/>
  </r>
  <r>
    <s v="S0047"/>
    <s v="Sneha"/>
    <s v="Ghosh"/>
    <x v="0"/>
    <n v="14"/>
    <x v="0"/>
    <s v="C"/>
    <x v="6"/>
    <s v="2024-09-04"/>
    <n v="65"/>
  </r>
  <r>
    <s v="S0048"/>
    <s v="Arjun"/>
    <s v="Sharma"/>
    <x v="0"/>
    <n v="18"/>
    <x v="3"/>
    <s v="C"/>
    <x v="6"/>
    <s v="2024-08-25"/>
    <n v="100"/>
  </r>
  <r>
    <s v="S0049"/>
    <s v="Neha"/>
    <s v="Singh"/>
    <x v="1"/>
    <n v="19"/>
    <x v="0"/>
    <s v="A"/>
    <x v="7"/>
    <s v="2023-04-24"/>
    <n v="93"/>
  </r>
  <r>
    <s v="S0050"/>
    <s v="Priya"/>
    <s v="Mishra"/>
    <x v="1"/>
    <n v="16"/>
    <x v="1"/>
    <s v="B"/>
    <x v="3"/>
    <s v="2024-12-19"/>
    <n v="85"/>
  </r>
  <r>
    <s v="S0051"/>
    <s v="Pooja"/>
    <s v="Paul"/>
    <x v="1"/>
    <n v="20"/>
    <x v="0"/>
    <s v="B"/>
    <x v="2"/>
    <s v="2025-07-27"/>
    <n v="71"/>
  </r>
  <r>
    <s v="S0052"/>
    <s v="Neha"/>
    <s v="Singh"/>
    <x v="1"/>
    <n v="20"/>
    <x v="2"/>
    <s v="C"/>
    <x v="0"/>
    <s v="2024-02-10"/>
    <n v="40"/>
  </r>
  <r>
    <s v="S0053"/>
    <s v="Arjun"/>
    <s v="Mishra"/>
    <x v="0"/>
    <n v="19"/>
    <x v="3"/>
    <s v="B"/>
    <x v="7"/>
    <s v="2024-11-17"/>
    <n v="83"/>
  </r>
  <r>
    <s v="S0054"/>
    <s v="Karan"/>
    <s v="Gupta"/>
    <x v="1"/>
    <n v="17"/>
    <x v="2"/>
    <s v="D"/>
    <x v="1"/>
    <s v="2024-02-22"/>
    <n v="55"/>
  </r>
  <r>
    <s v="S0055"/>
    <s v="Karan"/>
    <s v="Gupta"/>
    <x v="0"/>
    <n v="17"/>
    <x v="1"/>
    <s v="A"/>
    <x v="5"/>
    <s v="2023-09-22"/>
    <n v="39"/>
  </r>
  <r>
    <s v="S0056"/>
    <s v="Arjun"/>
    <s v="Kumar"/>
    <x v="1"/>
    <n v="18"/>
    <x v="1"/>
    <s v="C"/>
    <x v="7"/>
    <s v="2023-12-10"/>
    <n v="77"/>
  </r>
  <r>
    <s v="S0057"/>
    <s v="Neha"/>
    <s v="Gupta"/>
    <x v="0"/>
    <n v="19"/>
    <x v="3"/>
    <s v="B"/>
    <x v="4"/>
    <s v="2024-02-11"/>
    <n v="63"/>
  </r>
  <r>
    <s v="S0058"/>
    <s v="Amit"/>
    <s v="Das"/>
    <x v="0"/>
    <n v="16"/>
    <x v="1"/>
    <s v="C"/>
    <x v="4"/>
    <s v="2023-05-14"/>
    <n v="36"/>
  </r>
  <r>
    <s v="S0059"/>
    <s v="Arjun"/>
    <s v="Sharma"/>
    <x v="1"/>
    <n v="17"/>
    <x v="3"/>
    <s v="C"/>
    <x v="3"/>
    <s v="2024-05-21"/>
    <n v="99"/>
  </r>
  <r>
    <s v="S0060"/>
    <s v="Pooja"/>
    <s v="Kumar"/>
    <x v="1"/>
    <n v="20"/>
    <x v="2"/>
    <s v="A"/>
    <x v="1"/>
    <s v="2024-01-01"/>
    <n v="49"/>
  </r>
  <r>
    <s v="S0061"/>
    <s v="Karan"/>
    <s v="Das"/>
    <x v="1"/>
    <n v="17"/>
    <x v="2"/>
    <s v="D"/>
    <x v="0"/>
    <s v="2025-07-17"/>
    <n v="64"/>
  </r>
  <r>
    <s v="S0062"/>
    <s v="Rahul"/>
    <s v="Roy"/>
    <x v="0"/>
    <n v="14"/>
    <x v="0"/>
    <s v="C"/>
    <x v="0"/>
    <s v="2024-10-01"/>
    <n v="45"/>
  </r>
  <r>
    <s v="S0063"/>
    <s v="Amit"/>
    <s v="Ghosh"/>
    <x v="0"/>
    <n v="17"/>
    <x v="1"/>
    <s v="D"/>
    <x v="2"/>
    <s v="2024-09-04"/>
    <n v="82"/>
  </r>
  <r>
    <s v="S0064"/>
    <s v="Sneha"/>
    <s v="Singh"/>
    <x v="1"/>
    <n v="18"/>
    <x v="2"/>
    <s v="D"/>
    <x v="5"/>
    <s v="2025-06-06"/>
    <n v="60"/>
  </r>
  <r>
    <s v="S0065"/>
    <s v="Priya"/>
    <s v="Sharma"/>
    <x v="0"/>
    <n v="14"/>
    <x v="0"/>
    <s v="A"/>
    <x v="6"/>
    <s v="2023-01-05"/>
    <n v="51"/>
  </r>
  <r>
    <s v="S0066"/>
    <s v="Riya"/>
    <s v="Singh"/>
    <x v="1"/>
    <n v="18"/>
    <x v="2"/>
    <s v="A"/>
    <x v="4"/>
    <s v="2025-05-24"/>
    <n v="54"/>
  </r>
  <r>
    <s v="S0067"/>
    <s v="Neha"/>
    <s v="Singh"/>
    <x v="1"/>
    <n v="20"/>
    <x v="2"/>
    <s v="B"/>
    <x v="6"/>
    <s v="2024-12-01"/>
    <n v="76"/>
  </r>
  <r>
    <s v="S0068"/>
    <s v="Priya"/>
    <s v="Patel"/>
    <x v="1"/>
    <n v="19"/>
    <x v="1"/>
    <s v="C"/>
    <x v="6"/>
    <s v="2025-07-15"/>
    <n v="99"/>
  </r>
  <r>
    <s v="S0069"/>
    <s v="Priya"/>
    <s v="Patel"/>
    <x v="1"/>
    <n v="16"/>
    <x v="3"/>
    <s v="D"/>
    <x v="2"/>
    <s v="2023-07-19"/>
    <n v="75"/>
  </r>
  <r>
    <s v="S0070"/>
    <s v="Sneha"/>
    <s v="Gupta"/>
    <x v="1"/>
    <n v="18"/>
    <x v="0"/>
    <s v="D"/>
    <x v="5"/>
    <s v="2024-07-07"/>
    <n v="98"/>
  </r>
  <r>
    <s v="S0071"/>
    <s v="Sneha"/>
    <s v="Singh"/>
    <x v="1"/>
    <n v="17"/>
    <x v="1"/>
    <s v="B"/>
    <x v="3"/>
    <s v="2024-01-25"/>
    <n v="49"/>
  </r>
  <r>
    <s v="S0072"/>
    <s v="Neha"/>
    <s v="Singh"/>
    <x v="1"/>
    <n v="14"/>
    <x v="1"/>
    <s v="C"/>
    <x v="6"/>
    <s v="2025-08-28"/>
    <n v="45"/>
  </r>
  <r>
    <s v="S0073"/>
    <s v="Arjun"/>
    <s v="Paul"/>
    <x v="1"/>
    <n v="17"/>
    <x v="0"/>
    <s v="C"/>
    <x v="5"/>
    <s v="2024-06-26"/>
    <n v="66"/>
  </r>
  <r>
    <s v="S0074"/>
    <s v="Karan"/>
    <s v="Gupta"/>
    <x v="1"/>
    <n v="15"/>
    <x v="2"/>
    <s v="C"/>
    <x v="1"/>
    <s v="2023-08-21"/>
    <n v="88"/>
  </r>
  <r>
    <s v="S0075"/>
    <s v="Amit"/>
    <s v="Das"/>
    <x v="1"/>
    <n v="14"/>
    <x v="1"/>
    <s v="A"/>
    <x v="3"/>
    <s v="2025-02-17"/>
    <n v="63"/>
  </r>
  <r>
    <s v="S0076"/>
    <s v="Vikram"/>
    <s v="Sharma"/>
    <x v="0"/>
    <n v="19"/>
    <x v="3"/>
    <s v="C"/>
    <x v="6"/>
    <s v="2024-11-20"/>
    <n v="78"/>
  </r>
  <r>
    <s v="S0077"/>
    <s v="Karan"/>
    <s v="Das"/>
    <x v="1"/>
    <n v="20"/>
    <x v="2"/>
    <s v="D"/>
    <x v="7"/>
    <s v="2024-09-25"/>
    <n v="76"/>
  </r>
  <r>
    <s v="S0078"/>
    <s v="Karan"/>
    <s v="Ghosh"/>
    <x v="0"/>
    <n v="18"/>
    <x v="1"/>
    <s v="C"/>
    <x v="7"/>
    <s v="2024-04-10"/>
    <n v="67"/>
  </r>
  <r>
    <s v="S0079"/>
    <s v="Sneha"/>
    <s v="Sharma"/>
    <x v="1"/>
    <n v="14"/>
    <x v="0"/>
    <s v="D"/>
    <x v="6"/>
    <s v="2024-01-21"/>
    <n v="97"/>
  </r>
  <r>
    <s v="S0080"/>
    <s v="Priya"/>
    <s v="Paul"/>
    <x v="0"/>
    <n v="18"/>
    <x v="1"/>
    <s v="D"/>
    <x v="2"/>
    <s v="2025-06-29"/>
    <n v="89"/>
  </r>
  <r>
    <s v="S0081"/>
    <s v="Arjun"/>
    <s v="Gupta"/>
    <x v="1"/>
    <n v="15"/>
    <x v="2"/>
    <s v="B"/>
    <x v="4"/>
    <s v="2023-10-12"/>
    <n v="70"/>
  </r>
  <r>
    <s v="S0082"/>
    <s v="Neha"/>
    <s v="Mishra"/>
    <x v="0"/>
    <n v="17"/>
    <x v="1"/>
    <s v="D"/>
    <x v="1"/>
    <s v="2025-01-16"/>
    <n v="90"/>
  </r>
  <r>
    <s v="S0083"/>
    <s v="Pooja"/>
    <s v="Roy"/>
    <x v="0"/>
    <n v="17"/>
    <x v="2"/>
    <s v="B"/>
    <x v="5"/>
    <s v="2024-03-04"/>
    <n v="59"/>
  </r>
  <r>
    <s v="S0084"/>
    <s v="Riya"/>
    <s v="Das"/>
    <x v="1"/>
    <n v="19"/>
    <x v="2"/>
    <s v="B"/>
    <x v="6"/>
    <s v="2025-08-07"/>
    <n v="76"/>
  </r>
  <r>
    <s v="S0085"/>
    <s v="Priya"/>
    <s v="Singh"/>
    <x v="1"/>
    <n v="18"/>
    <x v="3"/>
    <s v="C"/>
    <x v="1"/>
    <s v="2023-12-24"/>
    <n v="78"/>
  </r>
  <r>
    <s v="S0086"/>
    <s v="Neha"/>
    <s v="Das"/>
    <x v="1"/>
    <n v="16"/>
    <x v="2"/>
    <s v="B"/>
    <x v="3"/>
    <s v="2024-08-28"/>
    <n v="57"/>
  </r>
  <r>
    <s v="S0087"/>
    <s v="Priya"/>
    <s v="Roy"/>
    <x v="1"/>
    <n v="17"/>
    <x v="3"/>
    <s v="B"/>
    <x v="7"/>
    <s v="2025-07-13"/>
    <n v="74"/>
  </r>
  <r>
    <s v="S0088"/>
    <s v="Rahul"/>
    <s v="Kumar"/>
    <x v="1"/>
    <n v="19"/>
    <x v="1"/>
    <s v="B"/>
    <x v="3"/>
    <s v="2023-06-28"/>
    <n v="84"/>
  </r>
  <r>
    <s v="S0089"/>
    <s v="Rahul"/>
    <s v="Mishra"/>
    <x v="1"/>
    <n v="17"/>
    <x v="0"/>
    <s v="C"/>
    <x v="5"/>
    <s v="2025-01-25"/>
    <n v="46"/>
  </r>
  <r>
    <s v="S0090"/>
    <s v="Vikram"/>
    <s v="Das"/>
    <x v="0"/>
    <n v="19"/>
    <x v="2"/>
    <s v="B"/>
    <x v="4"/>
    <s v="2025-08-01"/>
    <n v="63"/>
  </r>
  <r>
    <s v="S0091"/>
    <s v="Arjun"/>
    <s v="Gupta"/>
    <x v="0"/>
    <n v="14"/>
    <x v="0"/>
    <s v="C"/>
    <x v="6"/>
    <s v="2025-04-15"/>
    <n v="72"/>
  </r>
  <r>
    <s v="S0092"/>
    <s v="Vikram"/>
    <s v="Roy"/>
    <x v="0"/>
    <n v="18"/>
    <x v="3"/>
    <s v="A"/>
    <x v="4"/>
    <s v="2023-07-28"/>
    <n v="87"/>
  </r>
  <r>
    <s v="S0093"/>
    <s v="Neha"/>
    <s v="Sharma"/>
    <x v="0"/>
    <n v="20"/>
    <x v="2"/>
    <s v="B"/>
    <x v="4"/>
    <s v="2024-11-23"/>
    <n v="55"/>
  </r>
  <r>
    <s v="S0094"/>
    <s v="Vikram"/>
    <s v="Patel"/>
    <x v="0"/>
    <n v="17"/>
    <x v="1"/>
    <s v="A"/>
    <x v="2"/>
    <s v="2024-02-21"/>
    <n v="37"/>
  </r>
  <r>
    <s v="S0095"/>
    <s v="Vikram"/>
    <s v="Roy"/>
    <x v="0"/>
    <n v="17"/>
    <x v="3"/>
    <s v="C"/>
    <x v="2"/>
    <s v="2024-10-10"/>
    <n v="53"/>
  </r>
  <r>
    <s v="S0096"/>
    <s v="Karan"/>
    <s v="Roy"/>
    <x v="1"/>
    <n v="18"/>
    <x v="2"/>
    <s v="D"/>
    <x v="6"/>
    <s v="2023-03-29"/>
    <n v="88"/>
  </r>
  <r>
    <s v="S0097"/>
    <s v="Sneha"/>
    <s v="Gupta"/>
    <x v="0"/>
    <n v="14"/>
    <x v="2"/>
    <s v="D"/>
    <x v="3"/>
    <s v="2025-09-05"/>
    <n v="66"/>
  </r>
  <r>
    <s v="S0098"/>
    <s v="Sneha"/>
    <s v="Kumar"/>
    <x v="1"/>
    <n v="14"/>
    <x v="1"/>
    <s v="C"/>
    <x v="4"/>
    <s v="2024-04-17"/>
    <n v="65"/>
  </r>
  <r>
    <s v="S0099"/>
    <s v="Karan"/>
    <s v="Roy"/>
    <x v="1"/>
    <n v="16"/>
    <x v="0"/>
    <s v="C"/>
    <x v="1"/>
    <s v="2024-04-04"/>
    <n v="71"/>
  </r>
  <r>
    <s v="S0100"/>
    <s v="Vikram"/>
    <s v="Patel"/>
    <x v="0"/>
    <n v="18"/>
    <x v="3"/>
    <s v="D"/>
    <x v="0"/>
    <s v="2023-08-07"/>
    <n v="48"/>
  </r>
  <r>
    <s v="S0101"/>
    <s v="Riya"/>
    <s v="Sharma"/>
    <x v="1"/>
    <n v="15"/>
    <x v="1"/>
    <s v="B"/>
    <x v="4"/>
    <s v="2024-05-22"/>
    <n v="100"/>
  </r>
  <r>
    <s v="S0102"/>
    <s v="Karan"/>
    <s v="Mishra"/>
    <x v="1"/>
    <n v="15"/>
    <x v="3"/>
    <s v="D"/>
    <x v="6"/>
    <s v="2025-04-25"/>
    <n v="72"/>
  </r>
  <r>
    <s v="S0103"/>
    <s v="Riya"/>
    <s v="Das"/>
    <x v="1"/>
    <n v="18"/>
    <x v="1"/>
    <s v="A"/>
    <x v="2"/>
    <s v="2025-07-22"/>
    <n v="74"/>
  </r>
  <r>
    <s v="S0104"/>
    <s v="Priya"/>
    <s v="Patel"/>
    <x v="1"/>
    <n v="14"/>
    <x v="1"/>
    <s v="B"/>
    <x v="4"/>
    <s v="2025-08-30"/>
    <n v="66"/>
  </r>
  <r>
    <s v="S0105"/>
    <s v="Vikram"/>
    <s v="Singh"/>
    <x v="1"/>
    <n v="16"/>
    <x v="3"/>
    <s v="A"/>
    <x v="1"/>
    <s v="2023-02-23"/>
    <n v="90"/>
  </r>
  <r>
    <s v="S0106"/>
    <s v="Karan"/>
    <s v="Roy"/>
    <x v="0"/>
    <n v="16"/>
    <x v="1"/>
    <s v="C"/>
    <x v="4"/>
    <s v="2025-03-04"/>
    <n v="50"/>
  </r>
  <r>
    <s v="S0107"/>
    <s v="Amit"/>
    <s v="Roy"/>
    <x v="0"/>
    <n v="15"/>
    <x v="2"/>
    <s v="D"/>
    <x v="1"/>
    <s v="2023-11-11"/>
    <n v="36"/>
  </r>
  <r>
    <s v="S0108"/>
    <s v="Arjun"/>
    <s v="Ghosh"/>
    <x v="1"/>
    <n v="20"/>
    <x v="1"/>
    <s v="C"/>
    <x v="4"/>
    <s v="2024-08-12"/>
    <n v="48"/>
  </r>
  <r>
    <s v="S0109"/>
    <s v="Vikram"/>
    <s v="Ghosh"/>
    <x v="1"/>
    <n v="20"/>
    <x v="3"/>
    <s v="C"/>
    <x v="5"/>
    <s v="2025-07-08"/>
    <n v="52"/>
  </r>
  <r>
    <s v="S0110"/>
    <s v="Riya"/>
    <s v="Sharma"/>
    <x v="0"/>
    <n v="14"/>
    <x v="3"/>
    <s v="C"/>
    <x v="5"/>
    <s v="2023-01-10"/>
    <n v="62"/>
  </r>
  <r>
    <s v="S0111"/>
    <s v="Karan"/>
    <s v="Kumar"/>
    <x v="0"/>
    <n v="15"/>
    <x v="3"/>
    <s v="D"/>
    <x v="2"/>
    <s v="2023-12-04"/>
    <n v="63"/>
  </r>
  <r>
    <s v="S0112"/>
    <s v="Priya"/>
    <s v="Das"/>
    <x v="0"/>
    <n v="15"/>
    <x v="3"/>
    <s v="D"/>
    <x v="5"/>
    <s v="2024-05-12"/>
    <n v="58"/>
  </r>
  <r>
    <s v="S0113"/>
    <s v="Sneha"/>
    <s v="Sharma"/>
    <x v="1"/>
    <n v="14"/>
    <x v="2"/>
    <s v="C"/>
    <x v="6"/>
    <s v="2024-10-08"/>
    <n v="41"/>
  </r>
  <r>
    <s v="S0114"/>
    <s v="Riya"/>
    <s v="Patel"/>
    <x v="0"/>
    <n v="19"/>
    <x v="3"/>
    <s v="B"/>
    <x v="4"/>
    <s v="2023-04-03"/>
    <n v="41"/>
  </r>
  <r>
    <s v="S0115"/>
    <s v="Vikram"/>
    <s v="Roy"/>
    <x v="1"/>
    <n v="16"/>
    <x v="1"/>
    <s v="C"/>
    <x v="2"/>
    <s v="2023-08-18"/>
    <n v="47"/>
  </r>
  <r>
    <s v="S0116"/>
    <s v="Pooja"/>
    <s v="Singh"/>
    <x v="1"/>
    <n v="15"/>
    <x v="2"/>
    <s v="C"/>
    <x v="2"/>
    <s v="2023-07-21"/>
    <n v="76"/>
  </r>
  <r>
    <s v="S0117"/>
    <s v="Riya"/>
    <s v="Roy"/>
    <x v="0"/>
    <n v="15"/>
    <x v="2"/>
    <s v="C"/>
    <x v="1"/>
    <s v="2023-08-11"/>
    <n v="50"/>
  </r>
  <r>
    <s v="S0118"/>
    <s v="Neha"/>
    <s v="Kumar"/>
    <x v="0"/>
    <n v="19"/>
    <x v="2"/>
    <s v="A"/>
    <x v="6"/>
    <s v="2025-06-09"/>
    <n v="63"/>
  </r>
  <r>
    <s v="S0119"/>
    <s v="Rahul"/>
    <s v="Singh"/>
    <x v="1"/>
    <n v="14"/>
    <x v="1"/>
    <s v="B"/>
    <x v="2"/>
    <s v="2024-03-27"/>
    <n v="62"/>
  </r>
  <r>
    <s v="S0120"/>
    <s v="Pooja"/>
    <s v="Kumar"/>
    <x v="0"/>
    <n v="14"/>
    <x v="3"/>
    <s v="A"/>
    <x v="3"/>
    <s v="2023-12-27"/>
    <n v="51"/>
  </r>
  <r>
    <s v="S0121"/>
    <s v="Rahul"/>
    <s v="Patel"/>
    <x v="0"/>
    <n v="18"/>
    <x v="1"/>
    <s v="A"/>
    <x v="7"/>
    <s v="2023-05-14"/>
    <n v="98"/>
  </r>
  <r>
    <s v="S0122"/>
    <s v="Arjun"/>
    <s v="Kumar"/>
    <x v="1"/>
    <n v="15"/>
    <x v="3"/>
    <s v="C"/>
    <x v="3"/>
    <s v="2024-12-09"/>
    <n v="66"/>
  </r>
  <r>
    <s v="S0123"/>
    <s v="Vikram"/>
    <s v="Ghosh"/>
    <x v="1"/>
    <n v="16"/>
    <x v="3"/>
    <s v="A"/>
    <x v="4"/>
    <s v="2024-08-27"/>
    <n v="95"/>
  </r>
  <r>
    <s v="S0124"/>
    <s v="Amit"/>
    <s v="Kumar"/>
    <x v="1"/>
    <n v="14"/>
    <x v="3"/>
    <s v="D"/>
    <x v="5"/>
    <s v="2023-01-30"/>
    <n v="64"/>
  </r>
  <r>
    <s v="S0125"/>
    <s v="Riya"/>
    <s v="Roy"/>
    <x v="1"/>
    <n v="14"/>
    <x v="1"/>
    <s v="A"/>
    <x v="7"/>
    <s v="2023-04-04"/>
    <n v="48"/>
  </r>
  <r>
    <s v="S0126"/>
    <s v="Karan"/>
    <s v="Ghosh"/>
    <x v="1"/>
    <n v="17"/>
    <x v="2"/>
    <s v="D"/>
    <x v="3"/>
    <s v="2024-01-06"/>
    <n v="62"/>
  </r>
  <r>
    <s v="S0127"/>
    <s v="Sneha"/>
    <s v="Singh"/>
    <x v="1"/>
    <n v="16"/>
    <x v="2"/>
    <s v="D"/>
    <x v="6"/>
    <s v="2023-08-29"/>
    <n v="97"/>
  </r>
  <r>
    <s v="S0128"/>
    <s v="Pooja"/>
    <s v="Mishra"/>
    <x v="1"/>
    <n v="20"/>
    <x v="2"/>
    <s v="C"/>
    <x v="2"/>
    <s v="2024-05-30"/>
    <n v="100"/>
  </r>
  <r>
    <s v="S0129"/>
    <s v="Neha"/>
    <s v="Gupta"/>
    <x v="0"/>
    <n v="20"/>
    <x v="2"/>
    <s v="D"/>
    <x v="5"/>
    <s v="2024-07-16"/>
    <n v="99"/>
  </r>
  <r>
    <s v="S0130"/>
    <s v="Rahul"/>
    <s v="Das"/>
    <x v="1"/>
    <n v="20"/>
    <x v="0"/>
    <s v="C"/>
    <x v="1"/>
    <s v="2025-08-05"/>
    <n v="100"/>
  </r>
  <r>
    <s v="S0131"/>
    <s v="Priya"/>
    <s v="Mishra"/>
    <x v="1"/>
    <n v="20"/>
    <x v="0"/>
    <s v="A"/>
    <x v="2"/>
    <s v="2025-08-29"/>
    <n v="56"/>
  </r>
  <r>
    <s v="S0132"/>
    <s v="Sneha"/>
    <s v="Ghosh"/>
    <x v="1"/>
    <n v="18"/>
    <x v="2"/>
    <s v="B"/>
    <x v="1"/>
    <s v="2023-11-08"/>
    <n v="66"/>
  </r>
  <r>
    <s v="S0133"/>
    <s v="Priya"/>
    <s v="Ghosh"/>
    <x v="0"/>
    <n v="14"/>
    <x v="1"/>
    <s v="B"/>
    <x v="1"/>
    <s v="2023-05-13"/>
    <n v="66"/>
  </r>
  <r>
    <s v="S0134"/>
    <s v="Arjun"/>
    <s v="Kumar"/>
    <x v="1"/>
    <n v="15"/>
    <x v="1"/>
    <s v="A"/>
    <x v="5"/>
    <s v="2024-11-01"/>
    <n v="77"/>
  </r>
  <r>
    <s v="S0135"/>
    <s v="Karan"/>
    <s v="Das"/>
    <x v="1"/>
    <n v="16"/>
    <x v="0"/>
    <s v="C"/>
    <x v="6"/>
    <s v="2023-01-20"/>
    <n v="47"/>
  </r>
  <r>
    <s v="S0136"/>
    <s v="Karan"/>
    <s v="Kumar"/>
    <x v="0"/>
    <n v="18"/>
    <x v="0"/>
    <s v="C"/>
    <x v="4"/>
    <s v="2023-05-31"/>
    <n v="57"/>
  </r>
  <r>
    <s v="S0137"/>
    <s v="Priya"/>
    <s v="Mishra"/>
    <x v="1"/>
    <n v="16"/>
    <x v="2"/>
    <s v="A"/>
    <x v="5"/>
    <s v="2023-11-13"/>
    <n v="67"/>
  </r>
  <r>
    <s v="S0138"/>
    <s v="Priya"/>
    <s v="Paul"/>
    <x v="1"/>
    <n v="14"/>
    <x v="1"/>
    <s v="C"/>
    <x v="6"/>
    <s v="2024-08-09"/>
    <n v="44"/>
  </r>
  <r>
    <s v="S0139"/>
    <s v="Vikram"/>
    <s v="Ghosh"/>
    <x v="0"/>
    <n v="15"/>
    <x v="3"/>
    <s v="B"/>
    <x v="5"/>
    <s v="2024-11-21"/>
    <n v="35"/>
  </r>
  <r>
    <s v="S0140"/>
    <s v="Karan"/>
    <s v="Kumar"/>
    <x v="1"/>
    <n v="20"/>
    <x v="3"/>
    <s v="B"/>
    <x v="3"/>
    <s v="2024-07-03"/>
    <n v="52"/>
  </r>
  <r>
    <s v="S0141"/>
    <s v="Riya"/>
    <s v="Mishra"/>
    <x v="0"/>
    <n v="18"/>
    <x v="2"/>
    <s v="A"/>
    <x v="7"/>
    <s v="2023-12-19"/>
    <n v="86"/>
  </r>
  <r>
    <s v="S0142"/>
    <s v="Rahul"/>
    <s v="Gupta"/>
    <x v="1"/>
    <n v="16"/>
    <x v="1"/>
    <s v="A"/>
    <x v="7"/>
    <s v="2025-04-08"/>
    <n v="66"/>
  </r>
  <r>
    <s v="S0143"/>
    <s v="Neha"/>
    <s v="Paul"/>
    <x v="0"/>
    <n v="14"/>
    <x v="3"/>
    <s v="B"/>
    <x v="2"/>
    <s v="2023-11-04"/>
    <n v="93"/>
  </r>
  <r>
    <s v="S0144"/>
    <s v="Karan"/>
    <s v="Sharma"/>
    <x v="1"/>
    <n v="16"/>
    <x v="2"/>
    <s v="A"/>
    <x v="6"/>
    <s v="2023-05-18"/>
    <n v="54"/>
  </r>
  <r>
    <s v="S0145"/>
    <s v="Riya"/>
    <s v="Gupta"/>
    <x v="0"/>
    <n v="20"/>
    <x v="2"/>
    <s v="A"/>
    <x v="0"/>
    <s v="2025-04-12"/>
    <n v="75"/>
  </r>
  <r>
    <s v="S0146"/>
    <s v="Pooja"/>
    <s v="Mishra"/>
    <x v="0"/>
    <n v="20"/>
    <x v="2"/>
    <s v="A"/>
    <x v="6"/>
    <s v="2024-12-25"/>
    <n v="40"/>
  </r>
  <r>
    <s v="S0147"/>
    <s v="Sneha"/>
    <s v="Roy"/>
    <x v="1"/>
    <n v="15"/>
    <x v="2"/>
    <s v="C"/>
    <x v="6"/>
    <s v="2023-05-15"/>
    <n v="83"/>
  </r>
  <r>
    <s v="S0148"/>
    <s v="Pooja"/>
    <s v="Singh"/>
    <x v="1"/>
    <n v="19"/>
    <x v="0"/>
    <s v="C"/>
    <x v="1"/>
    <s v="2025-02-17"/>
    <n v="93"/>
  </r>
  <r>
    <s v="S0149"/>
    <s v="Priya"/>
    <s v="Paul"/>
    <x v="1"/>
    <n v="16"/>
    <x v="3"/>
    <s v="A"/>
    <x v="7"/>
    <s v="2024-06-06"/>
    <n v="42"/>
  </r>
  <r>
    <s v="S0150"/>
    <s v="Pooja"/>
    <s v="Paul"/>
    <x v="1"/>
    <n v="18"/>
    <x v="3"/>
    <s v="A"/>
    <x v="7"/>
    <s v="2024-12-30"/>
    <n v="97"/>
  </r>
  <r>
    <s v="S0151"/>
    <s v="Sneha"/>
    <s v="Patel"/>
    <x v="1"/>
    <n v="19"/>
    <x v="1"/>
    <s v="D"/>
    <x v="6"/>
    <s v="2025-01-25"/>
    <n v="68"/>
  </r>
  <r>
    <s v="S0152"/>
    <s v="Karan"/>
    <s v="Singh"/>
    <x v="1"/>
    <n v="19"/>
    <x v="2"/>
    <s v="A"/>
    <x v="6"/>
    <s v="2024-12-31"/>
    <n v="51"/>
  </r>
  <r>
    <s v="S0153"/>
    <s v="Karan"/>
    <s v="Kumar"/>
    <x v="0"/>
    <n v="18"/>
    <x v="2"/>
    <s v="A"/>
    <x v="3"/>
    <s v="2023-07-26"/>
    <n v="64"/>
  </r>
  <r>
    <s v="S0154"/>
    <s v="Riya"/>
    <s v="Gupta"/>
    <x v="0"/>
    <n v="14"/>
    <x v="2"/>
    <s v="D"/>
    <x v="3"/>
    <s v="2024-05-11"/>
    <n v="82"/>
  </r>
  <r>
    <s v="S0155"/>
    <s v="Vikram"/>
    <s v="Ghosh"/>
    <x v="0"/>
    <n v="19"/>
    <x v="3"/>
    <s v="B"/>
    <x v="4"/>
    <s v="2024-10-18"/>
    <n v="35"/>
  </r>
  <r>
    <s v="S0156"/>
    <s v="Priya"/>
    <s v="Roy"/>
    <x v="1"/>
    <n v="15"/>
    <x v="2"/>
    <s v="B"/>
    <x v="2"/>
    <s v="2025-03-29"/>
    <n v="49"/>
  </r>
  <r>
    <s v="S0157"/>
    <s v="Karan"/>
    <s v="Sharma"/>
    <x v="1"/>
    <n v="15"/>
    <x v="3"/>
    <s v="A"/>
    <x v="2"/>
    <s v="2025-01-20"/>
    <n v="37"/>
  </r>
  <r>
    <s v="S0158"/>
    <s v="Neha"/>
    <s v="Singh"/>
    <x v="1"/>
    <n v="18"/>
    <x v="1"/>
    <s v="C"/>
    <x v="3"/>
    <s v="2024-07-17"/>
    <n v="53"/>
  </r>
  <r>
    <s v="S0159"/>
    <s v="Vikram"/>
    <s v="Mishra"/>
    <x v="0"/>
    <n v="15"/>
    <x v="0"/>
    <s v="D"/>
    <x v="1"/>
    <s v="2023-04-27"/>
    <n v="50"/>
  </r>
  <r>
    <s v="S0160"/>
    <s v="Arjun"/>
    <s v="Gupta"/>
    <x v="1"/>
    <n v="20"/>
    <x v="2"/>
    <s v="D"/>
    <x v="5"/>
    <s v="2023-07-25"/>
    <n v="53"/>
  </r>
  <r>
    <s v="S0161"/>
    <s v="Vikram"/>
    <s v="Ghosh"/>
    <x v="0"/>
    <n v="15"/>
    <x v="1"/>
    <s v="B"/>
    <x v="1"/>
    <s v="2023-08-10"/>
    <n v="37"/>
  </r>
  <r>
    <s v="S0162"/>
    <s v="Karan"/>
    <s v="Roy"/>
    <x v="0"/>
    <n v="16"/>
    <x v="2"/>
    <s v="D"/>
    <x v="1"/>
    <s v="2024-12-06"/>
    <n v="66"/>
  </r>
  <r>
    <s v="S0163"/>
    <s v="Vikram"/>
    <s v="Sharma"/>
    <x v="0"/>
    <n v="19"/>
    <x v="3"/>
    <s v="C"/>
    <x v="7"/>
    <s v="2025-01-29"/>
    <n v="64"/>
  </r>
  <r>
    <s v="S0164"/>
    <s v="Sneha"/>
    <s v="Singh"/>
    <x v="0"/>
    <n v="20"/>
    <x v="0"/>
    <s v="A"/>
    <x v="0"/>
    <s v="2024-06-03"/>
    <n v="49"/>
  </r>
  <r>
    <s v="S0165"/>
    <s v="Sneha"/>
    <s v="Sharma"/>
    <x v="1"/>
    <n v="15"/>
    <x v="0"/>
    <s v="B"/>
    <x v="3"/>
    <s v="2023-03-09"/>
    <n v="71"/>
  </r>
  <r>
    <s v="S0166"/>
    <s v="Sneha"/>
    <s v="Gupta"/>
    <x v="0"/>
    <n v="16"/>
    <x v="0"/>
    <s v="A"/>
    <x v="0"/>
    <s v="2024-08-16"/>
    <n v="72"/>
  </r>
  <r>
    <s v="S0167"/>
    <s v="Neha"/>
    <s v="Paul"/>
    <x v="1"/>
    <n v="15"/>
    <x v="0"/>
    <s v="A"/>
    <x v="1"/>
    <s v="2024-02-27"/>
    <n v="99"/>
  </r>
  <r>
    <s v="S0168"/>
    <s v="Karan"/>
    <s v="Roy"/>
    <x v="1"/>
    <n v="17"/>
    <x v="1"/>
    <s v="C"/>
    <x v="6"/>
    <s v="2025-05-08"/>
    <n v="96"/>
  </r>
  <r>
    <s v="S0169"/>
    <s v="Neha"/>
    <s v="Patel"/>
    <x v="1"/>
    <n v="19"/>
    <x v="2"/>
    <s v="B"/>
    <x v="1"/>
    <s v="2024-08-11"/>
    <n v="87"/>
  </r>
  <r>
    <s v="S0170"/>
    <s v="Arjun"/>
    <s v="Das"/>
    <x v="0"/>
    <n v="15"/>
    <x v="3"/>
    <s v="B"/>
    <x v="6"/>
    <s v="2024-02-28"/>
    <n v="78"/>
  </r>
  <r>
    <s v="S0171"/>
    <s v="Neha"/>
    <s v="Kumar"/>
    <x v="0"/>
    <n v="18"/>
    <x v="3"/>
    <s v="D"/>
    <x v="4"/>
    <s v="2023-08-15"/>
    <n v="62"/>
  </r>
  <r>
    <s v="S0172"/>
    <s v="Neha"/>
    <s v="Singh"/>
    <x v="0"/>
    <n v="20"/>
    <x v="3"/>
    <s v="A"/>
    <x v="3"/>
    <s v="2023-08-21"/>
    <n v="79"/>
  </r>
  <r>
    <s v="S0173"/>
    <s v="Amit"/>
    <s v="Gupta"/>
    <x v="1"/>
    <n v="17"/>
    <x v="2"/>
    <s v="A"/>
    <x v="2"/>
    <s v="2023-12-12"/>
    <n v="66"/>
  </r>
  <r>
    <s v="S0174"/>
    <s v="Sneha"/>
    <s v="Roy"/>
    <x v="1"/>
    <n v="18"/>
    <x v="3"/>
    <s v="A"/>
    <x v="6"/>
    <s v="2023-12-28"/>
    <n v="67"/>
  </r>
  <r>
    <s v="S0175"/>
    <s v="Arjun"/>
    <s v="Sharma"/>
    <x v="0"/>
    <n v="16"/>
    <x v="0"/>
    <s v="C"/>
    <x v="6"/>
    <s v="2024-10-03"/>
    <n v="72"/>
  </r>
  <r>
    <s v="S0176"/>
    <s v="Riya"/>
    <s v="Das"/>
    <x v="1"/>
    <n v="16"/>
    <x v="1"/>
    <s v="D"/>
    <x v="1"/>
    <s v="2024-07-27"/>
    <n v="39"/>
  </r>
  <r>
    <s v="S0177"/>
    <s v="Vikram"/>
    <s v="Mishra"/>
    <x v="0"/>
    <n v="18"/>
    <x v="2"/>
    <s v="D"/>
    <x v="5"/>
    <s v="2023-12-07"/>
    <n v="74"/>
  </r>
  <r>
    <s v="S0178"/>
    <s v="Pooja"/>
    <s v="Paul"/>
    <x v="1"/>
    <n v="19"/>
    <x v="3"/>
    <s v="C"/>
    <x v="6"/>
    <s v="2025-07-13"/>
    <n v="88"/>
  </r>
  <r>
    <s v="S0179"/>
    <s v="Riya"/>
    <s v="Patel"/>
    <x v="1"/>
    <n v="14"/>
    <x v="3"/>
    <s v="A"/>
    <x v="7"/>
    <s v="2024-03-21"/>
    <n v="54"/>
  </r>
  <r>
    <s v="S0180"/>
    <s v="Vikram"/>
    <s v="Das"/>
    <x v="0"/>
    <n v="19"/>
    <x v="1"/>
    <s v="D"/>
    <x v="5"/>
    <s v="2023-12-31"/>
    <n v="46"/>
  </r>
  <r>
    <s v="S0181"/>
    <s v="Vikram"/>
    <s v="Sharma"/>
    <x v="0"/>
    <n v="15"/>
    <x v="0"/>
    <s v="A"/>
    <x v="3"/>
    <s v="2024-03-16"/>
    <n v="89"/>
  </r>
  <r>
    <s v="S0182"/>
    <s v="Sneha"/>
    <s v="Mishra"/>
    <x v="0"/>
    <n v="18"/>
    <x v="3"/>
    <s v="D"/>
    <x v="3"/>
    <s v="2023-10-27"/>
    <n v="65"/>
  </r>
  <r>
    <s v="S0183"/>
    <s v="Karan"/>
    <s v="Paul"/>
    <x v="0"/>
    <n v="20"/>
    <x v="2"/>
    <s v="D"/>
    <x v="5"/>
    <s v="2024-10-25"/>
    <n v="91"/>
  </r>
  <r>
    <s v="S0184"/>
    <s v="Neha"/>
    <s v="Ghosh"/>
    <x v="0"/>
    <n v="17"/>
    <x v="0"/>
    <s v="C"/>
    <x v="3"/>
    <s v="2024-09-10"/>
    <n v="78"/>
  </r>
  <r>
    <s v="S0185"/>
    <s v="Sneha"/>
    <s v="Ghosh"/>
    <x v="1"/>
    <n v="15"/>
    <x v="3"/>
    <s v="C"/>
    <x v="4"/>
    <s v="2023-01-27"/>
    <n v="84"/>
  </r>
  <r>
    <s v="S0186"/>
    <s v="Sneha"/>
    <s v="Paul"/>
    <x v="1"/>
    <n v="19"/>
    <x v="2"/>
    <s v="C"/>
    <x v="5"/>
    <s v="2023-06-22"/>
    <n v="37"/>
  </r>
  <r>
    <s v="S0187"/>
    <s v="Amit"/>
    <s v="Das"/>
    <x v="1"/>
    <n v="18"/>
    <x v="1"/>
    <s v="D"/>
    <x v="3"/>
    <s v="2025-09-11"/>
    <n v="70"/>
  </r>
  <r>
    <s v="S0188"/>
    <s v="Priya"/>
    <s v="Paul"/>
    <x v="1"/>
    <n v="16"/>
    <x v="0"/>
    <s v="B"/>
    <x v="4"/>
    <s v="2023-09-19"/>
    <n v="100"/>
  </r>
  <r>
    <s v="S0189"/>
    <s v="Arjun"/>
    <s v="Sharma"/>
    <x v="0"/>
    <n v="17"/>
    <x v="3"/>
    <s v="D"/>
    <x v="5"/>
    <s v="2025-03-19"/>
    <n v="42"/>
  </r>
  <r>
    <s v="S0190"/>
    <s v="Rahul"/>
    <s v="Roy"/>
    <x v="0"/>
    <n v="20"/>
    <x v="2"/>
    <s v="D"/>
    <x v="5"/>
    <s v="2024-01-06"/>
    <n v="68"/>
  </r>
  <r>
    <s v="S0191"/>
    <s v="Amit"/>
    <s v="Gupta"/>
    <x v="1"/>
    <n v="20"/>
    <x v="0"/>
    <s v="C"/>
    <x v="4"/>
    <s v="2025-08-04"/>
    <n v="59"/>
  </r>
  <r>
    <s v="S0192"/>
    <s v="Pooja"/>
    <s v="Gupta"/>
    <x v="0"/>
    <n v="16"/>
    <x v="1"/>
    <s v="A"/>
    <x v="5"/>
    <s v="2023-11-16"/>
    <n v="85"/>
  </r>
  <r>
    <s v="S0193"/>
    <s v="Sneha"/>
    <s v="Gupta"/>
    <x v="0"/>
    <n v="16"/>
    <x v="1"/>
    <s v="A"/>
    <x v="3"/>
    <s v="2025-02-22"/>
    <n v="47"/>
  </r>
  <r>
    <s v="S0194"/>
    <s v="Amit"/>
    <s v="Ghosh"/>
    <x v="1"/>
    <n v="20"/>
    <x v="2"/>
    <s v="D"/>
    <x v="3"/>
    <s v="2023-06-08"/>
    <n v="53"/>
  </r>
  <r>
    <s v="S0195"/>
    <s v="Rahul"/>
    <s v="Roy"/>
    <x v="0"/>
    <n v="15"/>
    <x v="2"/>
    <s v="D"/>
    <x v="1"/>
    <s v="2024-04-20"/>
    <n v="63"/>
  </r>
  <r>
    <s v="S0196"/>
    <s v="Pooja"/>
    <s v="Sharma"/>
    <x v="0"/>
    <n v="16"/>
    <x v="3"/>
    <s v="C"/>
    <x v="5"/>
    <s v="2023-02-12"/>
    <n v="55"/>
  </r>
  <r>
    <s v="S0197"/>
    <s v="Pooja"/>
    <s v="Mishra"/>
    <x v="0"/>
    <n v="14"/>
    <x v="0"/>
    <s v="D"/>
    <x v="0"/>
    <s v="2023-10-21"/>
    <n v="99"/>
  </r>
  <r>
    <s v="S0198"/>
    <s v="Priya"/>
    <s v="Kumar"/>
    <x v="1"/>
    <n v="16"/>
    <x v="1"/>
    <s v="A"/>
    <x v="3"/>
    <s v="2023-07-19"/>
    <n v="89"/>
  </r>
  <r>
    <s v="S0199"/>
    <s v="Pooja"/>
    <s v="Singh"/>
    <x v="1"/>
    <n v="15"/>
    <x v="2"/>
    <s v="B"/>
    <x v="7"/>
    <s v="2024-11-17"/>
    <n v="54"/>
  </r>
  <r>
    <s v="S0200"/>
    <s v="Riya"/>
    <s v="Mishra"/>
    <x v="1"/>
    <n v="16"/>
    <x v="1"/>
    <s v="D"/>
    <x v="1"/>
    <s v="2025-09-07"/>
    <n v="82"/>
  </r>
  <r>
    <s v="S0201"/>
    <s v="Riya"/>
    <s v="Gupta"/>
    <x v="0"/>
    <n v="16"/>
    <x v="3"/>
    <s v="D"/>
    <x v="0"/>
    <s v="2025-09-22"/>
    <n v="86"/>
  </r>
  <r>
    <s v="S0202"/>
    <s v="Riya"/>
    <s v="Singh"/>
    <x v="0"/>
    <n v="18"/>
    <x v="3"/>
    <s v="D"/>
    <x v="2"/>
    <s v="2024-08-14"/>
    <n v="91"/>
  </r>
  <r>
    <s v="S0203"/>
    <s v="Arjun"/>
    <s v="Roy"/>
    <x v="1"/>
    <n v="17"/>
    <x v="3"/>
    <s v="C"/>
    <x v="0"/>
    <s v="2024-09-10"/>
    <n v="53"/>
  </r>
  <r>
    <s v="S0204"/>
    <s v="Rahul"/>
    <s v="Kumar"/>
    <x v="0"/>
    <n v="14"/>
    <x v="2"/>
    <s v="A"/>
    <x v="0"/>
    <s v="2023-12-09"/>
    <n v="47"/>
  </r>
  <r>
    <s v="S0205"/>
    <s v="Priya"/>
    <s v="Singh"/>
    <x v="1"/>
    <n v="20"/>
    <x v="1"/>
    <s v="C"/>
    <x v="2"/>
    <s v="2023-05-03"/>
    <n v="36"/>
  </r>
  <r>
    <s v="S0206"/>
    <s v="Pooja"/>
    <s v="Singh"/>
    <x v="0"/>
    <n v="14"/>
    <x v="3"/>
    <s v="A"/>
    <x v="7"/>
    <s v="2023-03-18"/>
    <n v="62"/>
  </r>
  <r>
    <s v="S0207"/>
    <s v="Sneha"/>
    <s v="Paul"/>
    <x v="0"/>
    <n v="15"/>
    <x v="2"/>
    <s v="D"/>
    <x v="0"/>
    <s v="2024-09-14"/>
    <n v="90"/>
  </r>
  <r>
    <s v="S0208"/>
    <s v="Neha"/>
    <s v="Paul"/>
    <x v="0"/>
    <n v="17"/>
    <x v="0"/>
    <s v="A"/>
    <x v="0"/>
    <s v="2024-03-29"/>
    <n v="91"/>
  </r>
  <r>
    <s v="S0209"/>
    <s v="Amit"/>
    <s v="Mishra"/>
    <x v="0"/>
    <n v="17"/>
    <x v="2"/>
    <s v="C"/>
    <x v="3"/>
    <s v="2025-07-06"/>
    <n v="60"/>
  </r>
  <r>
    <s v="S0210"/>
    <s v="Riya"/>
    <s v="Mishra"/>
    <x v="0"/>
    <n v="20"/>
    <x v="0"/>
    <s v="A"/>
    <x v="5"/>
    <s v="2024-07-07"/>
    <n v="85"/>
  </r>
  <r>
    <s v="S0211"/>
    <s v="Pooja"/>
    <s v="Roy"/>
    <x v="0"/>
    <n v="17"/>
    <x v="0"/>
    <s v="B"/>
    <x v="1"/>
    <s v="2024-01-22"/>
    <n v="58"/>
  </r>
  <r>
    <s v="S0212"/>
    <s v="Pooja"/>
    <s v="Kumar"/>
    <x v="1"/>
    <n v="19"/>
    <x v="1"/>
    <s v="B"/>
    <x v="3"/>
    <s v="2024-06-11"/>
    <n v="65"/>
  </r>
  <r>
    <s v="S0213"/>
    <s v="Riya"/>
    <s v="Gupta"/>
    <x v="1"/>
    <n v="19"/>
    <x v="1"/>
    <s v="C"/>
    <x v="1"/>
    <s v="2023-05-23"/>
    <n v="58"/>
  </r>
  <r>
    <s v="S0214"/>
    <s v="Arjun"/>
    <s v="Paul"/>
    <x v="0"/>
    <n v="18"/>
    <x v="2"/>
    <s v="A"/>
    <x v="7"/>
    <s v="2025-03-14"/>
    <n v="35"/>
  </r>
  <r>
    <s v="S0215"/>
    <s v="Priya"/>
    <s v="Paul"/>
    <x v="1"/>
    <n v="16"/>
    <x v="3"/>
    <s v="C"/>
    <x v="6"/>
    <s v="2024-07-27"/>
    <n v="40"/>
  </r>
  <r>
    <s v="S0216"/>
    <s v="Priya"/>
    <s v="Singh"/>
    <x v="0"/>
    <n v="16"/>
    <x v="2"/>
    <s v="B"/>
    <x v="6"/>
    <s v="2024-01-22"/>
    <n v="60"/>
  </r>
  <r>
    <s v="S0217"/>
    <s v="Sneha"/>
    <s v="Gupta"/>
    <x v="0"/>
    <n v="15"/>
    <x v="2"/>
    <s v="A"/>
    <x v="6"/>
    <s v="2023-06-17"/>
    <n v="97"/>
  </r>
  <r>
    <s v="S0218"/>
    <s v="Sneha"/>
    <s v="Gupta"/>
    <x v="0"/>
    <n v="19"/>
    <x v="3"/>
    <s v="B"/>
    <x v="5"/>
    <s v="2024-01-29"/>
    <n v="81"/>
  </r>
  <r>
    <s v="S0219"/>
    <s v="Arjun"/>
    <s v="Mishra"/>
    <x v="1"/>
    <n v="16"/>
    <x v="1"/>
    <s v="C"/>
    <x v="0"/>
    <s v="2024-06-23"/>
    <n v="65"/>
  </r>
  <r>
    <s v="S0220"/>
    <s v="Sneha"/>
    <s v="Roy"/>
    <x v="1"/>
    <n v="19"/>
    <x v="1"/>
    <s v="C"/>
    <x v="3"/>
    <s v="2025-02-10"/>
    <n v="45"/>
  </r>
  <r>
    <s v="S0221"/>
    <s v="Sneha"/>
    <s v="Kumar"/>
    <x v="0"/>
    <n v="16"/>
    <x v="3"/>
    <s v="D"/>
    <x v="4"/>
    <s v="2024-05-05"/>
    <n v="79"/>
  </r>
  <r>
    <s v="S0222"/>
    <s v="Sneha"/>
    <s v="Gupta"/>
    <x v="1"/>
    <n v="20"/>
    <x v="3"/>
    <s v="A"/>
    <x v="4"/>
    <s v="2023-01-03"/>
    <n v="46"/>
  </r>
  <r>
    <s v="S0223"/>
    <s v="Pooja"/>
    <s v="Paul"/>
    <x v="0"/>
    <n v="17"/>
    <x v="0"/>
    <s v="C"/>
    <x v="0"/>
    <s v="2024-03-22"/>
    <n v="75"/>
  </r>
  <r>
    <s v="S0224"/>
    <s v="Neha"/>
    <s v="Mishra"/>
    <x v="1"/>
    <n v="16"/>
    <x v="3"/>
    <s v="A"/>
    <x v="6"/>
    <s v="2025-08-11"/>
    <n v="65"/>
  </r>
  <r>
    <s v="S0225"/>
    <s v="Rahul"/>
    <s v="Ghosh"/>
    <x v="1"/>
    <n v="15"/>
    <x v="3"/>
    <s v="B"/>
    <x v="4"/>
    <s v="2024-07-03"/>
    <n v="72"/>
  </r>
  <r>
    <s v="S0226"/>
    <s v="Amit"/>
    <s v="Das"/>
    <x v="1"/>
    <n v="16"/>
    <x v="3"/>
    <s v="B"/>
    <x v="6"/>
    <s v="2024-05-19"/>
    <n v="75"/>
  </r>
  <r>
    <s v="S0227"/>
    <s v="Neha"/>
    <s v="Ghosh"/>
    <x v="0"/>
    <n v="17"/>
    <x v="2"/>
    <s v="A"/>
    <x v="0"/>
    <s v="2025-08-30"/>
    <n v="50"/>
  </r>
  <r>
    <s v="S0228"/>
    <s v="Priya"/>
    <s v="Gupta"/>
    <x v="0"/>
    <n v="19"/>
    <x v="0"/>
    <s v="C"/>
    <x v="2"/>
    <s v="2025-09-24"/>
    <n v="88"/>
  </r>
  <r>
    <s v="S0229"/>
    <s v="Sneha"/>
    <s v="Kumar"/>
    <x v="0"/>
    <n v="17"/>
    <x v="1"/>
    <s v="B"/>
    <x v="3"/>
    <s v="2025-08-18"/>
    <n v="63"/>
  </r>
  <r>
    <s v="S0230"/>
    <s v="Neha"/>
    <s v="Paul"/>
    <x v="1"/>
    <n v="18"/>
    <x v="0"/>
    <s v="B"/>
    <x v="3"/>
    <s v="2025-02-13"/>
    <n v="36"/>
  </r>
  <r>
    <s v="S0231"/>
    <s v="Neha"/>
    <s v="Roy"/>
    <x v="0"/>
    <n v="18"/>
    <x v="3"/>
    <s v="B"/>
    <x v="6"/>
    <s v="2025-07-01"/>
    <n v="86"/>
  </r>
  <r>
    <s v="S0232"/>
    <s v="Priya"/>
    <s v="Ghosh"/>
    <x v="1"/>
    <n v="14"/>
    <x v="3"/>
    <s v="A"/>
    <x v="4"/>
    <s v="2024-01-25"/>
    <n v="42"/>
  </r>
  <r>
    <s v="S0233"/>
    <s v="Amit"/>
    <s v="Paul"/>
    <x v="1"/>
    <n v="16"/>
    <x v="1"/>
    <s v="B"/>
    <x v="7"/>
    <s v="2023-02-08"/>
    <n v="70"/>
  </r>
  <r>
    <s v="S0234"/>
    <s v="Amit"/>
    <s v="Ghosh"/>
    <x v="0"/>
    <n v="16"/>
    <x v="3"/>
    <s v="C"/>
    <x v="6"/>
    <s v="2024-03-14"/>
    <n v="86"/>
  </r>
  <r>
    <s v="S0235"/>
    <s v="Vikram"/>
    <s v="Patel"/>
    <x v="1"/>
    <n v="20"/>
    <x v="0"/>
    <s v="A"/>
    <x v="1"/>
    <s v="2025-05-08"/>
    <n v="93"/>
  </r>
  <r>
    <s v="S0236"/>
    <s v="Pooja"/>
    <s v="Mishra"/>
    <x v="0"/>
    <n v="17"/>
    <x v="0"/>
    <s v="A"/>
    <x v="6"/>
    <s v="2023-02-26"/>
    <n v="60"/>
  </r>
  <r>
    <s v="S0237"/>
    <s v="Amit"/>
    <s v="Sharma"/>
    <x v="1"/>
    <n v="19"/>
    <x v="3"/>
    <s v="C"/>
    <x v="0"/>
    <s v="2024-03-16"/>
    <n v="50"/>
  </r>
  <r>
    <s v="S0238"/>
    <s v="Arjun"/>
    <s v="Mishra"/>
    <x v="1"/>
    <n v="14"/>
    <x v="1"/>
    <s v="B"/>
    <x v="2"/>
    <s v="2023-11-17"/>
    <n v="47"/>
  </r>
  <r>
    <s v="S0239"/>
    <s v="Neha"/>
    <s v="Paul"/>
    <x v="0"/>
    <n v="15"/>
    <x v="1"/>
    <s v="C"/>
    <x v="1"/>
    <s v="2024-10-21"/>
    <n v="49"/>
  </r>
  <r>
    <s v="S0240"/>
    <s v="Arjun"/>
    <s v="Mishra"/>
    <x v="0"/>
    <n v="16"/>
    <x v="2"/>
    <s v="D"/>
    <x v="2"/>
    <s v="2025-06-19"/>
    <n v="42"/>
  </r>
  <r>
    <s v="S0241"/>
    <s v="Riya"/>
    <s v="Das"/>
    <x v="1"/>
    <n v="20"/>
    <x v="2"/>
    <s v="A"/>
    <x v="5"/>
    <s v="2023-07-02"/>
    <n v="42"/>
  </r>
  <r>
    <s v="S0242"/>
    <s v="Rahul"/>
    <s v="Das"/>
    <x v="0"/>
    <n v="18"/>
    <x v="0"/>
    <s v="B"/>
    <x v="6"/>
    <s v="2023-02-19"/>
    <n v="76"/>
  </r>
  <r>
    <s v="S0243"/>
    <s v="Rahul"/>
    <s v="Das"/>
    <x v="1"/>
    <n v="15"/>
    <x v="0"/>
    <s v="C"/>
    <x v="6"/>
    <s v="2024-01-07"/>
    <n v="44"/>
  </r>
  <r>
    <s v="S0244"/>
    <s v="Sneha"/>
    <s v="Paul"/>
    <x v="1"/>
    <n v="19"/>
    <x v="0"/>
    <s v="B"/>
    <x v="4"/>
    <s v="2023-08-05"/>
    <n v="77"/>
  </r>
  <r>
    <s v="S0245"/>
    <s v="Riya"/>
    <s v="Paul"/>
    <x v="1"/>
    <n v="16"/>
    <x v="1"/>
    <s v="C"/>
    <x v="6"/>
    <s v="2025-07-01"/>
    <n v="45"/>
  </r>
  <r>
    <s v="S0246"/>
    <s v="Pooja"/>
    <s v="Gupta"/>
    <x v="0"/>
    <n v="15"/>
    <x v="3"/>
    <s v="C"/>
    <x v="5"/>
    <s v="2023-01-31"/>
    <n v="54"/>
  </r>
  <r>
    <s v="S0247"/>
    <s v="Riya"/>
    <s v="Ghosh"/>
    <x v="1"/>
    <n v="15"/>
    <x v="2"/>
    <s v="B"/>
    <x v="4"/>
    <s v="2025-08-18"/>
    <n v="66"/>
  </r>
  <r>
    <s v="S0248"/>
    <s v="Neha"/>
    <s v="Das"/>
    <x v="1"/>
    <n v="15"/>
    <x v="2"/>
    <s v="D"/>
    <x v="0"/>
    <s v="2025-02-18"/>
    <n v="95"/>
  </r>
  <r>
    <s v="S0249"/>
    <s v="Sneha"/>
    <s v="Das"/>
    <x v="1"/>
    <n v="14"/>
    <x v="1"/>
    <s v="A"/>
    <x v="0"/>
    <s v="2023-12-28"/>
    <n v="65"/>
  </r>
  <r>
    <s v="S0250"/>
    <s v="Sneha"/>
    <s v="Paul"/>
    <x v="1"/>
    <n v="15"/>
    <x v="3"/>
    <s v="D"/>
    <x v="1"/>
    <s v="2024-10-16"/>
    <n v="61"/>
  </r>
  <r>
    <s v="S0251"/>
    <s v="Amit"/>
    <s v="Mishra"/>
    <x v="1"/>
    <n v="14"/>
    <x v="3"/>
    <s v="A"/>
    <x v="5"/>
    <s v="2025-09-25"/>
    <n v="86"/>
  </r>
  <r>
    <s v="S0252"/>
    <s v="Arjun"/>
    <s v="Mishra"/>
    <x v="1"/>
    <n v="17"/>
    <x v="3"/>
    <s v="D"/>
    <x v="6"/>
    <s v="2023-05-17"/>
    <n v="52"/>
  </r>
  <r>
    <s v="S0253"/>
    <s v="Vikram"/>
    <s v="Paul"/>
    <x v="1"/>
    <n v="20"/>
    <x v="0"/>
    <s v="A"/>
    <x v="2"/>
    <s v="2023-11-29"/>
    <n v="42"/>
  </r>
  <r>
    <s v="S0254"/>
    <s v="Riya"/>
    <s v="Ghosh"/>
    <x v="1"/>
    <n v="18"/>
    <x v="0"/>
    <s v="B"/>
    <x v="6"/>
    <s v="2023-12-29"/>
    <n v="82"/>
  </r>
  <r>
    <s v="S0255"/>
    <s v="Neha"/>
    <s v="Sharma"/>
    <x v="0"/>
    <n v="20"/>
    <x v="0"/>
    <s v="B"/>
    <x v="4"/>
    <s v="2025-09-14"/>
    <n v="92"/>
  </r>
  <r>
    <s v="S0256"/>
    <s v="Amit"/>
    <s v="Paul"/>
    <x v="1"/>
    <n v="18"/>
    <x v="2"/>
    <s v="B"/>
    <x v="0"/>
    <s v="2025-03-29"/>
    <n v="59"/>
  </r>
  <r>
    <s v="S0257"/>
    <s v="Sneha"/>
    <s v="Sharma"/>
    <x v="0"/>
    <n v="20"/>
    <x v="1"/>
    <s v="D"/>
    <x v="5"/>
    <s v="2023-05-23"/>
    <n v="86"/>
  </r>
  <r>
    <s v="S0258"/>
    <s v="Arjun"/>
    <s v="Das"/>
    <x v="0"/>
    <n v="19"/>
    <x v="2"/>
    <s v="C"/>
    <x v="5"/>
    <s v="2025-04-15"/>
    <n v="46"/>
  </r>
  <r>
    <s v="S0259"/>
    <s v="Rahul"/>
    <s v="Roy"/>
    <x v="1"/>
    <n v="20"/>
    <x v="1"/>
    <s v="D"/>
    <x v="7"/>
    <s v="2025-08-28"/>
    <n v="51"/>
  </r>
  <r>
    <s v="S0260"/>
    <s v="Riya"/>
    <s v="Patel"/>
    <x v="0"/>
    <n v="17"/>
    <x v="0"/>
    <s v="A"/>
    <x v="0"/>
    <s v="2023-04-30"/>
    <n v="46"/>
  </r>
  <r>
    <s v="S0261"/>
    <s v="Karan"/>
    <s v="Kumar"/>
    <x v="0"/>
    <n v="20"/>
    <x v="3"/>
    <s v="C"/>
    <x v="1"/>
    <s v="2025-07-15"/>
    <n v="44"/>
  </r>
  <r>
    <s v="S0262"/>
    <s v="Arjun"/>
    <s v="Das"/>
    <x v="1"/>
    <n v="14"/>
    <x v="3"/>
    <s v="C"/>
    <x v="1"/>
    <s v="2025-02-28"/>
    <n v="93"/>
  </r>
  <r>
    <s v="S0263"/>
    <s v="Karan"/>
    <s v="Das"/>
    <x v="0"/>
    <n v="20"/>
    <x v="3"/>
    <s v="A"/>
    <x v="7"/>
    <s v="2024-12-06"/>
    <n v="41"/>
  </r>
  <r>
    <s v="S0264"/>
    <s v="Rahul"/>
    <s v="Patel"/>
    <x v="0"/>
    <n v="20"/>
    <x v="2"/>
    <s v="D"/>
    <x v="5"/>
    <s v="2023-02-01"/>
    <n v="58"/>
  </r>
  <r>
    <s v="S0265"/>
    <s v="Vikram"/>
    <s v="Kumar"/>
    <x v="1"/>
    <n v="16"/>
    <x v="1"/>
    <s v="D"/>
    <x v="2"/>
    <s v="2025-01-14"/>
    <n v="42"/>
  </r>
  <r>
    <s v="S0266"/>
    <s v="Pooja"/>
    <s v="Kumar"/>
    <x v="1"/>
    <n v="14"/>
    <x v="1"/>
    <s v="C"/>
    <x v="6"/>
    <s v="2023-12-07"/>
    <n v="37"/>
  </r>
  <r>
    <s v="S0267"/>
    <s v="Arjun"/>
    <s v="Sharma"/>
    <x v="0"/>
    <n v="18"/>
    <x v="0"/>
    <s v="B"/>
    <x v="5"/>
    <s v="2023-02-17"/>
    <n v="63"/>
  </r>
  <r>
    <s v="S0268"/>
    <s v="Rahul"/>
    <s v="Gupta"/>
    <x v="1"/>
    <n v="18"/>
    <x v="1"/>
    <s v="A"/>
    <x v="4"/>
    <s v="2024-04-23"/>
    <n v="51"/>
  </r>
  <r>
    <s v="S0269"/>
    <s v="Vikram"/>
    <s v="Das"/>
    <x v="1"/>
    <n v="16"/>
    <x v="2"/>
    <s v="B"/>
    <x v="4"/>
    <s v="2023-10-26"/>
    <n v="37"/>
  </r>
  <r>
    <s v="S0270"/>
    <s v="Arjun"/>
    <s v="Kumar"/>
    <x v="1"/>
    <n v="14"/>
    <x v="2"/>
    <s v="B"/>
    <x v="5"/>
    <s v="2025-02-08"/>
    <n v="81"/>
  </r>
  <r>
    <s v="S0271"/>
    <s v="Arjun"/>
    <s v="Roy"/>
    <x v="1"/>
    <n v="15"/>
    <x v="3"/>
    <s v="A"/>
    <x v="4"/>
    <s v="2023-12-16"/>
    <n v="90"/>
  </r>
  <r>
    <s v="S0272"/>
    <s v="Pooja"/>
    <s v="Das"/>
    <x v="0"/>
    <n v="14"/>
    <x v="3"/>
    <s v="A"/>
    <x v="2"/>
    <s v="2024-05-07"/>
    <n v="90"/>
  </r>
  <r>
    <s v="S0273"/>
    <s v="Neha"/>
    <s v="Singh"/>
    <x v="0"/>
    <n v="19"/>
    <x v="3"/>
    <s v="B"/>
    <x v="7"/>
    <s v="2023-09-15"/>
    <n v="81"/>
  </r>
  <r>
    <s v="S0274"/>
    <s v="Priya"/>
    <s v="Ghosh"/>
    <x v="0"/>
    <n v="15"/>
    <x v="2"/>
    <s v="A"/>
    <x v="7"/>
    <s v="2024-01-25"/>
    <n v="53"/>
  </r>
  <r>
    <s v="S0275"/>
    <s v="Pooja"/>
    <s v="Gupta"/>
    <x v="1"/>
    <n v="16"/>
    <x v="2"/>
    <s v="B"/>
    <x v="7"/>
    <s v="2024-06-05"/>
    <n v="93"/>
  </r>
  <r>
    <s v="S0276"/>
    <s v="Karan"/>
    <s v="Mishra"/>
    <x v="0"/>
    <n v="18"/>
    <x v="3"/>
    <s v="D"/>
    <x v="7"/>
    <s v="2024-07-07"/>
    <n v="77"/>
  </r>
  <r>
    <s v="S0277"/>
    <s v="Riya"/>
    <s v="Singh"/>
    <x v="1"/>
    <n v="19"/>
    <x v="0"/>
    <s v="C"/>
    <x v="7"/>
    <s v="2023-11-05"/>
    <n v="40"/>
  </r>
  <r>
    <s v="S0278"/>
    <s v="Vikram"/>
    <s v="Sharma"/>
    <x v="1"/>
    <n v="15"/>
    <x v="0"/>
    <s v="C"/>
    <x v="2"/>
    <s v="2024-11-08"/>
    <n v="63"/>
  </r>
  <r>
    <s v="S0279"/>
    <s v="Priya"/>
    <s v="Ghosh"/>
    <x v="1"/>
    <n v="15"/>
    <x v="1"/>
    <s v="A"/>
    <x v="5"/>
    <s v="2023-12-22"/>
    <n v="53"/>
  </r>
  <r>
    <s v="S0280"/>
    <s v="Neha"/>
    <s v="Gupta"/>
    <x v="1"/>
    <n v="19"/>
    <x v="0"/>
    <s v="C"/>
    <x v="5"/>
    <s v="2024-02-29"/>
    <n v="72"/>
  </r>
  <r>
    <s v="S0281"/>
    <s v="Riya"/>
    <s v="Ghosh"/>
    <x v="1"/>
    <n v="20"/>
    <x v="2"/>
    <s v="C"/>
    <x v="1"/>
    <s v="2025-01-02"/>
    <n v="67"/>
  </r>
  <r>
    <s v="S0282"/>
    <s v="Riya"/>
    <s v="Paul"/>
    <x v="1"/>
    <n v="18"/>
    <x v="1"/>
    <s v="D"/>
    <x v="2"/>
    <s v="2024-08-01"/>
    <n v="96"/>
  </r>
  <r>
    <s v="S0283"/>
    <s v="Riya"/>
    <s v="Paul"/>
    <x v="1"/>
    <n v="17"/>
    <x v="2"/>
    <s v="D"/>
    <x v="3"/>
    <s v="2024-09-06"/>
    <n v="100"/>
  </r>
  <r>
    <s v="S0284"/>
    <s v="Vikram"/>
    <s v="Paul"/>
    <x v="0"/>
    <n v="16"/>
    <x v="0"/>
    <s v="D"/>
    <x v="2"/>
    <s v="2023-12-09"/>
    <n v="63"/>
  </r>
  <r>
    <s v="S0285"/>
    <s v="Karan"/>
    <s v="Das"/>
    <x v="1"/>
    <n v="19"/>
    <x v="0"/>
    <s v="A"/>
    <x v="1"/>
    <s v="2024-09-10"/>
    <n v="53"/>
  </r>
  <r>
    <s v="S0286"/>
    <s v="Riya"/>
    <s v="Roy"/>
    <x v="0"/>
    <n v="19"/>
    <x v="2"/>
    <s v="C"/>
    <x v="5"/>
    <s v="2023-12-03"/>
    <n v="94"/>
  </r>
  <r>
    <s v="S0287"/>
    <s v="Neha"/>
    <s v="Singh"/>
    <x v="1"/>
    <n v="14"/>
    <x v="0"/>
    <s v="A"/>
    <x v="4"/>
    <s v="2024-02-26"/>
    <n v="50"/>
  </r>
  <r>
    <s v="S0288"/>
    <s v="Rahul"/>
    <s v="Ghosh"/>
    <x v="1"/>
    <n v="15"/>
    <x v="3"/>
    <s v="D"/>
    <x v="4"/>
    <s v="2024-10-23"/>
    <n v="72"/>
  </r>
  <r>
    <s v="S0289"/>
    <s v="Arjun"/>
    <s v="Gupta"/>
    <x v="1"/>
    <n v="20"/>
    <x v="2"/>
    <s v="D"/>
    <x v="2"/>
    <s v="2024-08-28"/>
    <n v="35"/>
  </r>
  <r>
    <s v="S0290"/>
    <s v="Priya"/>
    <s v="Kumar"/>
    <x v="0"/>
    <n v="17"/>
    <x v="0"/>
    <s v="A"/>
    <x v="0"/>
    <s v="2025-04-07"/>
    <n v="37"/>
  </r>
  <r>
    <s v="S0291"/>
    <s v="Arjun"/>
    <s v="Gupta"/>
    <x v="1"/>
    <n v="14"/>
    <x v="3"/>
    <s v="D"/>
    <x v="3"/>
    <s v="2024-12-03"/>
    <n v="47"/>
  </r>
  <r>
    <s v="S0292"/>
    <s v="Vikram"/>
    <s v="Gupta"/>
    <x v="1"/>
    <n v="16"/>
    <x v="2"/>
    <s v="B"/>
    <x v="6"/>
    <s v="2023-06-23"/>
    <n v="59"/>
  </r>
  <r>
    <s v="S0293"/>
    <s v="Sneha"/>
    <s v="Roy"/>
    <x v="1"/>
    <n v="17"/>
    <x v="3"/>
    <s v="C"/>
    <x v="6"/>
    <s v="2025-08-02"/>
    <n v="73"/>
  </r>
  <r>
    <s v="S0294"/>
    <s v="Vikram"/>
    <s v="Sharma"/>
    <x v="1"/>
    <n v="17"/>
    <x v="2"/>
    <s v="D"/>
    <x v="6"/>
    <s v="2023-04-09"/>
    <n v="45"/>
  </r>
  <r>
    <s v="S0295"/>
    <s v="Neha"/>
    <s v="Paul"/>
    <x v="0"/>
    <n v="14"/>
    <x v="3"/>
    <s v="D"/>
    <x v="1"/>
    <s v="2024-01-14"/>
    <n v="64"/>
  </r>
  <r>
    <s v="S0296"/>
    <s v="Arjun"/>
    <s v="Das"/>
    <x v="1"/>
    <n v="18"/>
    <x v="0"/>
    <s v="C"/>
    <x v="7"/>
    <s v="2023-01-01"/>
    <n v="98"/>
  </r>
  <r>
    <s v="S0297"/>
    <s v="Riya"/>
    <s v="Gupta"/>
    <x v="0"/>
    <n v="20"/>
    <x v="3"/>
    <s v="C"/>
    <x v="4"/>
    <s v="2024-09-21"/>
    <n v="84"/>
  </r>
  <r>
    <s v="S0298"/>
    <s v="Sneha"/>
    <s v="Singh"/>
    <x v="0"/>
    <n v="14"/>
    <x v="2"/>
    <s v="D"/>
    <x v="7"/>
    <s v="2024-01-22"/>
    <n v="62"/>
  </r>
  <r>
    <s v="S0299"/>
    <s v="Amit"/>
    <s v="Sharma"/>
    <x v="1"/>
    <n v="18"/>
    <x v="3"/>
    <s v="C"/>
    <x v="4"/>
    <s v="2024-01-02"/>
    <n v="55"/>
  </r>
  <r>
    <s v="S0300"/>
    <s v="Rahul"/>
    <s v="Singh"/>
    <x v="0"/>
    <n v="17"/>
    <x v="3"/>
    <s v="C"/>
    <x v="0"/>
    <s v="2024-09-11"/>
    <n v="73"/>
  </r>
  <r>
    <s v="S0301"/>
    <s v="Pooja"/>
    <s v="Gupta"/>
    <x v="1"/>
    <n v="17"/>
    <x v="3"/>
    <s v="C"/>
    <x v="6"/>
    <s v="2023-02-19"/>
    <n v="76"/>
  </r>
  <r>
    <s v="S0302"/>
    <s v="Karan"/>
    <s v="Das"/>
    <x v="0"/>
    <n v="15"/>
    <x v="1"/>
    <s v="B"/>
    <x v="6"/>
    <s v="2023-11-03"/>
    <n v="54"/>
  </r>
  <r>
    <s v="S0303"/>
    <s v="Arjun"/>
    <s v="Sharma"/>
    <x v="1"/>
    <n v="20"/>
    <x v="1"/>
    <s v="D"/>
    <x v="2"/>
    <s v="2025-08-29"/>
    <n v="69"/>
  </r>
  <r>
    <s v="S0304"/>
    <s v="Riya"/>
    <s v="Das"/>
    <x v="1"/>
    <n v="20"/>
    <x v="0"/>
    <s v="C"/>
    <x v="3"/>
    <s v="2024-11-28"/>
    <n v="99"/>
  </r>
  <r>
    <s v="S0305"/>
    <s v="Vikram"/>
    <s v="Gupta"/>
    <x v="0"/>
    <n v="19"/>
    <x v="3"/>
    <s v="D"/>
    <x v="1"/>
    <s v="2023-06-27"/>
    <n v="43"/>
  </r>
  <r>
    <s v="S0306"/>
    <s v="Vikram"/>
    <s v="Patel"/>
    <x v="0"/>
    <n v="14"/>
    <x v="0"/>
    <s v="D"/>
    <x v="3"/>
    <s v="2024-07-11"/>
    <n v="90"/>
  </r>
  <r>
    <s v="S0307"/>
    <s v="Amit"/>
    <s v="Roy"/>
    <x v="1"/>
    <n v="19"/>
    <x v="1"/>
    <s v="C"/>
    <x v="2"/>
    <s v="2025-01-19"/>
    <n v="82"/>
  </r>
  <r>
    <s v="S0308"/>
    <s v="Vikram"/>
    <s v="Sharma"/>
    <x v="1"/>
    <n v="15"/>
    <x v="2"/>
    <s v="A"/>
    <x v="3"/>
    <s v="2025-05-31"/>
    <n v="39"/>
  </r>
  <r>
    <s v="S0309"/>
    <s v="Amit"/>
    <s v="Paul"/>
    <x v="0"/>
    <n v="17"/>
    <x v="1"/>
    <s v="B"/>
    <x v="6"/>
    <s v="2024-03-19"/>
    <n v="99"/>
  </r>
  <r>
    <s v="S0310"/>
    <s v="Neha"/>
    <s v="Paul"/>
    <x v="0"/>
    <n v="15"/>
    <x v="2"/>
    <s v="D"/>
    <x v="5"/>
    <s v="2023-12-10"/>
    <n v="85"/>
  </r>
  <r>
    <s v="S0311"/>
    <s v="Pooja"/>
    <s v="Sharma"/>
    <x v="1"/>
    <n v="14"/>
    <x v="3"/>
    <s v="D"/>
    <x v="1"/>
    <s v="2023-08-01"/>
    <n v="67"/>
  </r>
  <r>
    <s v="S0312"/>
    <s v="Rahul"/>
    <s v="Roy"/>
    <x v="1"/>
    <n v="19"/>
    <x v="1"/>
    <s v="B"/>
    <x v="6"/>
    <s v="2023-06-09"/>
    <n v="77"/>
  </r>
  <r>
    <s v="S0313"/>
    <s v="Karan"/>
    <s v="Mishra"/>
    <x v="1"/>
    <n v="17"/>
    <x v="1"/>
    <s v="C"/>
    <x v="5"/>
    <s v="2025-06-06"/>
    <n v="62"/>
  </r>
  <r>
    <s v="S0314"/>
    <s v="Priya"/>
    <s v="Paul"/>
    <x v="1"/>
    <n v="19"/>
    <x v="3"/>
    <s v="D"/>
    <x v="7"/>
    <s v="2025-08-27"/>
    <n v="49"/>
  </r>
  <r>
    <s v="S0315"/>
    <s v="Vikram"/>
    <s v="Mishra"/>
    <x v="1"/>
    <n v="19"/>
    <x v="1"/>
    <s v="A"/>
    <x v="0"/>
    <s v="2025-02-02"/>
    <n v="86"/>
  </r>
  <r>
    <s v="S0316"/>
    <s v="Neha"/>
    <s v="Sharma"/>
    <x v="1"/>
    <n v="16"/>
    <x v="2"/>
    <s v="C"/>
    <x v="1"/>
    <s v="2024-12-21"/>
    <n v="84"/>
  </r>
  <r>
    <s v="S0317"/>
    <s v="Neha"/>
    <s v="Patel"/>
    <x v="0"/>
    <n v="18"/>
    <x v="2"/>
    <s v="D"/>
    <x v="7"/>
    <s v="2024-12-14"/>
    <n v="82"/>
  </r>
  <r>
    <s v="S0318"/>
    <s v="Rahul"/>
    <s v="Mishra"/>
    <x v="1"/>
    <n v="19"/>
    <x v="0"/>
    <s v="C"/>
    <x v="1"/>
    <s v="2024-03-11"/>
    <n v="63"/>
  </r>
  <r>
    <s v="S0319"/>
    <s v="Riya"/>
    <s v="Gupta"/>
    <x v="1"/>
    <n v="19"/>
    <x v="3"/>
    <s v="D"/>
    <x v="6"/>
    <s v="2023-12-21"/>
    <n v="82"/>
  </r>
  <r>
    <s v="S0320"/>
    <s v="Riya"/>
    <s v="Singh"/>
    <x v="1"/>
    <n v="15"/>
    <x v="2"/>
    <s v="D"/>
    <x v="4"/>
    <s v="2025-02-16"/>
    <n v="53"/>
  </r>
  <r>
    <s v="S0321"/>
    <s v="Sneha"/>
    <s v="Ghosh"/>
    <x v="0"/>
    <n v="19"/>
    <x v="2"/>
    <s v="A"/>
    <x v="7"/>
    <s v="2024-08-24"/>
    <n v="97"/>
  </r>
  <r>
    <s v="S0322"/>
    <s v="Riya"/>
    <s v="Paul"/>
    <x v="1"/>
    <n v="15"/>
    <x v="1"/>
    <s v="C"/>
    <x v="7"/>
    <s v="2024-09-20"/>
    <n v="51"/>
  </r>
  <r>
    <s v="S0323"/>
    <s v="Rahul"/>
    <s v="Ghosh"/>
    <x v="1"/>
    <n v="14"/>
    <x v="2"/>
    <s v="B"/>
    <x v="3"/>
    <s v="2024-05-16"/>
    <n v="43"/>
  </r>
  <r>
    <s v="S0324"/>
    <s v="Amit"/>
    <s v="Das"/>
    <x v="0"/>
    <n v="14"/>
    <x v="2"/>
    <s v="C"/>
    <x v="1"/>
    <s v="2023-11-18"/>
    <n v="57"/>
  </r>
  <r>
    <s v="S0325"/>
    <s v="Arjun"/>
    <s v="Kumar"/>
    <x v="1"/>
    <n v="16"/>
    <x v="3"/>
    <s v="C"/>
    <x v="1"/>
    <s v="2025-05-13"/>
    <n v="81"/>
  </r>
  <r>
    <s v="S0326"/>
    <s v="Rahul"/>
    <s v="Paul"/>
    <x v="1"/>
    <n v="17"/>
    <x v="1"/>
    <s v="D"/>
    <x v="7"/>
    <s v="2023-01-14"/>
    <n v="83"/>
  </r>
  <r>
    <s v="S0327"/>
    <s v="Arjun"/>
    <s v="Ghosh"/>
    <x v="0"/>
    <n v="14"/>
    <x v="2"/>
    <s v="D"/>
    <x v="0"/>
    <s v="2024-03-25"/>
    <n v="77"/>
  </r>
  <r>
    <s v="S0328"/>
    <s v="Karan"/>
    <s v="Roy"/>
    <x v="0"/>
    <n v="17"/>
    <x v="1"/>
    <s v="D"/>
    <x v="5"/>
    <s v="2023-03-15"/>
    <n v="45"/>
  </r>
  <r>
    <s v="S0329"/>
    <s v="Arjun"/>
    <s v="Gupta"/>
    <x v="0"/>
    <n v="16"/>
    <x v="1"/>
    <s v="A"/>
    <x v="6"/>
    <s v="2024-08-13"/>
    <n v="45"/>
  </r>
  <r>
    <s v="S0330"/>
    <s v="Amit"/>
    <s v="Roy"/>
    <x v="1"/>
    <n v="14"/>
    <x v="1"/>
    <s v="B"/>
    <x v="5"/>
    <s v="2023-07-07"/>
    <n v="42"/>
  </r>
  <r>
    <s v="S0331"/>
    <s v="Priya"/>
    <s v="Singh"/>
    <x v="0"/>
    <n v="19"/>
    <x v="0"/>
    <s v="C"/>
    <x v="0"/>
    <s v="2024-08-19"/>
    <n v="85"/>
  </r>
  <r>
    <s v="S0332"/>
    <s v="Sneha"/>
    <s v="Mishra"/>
    <x v="1"/>
    <n v="20"/>
    <x v="0"/>
    <s v="C"/>
    <x v="3"/>
    <s v="2024-05-06"/>
    <n v="62"/>
  </r>
  <r>
    <s v="S0333"/>
    <s v="Karan"/>
    <s v="Paul"/>
    <x v="0"/>
    <n v="16"/>
    <x v="3"/>
    <s v="D"/>
    <x v="4"/>
    <s v="2023-09-12"/>
    <n v="86"/>
  </r>
  <r>
    <s v="S0334"/>
    <s v="Riya"/>
    <s v="Paul"/>
    <x v="1"/>
    <n v="19"/>
    <x v="0"/>
    <s v="B"/>
    <x v="7"/>
    <s v="2024-08-04"/>
    <n v="54"/>
  </r>
  <r>
    <s v="S0335"/>
    <s v="Pooja"/>
    <s v="Kumar"/>
    <x v="0"/>
    <n v="20"/>
    <x v="1"/>
    <s v="D"/>
    <x v="4"/>
    <s v="2023-12-17"/>
    <n v="50"/>
  </r>
  <r>
    <s v="S0336"/>
    <s v="Arjun"/>
    <s v="Mishra"/>
    <x v="0"/>
    <n v="14"/>
    <x v="0"/>
    <s v="B"/>
    <x v="3"/>
    <s v="2023-08-27"/>
    <n v="68"/>
  </r>
  <r>
    <s v="S0337"/>
    <s v="Neha"/>
    <s v="Paul"/>
    <x v="1"/>
    <n v="15"/>
    <x v="1"/>
    <s v="B"/>
    <x v="5"/>
    <s v="2024-07-05"/>
    <n v="82"/>
  </r>
  <r>
    <s v="S0338"/>
    <s v="Sneha"/>
    <s v="Roy"/>
    <x v="0"/>
    <n v="19"/>
    <x v="2"/>
    <s v="A"/>
    <x v="4"/>
    <s v="2023-01-25"/>
    <n v="51"/>
  </r>
  <r>
    <s v="S0339"/>
    <s v="Sneha"/>
    <s v="Kumar"/>
    <x v="0"/>
    <n v="14"/>
    <x v="0"/>
    <s v="A"/>
    <x v="4"/>
    <s v="2023-03-01"/>
    <n v="64"/>
  </r>
  <r>
    <s v="S0340"/>
    <s v="Sneha"/>
    <s v="Das"/>
    <x v="1"/>
    <n v="17"/>
    <x v="0"/>
    <s v="A"/>
    <x v="5"/>
    <s v="2024-04-27"/>
    <n v="85"/>
  </r>
  <r>
    <s v="S0341"/>
    <s v="Pooja"/>
    <s v="Roy"/>
    <x v="0"/>
    <n v="19"/>
    <x v="3"/>
    <s v="B"/>
    <x v="3"/>
    <s v="2023-03-23"/>
    <n v="51"/>
  </r>
  <r>
    <s v="S0342"/>
    <s v="Karan"/>
    <s v="Sharma"/>
    <x v="0"/>
    <n v="20"/>
    <x v="0"/>
    <s v="A"/>
    <x v="4"/>
    <s v="2024-09-02"/>
    <n v="56"/>
  </r>
  <r>
    <s v="S0343"/>
    <s v="Amit"/>
    <s v="Mishra"/>
    <x v="0"/>
    <n v="14"/>
    <x v="1"/>
    <s v="A"/>
    <x v="5"/>
    <s v="2024-12-22"/>
    <n v="44"/>
  </r>
  <r>
    <s v="S0344"/>
    <s v="Neha"/>
    <s v="Kumar"/>
    <x v="0"/>
    <n v="14"/>
    <x v="2"/>
    <s v="C"/>
    <x v="5"/>
    <s v="2024-01-15"/>
    <n v="67"/>
  </r>
  <r>
    <s v="S0345"/>
    <s v="Rahul"/>
    <s v="Gupta"/>
    <x v="1"/>
    <n v="16"/>
    <x v="1"/>
    <s v="B"/>
    <x v="7"/>
    <s v="2024-05-20"/>
    <n v="60"/>
  </r>
  <r>
    <s v="S0346"/>
    <s v="Riya"/>
    <s v="Roy"/>
    <x v="1"/>
    <n v="17"/>
    <x v="0"/>
    <s v="C"/>
    <x v="5"/>
    <s v="2025-05-22"/>
    <n v="74"/>
  </r>
  <r>
    <s v="S0347"/>
    <s v="Karan"/>
    <s v="Mishra"/>
    <x v="1"/>
    <n v="16"/>
    <x v="2"/>
    <s v="D"/>
    <x v="1"/>
    <s v="2024-03-27"/>
    <n v="71"/>
  </r>
  <r>
    <s v="S0348"/>
    <s v="Rahul"/>
    <s v="Das"/>
    <x v="0"/>
    <n v="16"/>
    <x v="0"/>
    <s v="D"/>
    <x v="5"/>
    <s v="2024-02-29"/>
    <n v="52"/>
  </r>
  <r>
    <s v="S0349"/>
    <s v="Karan"/>
    <s v="Mishra"/>
    <x v="1"/>
    <n v="19"/>
    <x v="0"/>
    <s v="D"/>
    <x v="4"/>
    <s v="2024-09-25"/>
    <n v="55"/>
  </r>
  <r>
    <s v="S0350"/>
    <s v="Vikram"/>
    <s v="Mishra"/>
    <x v="0"/>
    <n v="20"/>
    <x v="1"/>
    <s v="C"/>
    <x v="1"/>
    <s v="2025-02-02"/>
    <n v="48"/>
  </r>
  <r>
    <s v="S0351"/>
    <s v="Karan"/>
    <s v="Sharma"/>
    <x v="0"/>
    <n v="19"/>
    <x v="2"/>
    <s v="B"/>
    <x v="7"/>
    <s v="2025-02-16"/>
    <n v="91"/>
  </r>
  <r>
    <s v="S0352"/>
    <s v="Rahul"/>
    <s v="Gupta"/>
    <x v="0"/>
    <n v="16"/>
    <x v="0"/>
    <s v="C"/>
    <x v="5"/>
    <s v="2024-02-17"/>
    <n v="91"/>
  </r>
  <r>
    <s v="S0353"/>
    <s v="Pooja"/>
    <s v="Patel"/>
    <x v="1"/>
    <n v="16"/>
    <x v="3"/>
    <s v="D"/>
    <x v="3"/>
    <s v="2023-11-21"/>
    <n v="65"/>
  </r>
  <r>
    <s v="S0354"/>
    <s v="Arjun"/>
    <s v="Roy"/>
    <x v="0"/>
    <n v="17"/>
    <x v="2"/>
    <s v="A"/>
    <x v="0"/>
    <s v="2024-05-24"/>
    <n v="69"/>
  </r>
  <r>
    <s v="S0355"/>
    <s v="Priya"/>
    <s v="Singh"/>
    <x v="1"/>
    <n v="19"/>
    <x v="0"/>
    <s v="D"/>
    <x v="6"/>
    <s v="2024-06-27"/>
    <n v="75"/>
  </r>
  <r>
    <s v="S0356"/>
    <s v="Sneha"/>
    <s v="Singh"/>
    <x v="1"/>
    <n v="16"/>
    <x v="3"/>
    <s v="C"/>
    <x v="4"/>
    <s v="2024-01-03"/>
    <n v="72"/>
  </r>
  <r>
    <s v="S0357"/>
    <s v="Karan"/>
    <s v="Gupta"/>
    <x v="1"/>
    <n v="20"/>
    <x v="0"/>
    <s v="B"/>
    <x v="0"/>
    <s v="2024-09-02"/>
    <n v="59"/>
  </r>
  <r>
    <s v="S0358"/>
    <s v="Riya"/>
    <s v="Singh"/>
    <x v="1"/>
    <n v="15"/>
    <x v="3"/>
    <s v="B"/>
    <x v="7"/>
    <s v="2023-05-12"/>
    <n v="42"/>
  </r>
  <r>
    <s v="S0359"/>
    <s v="Pooja"/>
    <s v="Singh"/>
    <x v="1"/>
    <n v="17"/>
    <x v="1"/>
    <s v="A"/>
    <x v="4"/>
    <s v="2025-09-01"/>
    <n v="93"/>
  </r>
  <r>
    <s v="S0360"/>
    <s v="Rahul"/>
    <s v="Gupta"/>
    <x v="1"/>
    <n v="14"/>
    <x v="1"/>
    <s v="C"/>
    <x v="7"/>
    <s v="2023-07-22"/>
    <n v="63"/>
  </r>
  <r>
    <s v="S0361"/>
    <s v="Vikram"/>
    <s v="Mishra"/>
    <x v="1"/>
    <n v="20"/>
    <x v="1"/>
    <s v="C"/>
    <x v="3"/>
    <s v="2023-01-11"/>
    <n v="35"/>
  </r>
  <r>
    <s v="S0362"/>
    <s v="Riya"/>
    <s v="Das"/>
    <x v="1"/>
    <n v="18"/>
    <x v="0"/>
    <s v="C"/>
    <x v="3"/>
    <s v="2023-04-21"/>
    <n v="89"/>
  </r>
  <r>
    <s v="S0363"/>
    <s v="Priya"/>
    <s v="Ghosh"/>
    <x v="0"/>
    <n v="14"/>
    <x v="2"/>
    <s v="A"/>
    <x v="0"/>
    <s v="2023-03-26"/>
    <n v="72"/>
  </r>
  <r>
    <s v="S0364"/>
    <s v="Priya"/>
    <s v="Roy"/>
    <x v="1"/>
    <n v="16"/>
    <x v="1"/>
    <s v="A"/>
    <x v="2"/>
    <s v="2024-03-08"/>
    <n v="57"/>
  </r>
  <r>
    <s v="S0365"/>
    <s v="Arjun"/>
    <s v="Ghosh"/>
    <x v="0"/>
    <n v="19"/>
    <x v="0"/>
    <s v="A"/>
    <x v="4"/>
    <s v="2023-05-12"/>
    <n v="84"/>
  </r>
  <r>
    <s v="S0366"/>
    <s v="Karan"/>
    <s v="Patel"/>
    <x v="1"/>
    <n v="17"/>
    <x v="2"/>
    <s v="D"/>
    <x v="0"/>
    <s v="2024-04-14"/>
    <n v="51"/>
  </r>
  <r>
    <s v="S0367"/>
    <s v="Rahul"/>
    <s v="Paul"/>
    <x v="1"/>
    <n v="20"/>
    <x v="0"/>
    <s v="D"/>
    <x v="6"/>
    <s v="2024-09-20"/>
    <n v="35"/>
  </r>
  <r>
    <s v="S0368"/>
    <s v="Amit"/>
    <s v="Roy"/>
    <x v="1"/>
    <n v="18"/>
    <x v="3"/>
    <s v="C"/>
    <x v="4"/>
    <s v="2024-05-28"/>
    <n v="83"/>
  </r>
  <r>
    <s v="S0369"/>
    <s v="Karan"/>
    <s v="Das"/>
    <x v="1"/>
    <n v="18"/>
    <x v="0"/>
    <s v="B"/>
    <x v="2"/>
    <s v="2024-05-01"/>
    <n v="43"/>
  </r>
  <r>
    <s v="S0370"/>
    <s v="Vikram"/>
    <s v="Ghosh"/>
    <x v="1"/>
    <n v="19"/>
    <x v="1"/>
    <s v="D"/>
    <x v="4"/>
    <s v="2025-03-17"/>
    <n v="65"/>
  </r>
  <r>
    <s v="S0371"/>
    <s v="Sneha"/>
    <s v="Gupta"/>
    <x v="1"/>
    <n v="15"/>
    <x v="2"/>
    <s v="D"/>
    <x v="3"/>
    <s v="2023-12-02"/>
    <n v="72"/>
  </r>
  <r>
    <s v="S0372"/>
    <s v="Vikram"/>
    <s v="Paul"/>
    <x v="0"/>
    <n v="14"/>
    <x v="2"/>
    <s v="B"/>
    <x v="1"/>
    <s v="2024-04-12"/>
    <n v="68"/>
  </r>
  <r>
    <s v="S0373"/>
    <s v="Neha"/>
    <s v="Ghosh"/>
    <x v="0"/>
    <n v="15"/>
    <x v="2"/>
    <s v="C"/>
    <x v="7"/>
    <s v="2024-01-20"/>
    <n v="39"/>
  </r>
  <r>
    <s v="S0374"/>
    <s v="Rahul"/>
    <s v="Sharma"/>
    <x v="1"/>
    <n v="17"/>
    <x v="2"/>
    <s v="C"/>
    <x v="7"/>
    <s v="2023-04-13"/>
    <n v="97"/>
  </r>
  <r>
    <s v="S0375"/>
    <s v="Rahul"/>
    <s v="Sharma"/>
    <x v="1"/>
    <n v="17"/>
    <x v="1"/>
    <s v="C"/>
    <x v="0"/>
    <s v="2023-07-09"/>
    <n v="77"/>
  </r>
  <r>
    <s v="S0376"/>
    <s v="Vikram"/>
    <s v="Roy"/>
    <x v="1"/>
    <n v="16"/>
    <x v="1"/>
    <s v="C"/>
    <x v="2"/>
    <s v="2023-09-25"/>
    <n v="85"/>
  </r>
  <r>
    <s v="S0377"/>
    <s v="Riya"/>
    <s v="Mishra"/>
    <x v="0"/>
    <n v="19"/>
    <x v="1"/>
    <s v="D"/>
    <x v="1"/>
    <s v="2024-11-11"/>
    <n v="85"/>
  </r>
  <r>
    <s v="S0378"/>
    <s v="Amit"/>
    <s v="Ghosh"/>
    <x v="1"/>
    <n v="14"/>
    <x v="0"/>
    <s v="A"/>
    <x v="1"/>
    <s v="2024-08-15"/>
    <n v="99"/>
  </r>
  <r>
    <s v="S0379"/>
    <s v="Riya"/>
    <s v="Roy"/>
    <x v="0"/>
    <n v="14"/>
    <x v="2"/>
    <s v="B"/>
    <x v="7"/>
    <s v="2024-02-15"/>
    <n v="55"/>
  </r>
  <r>
    <s v="S0380"/>
    <s v="Rahul"/>
    <s v="Das"/>
    <x v="0"/>
    <n v="15"/>
    <x v="0"/>
    <s v="C"/>
    <x v="2"/>
    <s v="2023-11-23"/>
    <n v="60"/>
  </r>
  <r>
    <s v="S0381"/>
    <s v="Pooja"/>
    <s v="Kumar"/>
    <x v="0"/>
    <n v="16"/>
    <x v="2"/>
    <s v="A"/>
    <x v="7"/>
    <s v="2025-08-09"/>
    <n v="38"/>
  </r>
  <r>
    <s v="S0382"/>
    <s v="Arjun"/>
    <s v="Mishra"/>
    <x v="0"/>
    <n v="17"/>
    <x v="1"/>
    <s v="B"/>
    <x v="2"/>
    <s v="2025-05-07"/>
    <n v="67"/>
  </r>
  <r>
    <s v="S0383"/>
    <s v="Rahul"/>
    <s v="Singh"/>
    <x v="0"/>
    <n v="15"/>
    <x v="1"/>
    <s v="D"/>
    <x v="6"/>
    <s v="2025-01-07"/>
    <n v="95"/>
  </r>
  <r>
    <s v="S0384"/>
    <s v="Pooja"/>
    <s v="Ghosh"/>
    <x v="1"/>
    <n v="20"/>
    <x v="1"/>
    <s v="D"/>
    <x v="7"/>
    <s v="2025-07-09"/>
    <n v="91"/>
  </r>
  <r>
    <s v="S0385"/>
    <s v="Pooja"/>
    <s v="Roy"/>
    <x v="0"/>
    <n v="18"/>
    <x v="3"/>
    <s v="A"/>
    <x v="4"/>
    <s v="2024-08-09"/>
    <n v="58"/>
  </r>
  <r>
    <s v="S0386"/>
    <s v="Riya"/>
    <s v="Paul"/>
    <x v="0"/>
    <n v="14"/>
    <x v="1"/>
    <s v="A"/>
    <x v="1"/>
    <s v="2023-05-07"/>
    <n v="98"/>
  </r>
  <r>
    <s v="S0387"/>
    <s v="Sneha"/>
    <s v="Singh"/>
    <x v="0"/>
    <n v="15"/>
    <x v="3"/>
    <s v="B"/>
    <x v="7"/>
    <s v="2024-03-09"/>
    <n v="39"/>
  </r>
  <r>
    <s v="S0388"/>
    <s v="Pooja"/>
    <s v="Paul"/>
    <x v="1"/>
    <n v="16"/>
    <x v="3"/>
    <s v="C"/>
    <x v="4"/>
    <s v="2023-11-25"/>
    <n v="70"/>
  </r>
  <r>
    <s v="S0389"/>
    <s v="Rahul"/>
    <s v="Mishra"/>
    <x v="1"/>
    <n v="16"/>
    <x v="3"/>
    <s v="A"/>
    <x v="7"/>
    <s v="2024-01-23"/>
    <n v="83"/>
  </r>
  <r>
    <s v="S0390"/>
    <s v="Vikram"/>
    <s v="Sharma"/>
    <x v="1"/>
    <n v="20"/>
    <x v="1"/>
    <s v="C"/>
    <x v="1"/>
    <s v="2023-05-06"/>
    <n v="82"/>
  </r>
  <r>
    <s v="S0391"/>
    <s v="Amit"/>
    <s v="Gupta"/>
    <x v="0"/>
    <n v="16"/>
    <x v="1"/>
    <s v="B"/>
    <x v="4"/>
    <s v="2024-02-25"/>
    <n v="61"/>
  </r>
  <r>
    <s v="S0392"/>
    <s v="Neha"/>
    <s v="Patel"/>
    <x v="0"/>
    <n v="20"/>
    <x v="3"/>
    <s v="A"/>
    <x v="5"/>
    <s v="2025-04-17"/>
    <n v="54"/>
  </r>
  <r>
    <s v="S0393"/>
    <s v="Karan"/>
    <s v="Roy"/>
    <x v="0"/>
    <n v="17"/>
    <x v="3"/>
    <s v="D"/>
    <x v="4"/>
    <s v="2025-07-08"/>
    <n v="61"/>
  </r>
  <r>
    <s v="S0394"/>
    <s v="Neha"/>
    <s v="Singh"/>
    <x v="0"/>
    <n v="16"/>
    <x v="3"/>
    <s v="A"/>
    <x v="5"/>
    <s v="2025-06-14"/>
    <n v="85"/>
  </r>
  <r>
    <s v="S0395"/>
    <s v="Karan"/>
    <s v="Roy"/>
    <x v="1"/>
    <n v="18"/>
    <x v="3"/>
    <s v="D"/>
    <x v="5"/>
    <s v="2023-01-08"/>
    <n v="89"/>
  </r>
  <r>
    <s v="S0396"/>
    <s v="Vikram"/>
    <s v="Das"/>
    <x v="0"/>
    <n v="14"/>
    <x v="3"/>
    <s v="B"/>
    <x v="1"/>
    <s v="2024-06-18"/>
    <n v="72"/>
  </r>
  <r>
    <s v="S0397"/>
    <s v="Priya"/>
    <s v="Sharma"/>
    <x v="1"/>
    <n v="20"/>
    <x v="0"/>
    <s v="B"/>
    <x v="5"/>
    <s v="2024-08-16"/>
    <n v="100"/>
  </r>
  <r>
    <s v="S0398"/>
    <s v="Sneha"/>
    <s v="Paul"/>
    <x v="1"/>
    <n v="20"/>
    <x v="2"/>
    <s v="B"/>
    <x v="7"/>
    <s v="2023-04-19"/>
    <n v="84"/>
  </r>
  <r>
    <s v="S0399"/>
    <s v="Pooja"/>
    <s v="Das"/>
    <x v="0"/>
    <n v="17"/>
    <x v="1"/>
    <s v="B"/>
    <x v="3"/>
    <s v="2023-01-07"/>
    <n v="76"/>
  </r>
  <r>
    <s v="S0400"/>
    <s v="Neha"/>
    <s v="Kumar"/>
    <x v="1"/>
    <n v="14"/>
    <x v="2"/>
    <s v="D"/>
    <x v="4"/>
    <s v="2024-07-23"/>
    <n v="36"/>
  </r>
  <r>
    <s v="S0401"/>
    <s v="Rahul"/>
    <s v="Paul"/>
    <x v="1"/>
    <n v="14"/>
    <x v="3"/>
    <s v="B"/>
    <x v="3"/>
    <s v="2025-03-04"/>
    <n v="95"/>
  </r>
  <r>
    <s v="S0402"/>
    <s v="Riya"/>
    <s v="Ghosh"/>
    <x v="1"/>
    <n v="15"/>
    <x v="3"/>
    <s v="D"/>
    <x v="6"/>
    <s v="2024-12-21"/>
    <n v="39"/>
  </r>
  <r>
    <s v="S0403"/>
    <s v="Rahul"/>
    <s v="Paul"/>
    <x v="0"/>
    <n v="17"/>
    <x v="2"/>
    <s v="C"/>
    <x v="7"/>
    <s v="2025-05-22"/>
    <n v="89"/>
  </r>
  <r>
    <s v="S0404"/>
    <s v="Neha"/>
    <s v="Patel"/>
    <x v="0"/>
    <n v="18"/>
    <x v="1"/>
    <s v="C"/>
    <x v="1"/>
    <s v="2023-06-15"/>
    <n v="93"/>
  </r>
  <r>
    <s v="S0405"/>
    <s v="Amit"/>
    <s v="Kumar"/>
    <x v="1"/>
    <n v="16"/>
    <x v="2"/>
    <s v="B"/>
    <x v="7"/>
    <s v="2023-12-18"/>
    <n v="88"/>
  </r>
  <r>
    <s v="S0406"/>
    <s v="Riya"/>
    <s v="Paul"/>
    <x v="1"/>
    <n v="18"/>
    <x v="0"/>
    <s v="D"/>
    <x v="0"/>
    <s v="2024-11-02"/>
    <n v="95"/>
  </r>
  <r>
    <s v="S0407"/>
    <s v="Arjun"/>
    <s v="Sharma"/>
    <x v="0"/>
    <n v="14"/>
    <x v="2"/>
    <s v="C"/>
    <x v="6"/>
    <s v="2025-07-05"/>
    <n v="96"/>
  </r>
  <r>
    <s v="S0408"/>
    <s v="Neha"/>
    <s v="Das"/>
    <x v="1"/>
    <n v="20"/>
    <x v="3"/>
    <s v="A"/>
    <x v="1"/>
    <s v="2024-08-03"/>
    <n v="74"/>
  </r>
  <r>
    <s v="S0409"/>
    <s v="Riya"/>
    <s v="Singh"/>
    <x v="0"/>
    <n v="18"/>
    <x v="1"/>
    <s v="A"/>
    <x v="1"/>
    <s v="2024-12-15"/>
    <n v="55"/>
  </r>
  <r>
    <s v="S0410"/>
    <s v="Karan"/>
    <s v="Sharma"/>
    <x v="0"/>
    <n v="17"/>
    <x v="1"/>
    <s v="B"/>
    <x v="7"/>
    <s v="2023-09-19"/>
    <n v="77"/>
  </r>
  <r>
    <s v="S0411"/>
    <s v="Karan"/>
    <s v="Das"/>
    <x v="0"/>
    <n v="17"/>
    <x v="1"/>
    <s v="B"/>
    <x v="4"/>
    <s v="2023-05-14"/>
    <n v="95"/>
  </r>
  <r>
    <s v="S0412"/>
    <s v="Riya"/>
    <s v="Kumar"/>
    <x v="1"/>
    <n v="17"/>
    <x v="1"/>
    <s v="B"/>
    <x v="5"/>
    <s v="2025-02-28"/>
    <n v="59"/>
  </r>
  <r>
    <s v="S0413"/>
    <s v="Karan"/>
    <s v="Ghosh"/>
    <x v="1"/>
    <n v="18"/>
    <x v="3"/>
    <s v="A"/>
    <x v="7"/>
    <s v="2025-05-04"/>
    <n v="97"/>
  </r>
  <r>
    <s v="S0414"/>
    <s v="Priya"/>
    <s v="Mishra"/>
    <x v="0"/>
    <n v="14"/>
    <x v="0"/>
    <s v="D"/>
    <x v="6"/>
    <s v="2023-11-02"/>
    <n v="89"/>
  </r>
  <r>
    <s v="S0415"/>
    <s v="Riya"/>
    <s v="Ghosh"/>
    <x v="0"/>
    <n v="19"/>
    <x v="2"/>
    <s v="D"/>
    <x v="6"/>
    <s v="2024-10-08"/>
    <n v="43"/>
  </r>
  <r>
    <s v="S0416"/>
    <s v="Priya"/>
    <s v="Kumar"/>
    <x v="1"/>
    <n v="17"/>
    <x v="0"/>
    <s v="D"/>
    <x v="0"/>
    <s v="2024-08-31"/>
    <n v="59"/>
  </r>
  <r>
    <s v="S0417"/>
    <s v="Vikram"/>
    <s v="Ghosh"/>
    <x v="1"/>
    <n v="16"/>
    <x v="0"/>
    <s v="C"/>
    <x v="7"/>
    <s v="2024-11-01"/>
    <n v="40"/>
  </r>
  <r>
    <s v="S0418"/>
    <s v="Riya"/>
    <s v="Roy"/>
    <x v="0"/>
    <n v="14"/>
    <x v="2"/>
    <s v="D"/>
    <x v="5"/>
    <s v="2024-04-15"/>
    <n v="92"/>
  </r>
  <r>
    <s v="S0419"/>
    <s v="Pooja"/>
    <s v="Paul"/>
    <x v="0"/>
    <n v="14"/>
    <x v="0"/>
    <s v="B"/>
    <x v="5"/>
    <s v="2024-07-27"/>
    <n v="49"/>
  </r>
  <r>
    <s v="S0420"/>
    <s v="Priya"/>
    <s v="Patel"/>
    <x v="0"/>
    <n v="20"/>
    <x v="3"/>
    <s v="B"/>
    <x v="6"/>
    <s v="2024-12-06"/>
    <n v="44"/>
  </r>
  <r>
    <s v="S0421"/>
    <s v="Arjun"/>
    <s v="Gupta"/>
    <x v="0"/>
    <n v="15"/>
    <x v="0"/>
    <s v="C"/>
    <x v="5"/>
    <s v="2025-08-12"/>
    <n v="62"/>
  </r>
  <r>
    <s v="S0422"/>
    <s v="Pooja"/>
    <s v="Patel"/>
    <x v="0"/>
    <n v="17"/>
    <x v="1"/>
    <s v="A"/>
    <x v="5"/>
    <s v="2025-03-29"/>
    <n v="60"/>
  </r>
  <r>
    <s v="S0423"/>
    <s v="Amit"/>
    <s v="Roy"/>
    <x v="1"/>
    <n v="17"/>
    <x v="0"/>
    <s v="B"/>
    <x v="7"/>
    <s v="2023-04-08"/>
    <n v="47"/>
  </r>
  <r>
    <s v="S0424"/>
    <s v="Karan"/>
    <s v="Ghosh"/>
    <x v="1"/>
    <n v="15"/>
    <x v="2"/>
    <s v="D"/>
    <x v="7"/>
    <s v="2024-11-17"/>
    <n v="79"/>
  </r>
  <r>
    <s v="S0425"/>
    <s v="Arjun"/>
    <s v="Gupta"/>
    <x v="1"/>
    <n v="19"/>
    <x v="3"/>
    <s v="B"/>
    <x v="2"/>
    <s v="2024-06-10"/>
    <n v="56"/>
  </r>
  <r>
    <s v="S0426"/>
    <s v="Amit"/>
    <s v="Kumar"/>
    <x v="1"/>
    <n v="14"/>
    <x v="0"/>
    <s v="C"/>
    <x v="7"/>
    <s v="2023-01-15"/>
    <n v="56"/>
  </r>
  <r>
    <s v="S0427"/>
    <s v="Amit"/>
    <s v="Ghosh"/>
    <x v="0"/>
    <n v="20"/>
    <x v="1"/>
    <s v="A"/>
    <x v="2"/>
    <s v="2025-02-06"/>
    <n v="52"/>
  </r>
  <r>
    <s v="S0428"/>
    <s v="Sneha"/>
    <s v="Ghosh"/>
    <x v="1"/>
    <n v="18"/>
    <x v="1"/>
    <s v="C"/>
    <x v="3"/>
    <s v="2023-08-29"/>
    <n v="94"/>
  </r>
  <r>
    <s v="S0429"/>
    <s v="Riya"/>
    <s v="Das"/>
    <x v="1"/>
    <n v="20"/>
    <x v="2"/>
    <s v="B"/>
    <x v="3"/>
    <s v="2024-07-26"/>
    <n v="43"/>
  </r>
  <r>
    <s v="S0430"/>
    <s v="Arjun"/>
    <s v="Gupta"/>
    <x v="1"/>
    <n v="15"/>
    <x v="0"/>
    <s v="C"/>
    <x v="3"/>
    <s v="2025-05-24"/>
    <n v="42"/>
  </r>
  <r>
    <s v="S0431"/>
    <s v="Neha"/>
    <s v="Paul"/>
    <x v="0"/>
    <n v="14"/>
    <x v="1"/>
    <s v="D"/>
    <x v="6"/>
    <s v="2024-09-06"/>
    <n v="65"/>
  </r>
  <r>
    <s v="S0432"/>
    <s v="Priya"/>
    <s v="Gupta"/>
    <x v="0"/>
    <n v="15"/>
    <x v="2"/>
    <s v="A"/>
    <x v="4"/>
    <s v="2025-01-17"/>
    <n v="64"/>
  </r>
  <r>
    <s v="S0433"/>
    <s v="Karan"/>
    <s v="Patel"/>
    <x v="1"/>
    <n v="17"/>
    <x v="2"/>
    <s v="C"/>
    <x v="6"/>
    <s v="2023-01-15"/>
    <n v="59"/>
  </r>
  <r>
    <s v="S0434"/>
    <s v="Riya"/>
    <s v="Kumar"/>
    <x v="1"/>
    <n v="19"/>
    <x v="2"/>
    <s v="A"/>
    <x v="0"/>
    <s v="2023-03-16"/>
    <n v="35"/>
  </r>
  <r>
    <s v="S0435"/>
    <s v="Pooja"/>
    <s v="Mishra"/>
    <x v="1"/>
    <n v="15"/>
    <x v="0"/>
    <s v="C"/>
    <x v="7"/>
    <s v="2023-08-13"/>
    <n v="37"/>
  </r>
  <r>
    <s v="S0436"/>
    <s v="Amit"/>
    <s v="Gupta"/>
    <x v="1"/>
    <n v="16"/>
    <x v="0"/>
    <s v="B"/>
    <x v="6"/>
    <s v="2025-08-04"/>
    <n v="52"/>
  </r>
  <r>
    <s v="S0437"/>
    <s v="Amit"/>
    <s v="Patel"/>
    <x v="0"/>
    <n v="16"/>
    <x v="2"/>
    <s v="B"/>
    <x v="3"/>
    <s v="2025-01-04"/>
    <n v="64"/>
  </r>
  <r>
    <s v="S0438"/>
    <s v="Priya"/>
    <s v="Kumar"/>
    <x v="1"/>
    <n v="17"/>
    <x v="0"/>
    <s v="D"/>
    <x v="0"/>
    <s v="2024-07-29"/>
    <n v="35"/>
  </r>
  <r>
    <s v="S0439"/>
    <s v="Priya"/>
    <s v="Paul"/>
    <x v="1"/>
    <n v="20"/>
    <x v="0"/>
    <s v="C"/>
    <x v="0"/>
    <s v="2024-10-27"/>
    <n v="37"/>
  </r>
  <r>
    <s v="S0440"/>
    <s v="Karan"/>
    <s v="Singh"/>
    <x v="0"/>
    <n v="15"/>
    <x v="2"/>
    <s v="A"/>
    <x v="3"/>
    <s v="2025-09-24"/>
    <n v="51"/>
  </r>
  <r>
    <s v="S0441"/>
    <s v="Riya"/>
    <s v="Paul"/>
    <x v="1"/>
    <n v="17"/>
    <x v="0"/>
    <s v="D"/>
    <x v="4"/>
    <s v="2023-10-18"/>
    <n v="43"/>
  </r>
  <r>
    <s v="S0442"/>
    <s v="Sneha"/>
    <s v="Das"/>
    <x v="1"/>
    <n v="19"/>
    <x v="3"/>
    <s v="C"/>
    <x v="7"/>
    <s v="2024-12-09"/>
    <n v="44"/>
  </r>
  <r>
    <s v="S0443"/>
    <s v="Neha"/>
    <s v="Ghosh"/>
    <x v="0"/>
    <n v="17"/>
    <x v="1"/>
    <s v="D"/>
    <x v="5"/>
    <s v="2024-01-04"/>
    <n v="41"/>
  </r>
  <r>
    <s v="S0444"/>
    <s v="Amit"/>
    <s v="Roy"/>
    <x v="1"/>
    <n v="16"/>
    <x v="0"/>
    <s v="D"/>
    <x v="6"/>
    <s v="2023-04-02"/>
    <n v="78"/>
  </r>
  <r>
    <s v="S0445"/>
    <s v="Arjun"/>
    <s v="Mishra"/>
    <x v="0"/>
    <n v="14"/>
    <x v="2"/>
    <s v="D"/>
    <x v="2"/>
    <s v="2024-09-18"/>
    <n v="90"/>
  </r>
  <r>
    <s v="S0446"/>
    <s v="Priya"/>
    <s v="Gupta"/>
    <x v="0"/>
    <n v="15"/>
    <x v="2"/>
    <s v="B"/>
    <x v="1"/>
    <s v="2025-07-12"/>
    <n v="74"/>
  </r>
  <r>
    <s v="S0447"/>
    <s v="Arjun"/>
    <s v="Gupta"/>
    <x v="0"/>
    <n v="15"/>
    <x v="3"/>
    <s v="B"/>
    <x v="6"/>
    <s v="2025-07-11"/>
    <n v="84"/>
  </r>
  <r>
    <s v="S0448"/>
    <s v="Priya"/>
    <s v="Sharma"/>
    <x v="0"/>
    <n v="16"/>
    <x v="2"/>
    <s v="B"/>
    <x v="6"/>
    <s v="2023-12-04"/>
    <n v="78"/>
  </r>
  <r>
    <s v="S0449"/>
    <s v="Amit"/>
    <s v="Mishra"/>
    <x v="0"/>
    <n v="20"/>
    <x v="3"/>
    <s v="A"/>
    <x v="6"/>
    <s v="2024-09-06"/>
    <n v="94"/>
  </r>
  <r>
    <s v="S0450"/>
    <s v="Neha"/>
    <s v="Paul"/>
    <x v="1"/>
    <n v="19"/>
    <x v="2"/>
    <s v="C"/>
    <x v="2"/>
    <s v="2024-06-25"/>
    <n v="88"/>
  </r>
  <r>
    <s v="S0451"/>
    <s v="Vikram"/>
    <s v="Paul"/>
    <x v="0"/>
    <n v="16"/>
    <x v="1"/>
    <s v="B"/>
    <x v="3"/>
    <s v="2024-09-26"/>
    <n v="84"/>
  </r>
  <r>
    <s v="S0452"/>
    <s v="Arjun"/>
    <s v="Roy"/>
    <x v="0"/>
    <n v="17"/>
    <x v="2"/>
    <s v="C"/>
    <x v="0"/>
    <s v="2025-09-23"/>
    <n v="86"/>
  </r>
  <r>
    <s v="S0453"/>
    <s v="Neha"/>
    <s v="Patel"/>
    <x v="0"/>
    <n v="17"/>
    <x v="0"/>
    <s v="B"/>
    <x v="1"/>
    <s v="2024-09-07"/>
    <n v="92"/>
  </r>
  <r>
    <s v="S0454"/>
    <s v="Amit"/>
    <s v="Roy"/>
    <x v="0"/>
    <n v="15"/>
    <x v="3"/>
    <s v="B"/>
    <x v="6"/>
    <s v="2025-03-11"/>
    <n v="97"/>
  </r>
  <r>
    <s v="S0455"/>
    <s v="Rahul"/>
    <s v="Singh"/>
    <x v="1"/>
    <n v="15"/>
    <x v="2"/>
    <s v="C"/>
    <x v="6"/>
    <s v="2024-02-22"/>
    <n v="45"/>
  </r>
  <r>
    <s v="S0456"/>
    <s v="Pooja"/>
    <s v="Mishra"/>
    <x v="1"/>
    <n v="17"/>
    <x v="2"/>
    <s v="C"/>
    <x v="2"/>
    <s v="2024-01-08"/>
    <n v="53"/>
  </r>
  <r>
    <s v="S0457"/>
    <s v="Sneha"/>
    <s v="Paul"/>
    <x v="0"/>
    <n v="20"/>
    <x v="0"/>
    <s v="D"/>
    <x v="7"/>
    <s v="2024-01-17"/>
    <n v="66"/>
  </r>
  <r>
    <s v="S0458"/>
    <s v="Amit"/>
    <s v="Ghosh"/>
    <x v="1"/>
    <n v="19"/>
    <x v="1"/>
    <s v="A"/>
    <x v="7"/>
    <s v="2024-02-15"/>
    <n v="83"/>
  </r>
  <r>
    <s v="S0459"/>
    <s v="Neha"/>
    <s v="Kumar"/>
    <x v="0"/>
    <n v="16"/>
    <x v="0"/>
    <s v="B"/>
    <x v="6"/>
    <s v="2024-12-28"/>
    <n v="35"/>
  </r>
  <r>
    <s v="S0460"/>
    <s v="Amit"/>
    <s v="Roy"/>
    <x v="1"/>
    <n v="16"/>
    <x v="2"/>
    <s v="C"/>
    <x v="2"/>
    <s v="2024-10-16"/>
    <n v="48"/>
  </r>
  <r>
    <s v="S0461"/>
    <s v="Pooja"/>
    <s v="Sharma"/>
    <x v="0"/>
    <n v="19"/>
    <x v="0"/>
    <s v="D"/>
    <x v="2"/>
    <s v="2024-12-12"/>
    <n v="81"/>
  </r>
  <r>
    <s v="S0462"/>
    <s v="Amit"/>
    <s v="Sharma"/>
    <x v="0"/>
    <n v="15"/>
    <x v="3"/>
    <s v="A"/>
    <x v="3"/>
    <s v="2023-06-20"/>
    <n v="86"/>
  </r>
  <r>
    <s v="S0463"/>
    <s v="Pooja"/>
    <s v="Roy"/>
    <x v="1"/>
    <n v="14"/>
    <x v="1"/>
    <s v="D"/>
    <x v="5"/>
    <s v="2024-05-23"/>
    <n v="58"/>
  </r>
  <r>
    <s v="S0464"/>
    <s v="Karan"/>
    <s v="Sharma"/>
    <x v="0"/>
    <n v="19"/>
    <x v="2"/>
    <s v="C"/>
    <x v="1"/>
    <s v="2023-01-12"/>
    <n v="69"/>
  </r>
  <r>
    <s v="S0465"/>
    <s v="Arjun"/>
    <s v="Gupta"/>
    <x v="0"/>
    <n v="16"/>
    <x v="3"/>
    <s v="A"/>
    <x v="7"/>
    <s v="2024-01-11"/>
    <n v="65"/>
  </r>
  <r>
    <s v="S0466"/>
    <s v="Sneha"/>
    <s v="Singh"/>
    <x v="1"/>
    <n v="17"/>
    <x v="2"/>
    <s v="B"/>
    <x v="7"/>
    <s v="2024-08-13"/>
    <n v="53"/>
  </r>
  <r>
    <s v="S0467"/>
    <s v="Karan"/>
    <s v="Patel"/>
    <x v="1"/>
    <n v="18"/>
    <x v="0"/>
    <s v="B"/>
    <x v="1"/>
    <s v="2023-09-22"/>
    <n v="92"/>
  </r>
  <r>
    <s v="S0468"/>
    <s v="Vikram"/>
    <s v="Das"/>
    <x v="1"/>
    <n v="18"/>
    <x v="1"/>
    <s v="A"/>
    <x v="5"/>
    <s v="2023-04-25"/>
    <n v="88"/>
  </r>
  <r>
    <s v="S0469"/>
    <s v="Vikram"/>
    <s v="Ghosh"/>
    <x v="1"/>
    <n v="17"/>
    <x v="0"/>
    <s v="A"/>
    <x v="6"/>
    <s v="2024-01-31"/>
    <n v="56"/>
  </r>
  <r>
    <s v="S0470"/>
    <s v="Priya"/>
    <s v="Singh"/>
    <x v="0"/>
    <n v="17"/>
    <x v="2"/>
    <s v="B"/>
    <x v="5"/>
    <s v="2023-10-21"/>
    <n v="46"/>
  </r>
  <r>
    <s v="S0471"/>
    <s v="Karan"/>
    <s v="Ghosh"/>
    <x v="1"/>
    <n v="20"/>
    <x v="2"/>
    <s v="B"/>
    <x v="2"/>
    <s v="2025-03-31"/>
    <n v="36"/>
  </r>
  <r>
    <s v="S0472"/>
    <s v="Sneha"/>
    <s v="Kumar"/>
    <x v="0"/>
    <n v="15"/>
    <x v="3"/>
    <s v="B"/>
    <x v="2"/>
    <s v="2025-05-20"/>
    <n v="95"/>
  </r>
  <r>
    <s v="S0473"/>
    <s v="Amit"/>
    <s v="Das"/>
    <x v="0"/>
    <n v="17"/>
    <x v="0"/>
    <s v="D"/>
    <x v="6"/>
    <s v="2025-08-11"/>
    <n v="58"/>
  </r>
  <r>
    <s v="S0474"/>
    <s v="Sneha"/>
    <s v="Ghosh"/>
    <x v="0"/>
    <n v="15"/>
    <x v="0"/>
    <s v="B"/>
    <x v="3"/>
    <s v="2023-01-09"/>
    <n v="88"/>
  </r>
  <r>
    <s v="S0475"/>
    <s v="Vikram"/>
    <s v="Das"/>
    <x v="1"/>
    <n v="18"/>
    <x v="3"/>
    <s v="B"/>
    <x v="4"/>
    <s v="2024-08-25"/>
    <n v="75"/>
  </r>
  <r>
    <s v="S0476"/>
    <s v="Neha"/>
    <s v="Paul"/>
    <x v="1"/>
    <n v="14"/>
    <x v="3"/>
    <s v="B"/>
    <x v="3"/>
    <s v="2023-07-21"/>
    <n v="59"/>
  </r>
  <r>
    <s v="S0477"/>
    <s v="Riya"/>
    <s v="Singh"/>
    <x v="1"/>
    <n v="20"/>
    <x v="1"/>
    <s v="C"/>
    <x v="4"/>
    <s v="2024-06-24"/>
    <n v="55"/>
  </r>
  <r>
    <s v="S0478"/>
    <s v="Riya"/>
    <s v="Singh"/>
    <x v="0"/>
    <n v="16"/>
    <x v="1"/>
    <s v="C"/>
    <x v="4"/>
    <s v="2024-06-05"/>
    <n v="81"/>
  </r>
  <r>
    <s v="S0479"/>
    <s v="Pooja"/>
    <s v="Kumar"/>
    <x v="0"/>
    <n v="17"/>
    <x v="1"/>
    <s v="D"/>
    <x v="7"/>
    <s v="2024-09-19"/>
    <n v="75"/>
  </r>
  <r>
    <s v="S0480"/>
    <s v="Sneha"/>
    <s v="Ghosh"/>
    <x v="1"/>
    <n v="14"/>
    <x v="0"/>
    <s v="B"/>
    <x v="5"/>
    <s v="2023-03-17"/>
    <n v="55"/>
  </r>
  <r>
    <s v="S0481"/>
    <s v="Rahul"/>
    <s v="Paul"/>
    <x v="1"/>
    <n v="18"/>
    <x v="3"/>
    <s v="D"/>
    <x v="0"/>
    <s v="2023-04-12"/>
    <n v="87"/>
  </r>
  <r>
    <s v="S0482"/>
    <s v="Karan"/>
    <s v="Ghosh"/>
    <x v="1"/>
    <n v="17"/>
    <x v="1"/>
    <s v="A"/>
    <x v="5"/>
    <s v="2024-09-10"/>
    <n v="70"/>
  </r>
  <r>
    <s v="S0483"/>
    <s v="Vikram"/>
    <s v="Patel"/>
    <x v="0"/>
    <n v="14"/>
    <x v="0"/>
    <s v="B"/>
    <x v="0"/>
    <s v="2025-07-18"/>
    <n v="69"/>
  </r>
  <r>
    <s v="S0484"/>
    <s v="Karan"/>
    <s v="Patel"/>
    <x v="1"/>
    <n v="17"/>
    <x v="2"/>
    <s v="D"/>
    <x v="5"/>
    <s v="2025-07-23"/>
    <n v="85"/>
  </r>
  <r>
    <s v="S0485"/>
    <s v="Sneha"/>
    <s v="Mishra"/>
    <x v="1"/>
    <n v="19"/>
    <x v="3"/>
    <s v="C"/>
    <x v="2"/>
    <s v="2024-10-14"/>
    <n v="87"/>
  </r>
  <r>
    <s v="S0486"/>
    <s v="Karan"/>
    <s v="Das"/>
    <x v="0"/>
    <n v="14"/>
    <x v="1"/>
    <s v="B"/>
    <x v="0"/>
    <s v="2025-03-16"/>
    <n v="92"/>
  </r>
  <r>
    <s v="S0487"/>
    <s v="Amit"/>
    <s v="Roy"/>
    <x v="0"/>
    <n v="19"/>
    <x v="0"/>
    <s v="B"/>
    <x v="1"/>
    <s v="2024-02-20"/>
    <n v="58"/>
  </r>
  <r>
    <s v="S0488"/>
    <s v="Vikram"/>
    <s v="Gupta"/>
    <x v="1"/>
    <n v="16"/>
    <x v="1"/>
    <s v="C"/>
    <x v="3"/>
    <s v="2023-06-21"/>
    <n v="77"/>
  </r>
  <r>
    <s v="S0489"/>
    <s v="Vikram"/>
    <s v="Singh"/>
    <x v="1"/>
    <n v="18"/>
    <x v="2"/>
    <s v="A"/>
    <x v="1"/>
    <s v="2023-04-13"/>
    <n v="86"/>
  </r>
  <r>
    <s v="S0490"/>
    <s v="Pooja"/>
    <s v="Sharma"/>
    <x v="0"/>
    <n v="14"/>
    <x v="2"/>
    <s v="A"/>
    <x v="1"/>
    <s v="2025-05-19"/>
    <n v="94"/>
  </r>
  <r>
    <s v="S0491"/>
    <s v="Karan"/>
    <s v="Gupta"/>
    <x v="0"/>
    <n v="20"/>
    <x v="3"/>
    <s v="B"/>
    <x v="0"/>
    <s v="2023-06-27"/>
    <n v="49"/>
  </r>
  <r>
    <s v="S0492"/>
    <s v="Neha"/>
    <s v="Singh"/>
    <x v="0"/>
    <n v="15"/>
    <x v="1"/>
    <s v="A"/>
    <x v="2"/>
    <s v="2023-12-04"/>
    <n v="55"/>
  </r>
  <r>
    <s v="S0493"/>
    <s v="Neha"/>
    <s v="Mishra"/>
    <x v="1"/>
    <n v="20"/>
    <x v="2"/>
    <s v="D"/>
    <x v="6"/>
    <s v="2024-05-11"/>
    <n v="62"/>
  </r>
  <r>
    <s v="S0494"/>
    <s v="Karan"/>
    <s v="Kumar"/>
    <x v="0"/>
    <n v="20"/>
    <x v="2"/>
    <s v="C"/>
    <x v="4"/>
    <s v="2025-07-19"/>
    <n v="85"/>
  </r>
  <r>
    <s v="S0495"/>
    <s v="Arjun"/>
    <s v="Mishra"/>
    <x v="0"/>
    <n v="20"/>
    <x v="3"/>
    <s v="D"/>
    <x v="0"/>
    <s v="2023-11-17"/>
    <n v="42"/>
  </r>
  <r>
    <s v="S0496"/>
    <s v="Arjun"/>
    <s v="Patel"/>
    <x v="1"/>
    <n v="18"/>
    <x v="3"/>
    <s v="B"/>
    <x v="3"/>
    <s v="2024-08-31"/>
    <n v="88"/>
  </r>
  <r>
    <s v="S0497"/>
    <s v="Amit"/>
    <s v="Paul"/>
    <x v="0"/>
    <n v="20"/>
    <x v="3"/>
    <s v="C"/>
    <x v="5"/>
    <s v="2024-10-15"/>
    <n v="94"/>
  </r>
  <r>
    <s v="S0498"/>
    <s v="Pooja"/>
    <s v="Sharma"/>
    <x v="1"/>
    <n v="16"/>
    <x v="0"/>
    <s v="D"/>
    <x v="7"/>
    <s v="2024-11-01"/>
    <n v="90"/>
  </r>
  <r>
    <s v="S0499"/>
    <s v="Amit"/>
    <s v="Patel"/>
    <x v="0"/>
    <n v="16"/>
    <x v="1"/>
    <s v="D"/>
    <x v="2"/>
    <s v="2025-06-05"/>
    <n v="41"/>
  </r>
  <r>
    <s v="S0500"/>
    <s v="Arjun"/>
    <s v="Mishra"/>
    <x v="1"/>
    <n v="18"/>
    <x v="2"/>
    <s v="C"/>
    <x v="7"/>
    <s v="2023-08-05"/>
    <n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4DAA7-5F56-40D3-B0DA-1BCD5871105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:Q15" firstHeaderRow="1" firstDataRow="2" firstDataCol="1"/>
  <pivotFields count="10">
    <pivotField dataField="1" showAll="0"/>
    <pivotField showAll="0"/>
    <pivotField showAll="0"/>
    <pivotField axis="axisCol" showAll="0">
      <items count="3">
        <item x="1"/>
        <item x="0"/>
        <item t="default"/>
      </items>
    </pivotField>
    <pivotField numFmtId="1" showAll="0"/>
    <pivotField numFmtId="1" showAll="0"/>
    <pivotField showAll="0"/>
    <pivotField axis="axisRow" showAll="0">
      <items count="9">
        <item x="3"/>
        <item x="7"/>
        <item x="6"/>
        <item x="4"/>
        <item x="1"/>
        <item x="2"/>
        <item x="5"/>
        <item x="0"/>
        <item t="default"/>
      </items>
    </pivotField>
    <pivotField showAll="0"/>
    <pivotField numFmtId="1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E6BD6-A10F-48AF-B3B0-5C3D5CB5805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10" firstHeaderRow="1" firstDataRow="1" firstDataCol="1"/>
  <pivotFields count="10">
    <pivotField showAll="0"/>
    <pivotField showAll="0"/>
    <pivotField showAll="0"/>
    <pivotField showAll="0"/>
    <pivotField dataField="1" numFmtId="1" showAll="0"/>
    <pivotField axis="axisRow" numFmtId="1" showAll="0">
      <items count="5">
        <item x="2"/>
        <item x="0"/>
        <item x="3"/>
        <item x="1"/>
        <item t="default"/>
      </items>
    </pivotField>
    <pivotField showAll="0"/>
    <pivotField showAll="0">
      <items count="9">
        <item x="3"/>
        <item x="7"/>
        <item x="6"/>
        <item x="4"/>
        <item x="1"/>
        <item x="2"/>
        <item x="5"/>
        <item x="0"/>
        <item t="default"/>
      </items>
    </pivotField>
    <pivotField showAll="0"/>
    <pivotField numFmtI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ge" fld="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B3B42-3EB0-4077-9B0B-B6023AA92E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5:G8" firstHeaderRow="1" firstDataRow="1" firstDataCol="1"/>
  <pivotFields count="10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numFmtId="1" showAll="0"/>
    <pivotField numFmtId="1" showAll="0"/>
    <pivotField showAll="0"/>
    <pivotField showAll="0">
      <items count="9">
        <item x="3"/>
        <item x="7"/>
        <item x="6"/>
        <item x="4"/>
        <item x="1"/>
        <item x="2"/>
        <item x="5"/>
        <item x="0"/>
        <item t="default"/>
      </items>
    </pivotField>
    <pivotField showAll="0"/>
    <pivotField numFmtI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3FE87-7970-4FAC-B186-5D8F20FBE09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22:G27" firstHeaderRow="1" firstDataRow="1" firstDataCol="1"/>
  <pivotFields count="10">
    <pivotField showAll="0"/>
    <pivotField showAll="0"/>
    <pivotField showAll="0"/>
    <pivotField showAll="0"/>
    <pivotField numFmtId="1" showAll="0"/>
    <pivotField axis="axisRow" numFmtId="1" showAll="0" sortType="a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" showAll="0"/>
  </pivotFields>
  <rowFields count="1">
    <field x="5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Average of Marks" fld="9" subtotal="average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0F0D1-37C2-461F-BBE8-B4FC8B548D7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2:C31" firstHeaderRow="1" firstDataRow="1" firstDataCol="1"/>
  <pivotFields count="10">
    <pivotField dataField="1" showAll="0"/>
    <pivotField showAll="0"/>
    <pivotField showAll="0"/>
    <pivotField showAll="0"/>
    <pivotField numFmtId="1" showAll="0"/>
    <pivotField numFmtId="1" showAll="0"/>
    <pivotField showAll="0"/>
    <pivotField axis="axisRow" showAll="0" sortType="ascending">
      <items count="9">
        <item x="3"/>
        <item x="7"/>
        <item x="6"/>
        <item x="4"/>
        <item x="1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</pivotFields>
  <rowFields count="1">
    <field x="7"/>
  </rowFields>
  <rowItems count="9">
    <i>
      <x v="7"/>
    </i>
    <i>
      <x v="5"/>
    </i>
    <i>
      <x/>
    </i>
    <i>
      <x v="4"/>
    </i>
    <i>
      <x v="3"/>
    </i>
    <i>
      <x v="1"/>
    </i>
    <i>
      <x v="6"/>
    </i>
    <i>
      <x v="2"/>
    </i>
    <i t="grand">
      <x/>
    </i>
  </rowItems>
  <colItems count="1">
    <i/>
  </colItems>
  <dataFields count="1">
    <dataField name="Count of Stu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C5646-8C87-4432-A29C-50DAD9EC65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5:C14" firstHeaderRow="1" firstDataRow="1" firstDataCol="1"/>
  <pivotFields count="10"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>
      <items count="9">
        <item x="3"/>
        <item x="7"/>
        <item x="6"/>
        <item x="4"/>
        <item x="1"/>
        <item x="2"/>
        <item x="5"/>
        <item x="0"/>
        <item t="default"/>
      </items>
    </pivotField>
    <pivotField showAll="0"/>
    <pivotField dataField="1" numFmtId="1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Marks" fld="9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B6E8B-972B-40B9-9586-5A729067B6B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T10" firstHeaderRow="1" firstDataRow="1" firstDataCol="1"/>
  <pivotFields count="10">
    <pivotField showAll="0"/>
    <pivotField showAll="0"/>
    <pivotField showAll="0"/>
    <pivotField showAll="0"/>
    <pivotField numFmtId="1" showAll="0"/>
    <pivotField axis="axisRow" numFmtId="1" showAll="0">
      <items count="5">
        <item x="2"/>
        <item x="0"/>
        <item x="3"/>
        <item x="1"/>
        <item t="default"/>
      </items>
    </pivotField>
    <pivotField showAll="0"/>
    <pivotField showAll="0">
      <items count="9">
        <item x="3"/>
        <item x="7"/>
        <item x="6"/>
        <item x="4"/>
        <item x="1"/>
        <item x="2"/>
        <item x="5"/>
        <item x="0"/>
        <item t="default"/>
      </items>
    </pivotField>
    <pivotField showAll="0"/>
    <pivotField dataField="1" numFmtI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Marks" fld="9" subtotal="max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A39D5-9003-4824-A5E9-10B79A2C815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L4" firstHeaderRow="1" firstDataRow="1" firstDataCol="0"/>
  <pivotFields count="10"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dataField="1" numFmtId="1" showAll="0"/>
  </pivotFields>
  <rowItems count="1">
    <i/>
  </rowItems>
  <colItems count="1">
    <i/>
  </colItems>
  <dataFields count="1">
    <dataField name="Lowest Marks" fld="9" subtotal="min" baseField="0" baseItem="0" numFmtId="1"/>
  </dataFields>
  <formats count="3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DB811-C37A-401D-91CA-334905F8C5C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K4" firstHeaderRow="1" firstDataRow="1" firstDataCol="0"/>
  <pivotFields count="10"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dataField="1" numFmtId="1" showAll="0"/>
  </pivotFields>
  <rowItems count="1">
    <i/>
  </rowItems>
  <colItems count="1">
    <i/>
  </colItems>
  <dataFields count="1">
    <dataField name="Highest Marks" fld="9" subtotal="max" baseField="0" baseItem="0" numFmtId="1"/>
  </dataFields>
  <formats count="3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B91E4-467E-43A1-997A-7101A70D6A6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J4" firstHeaderRow="1" firstDataRow="1" firstDataCol="0"/>
  <pivotFields count="10"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dataField="1" numFmtId="1" showAll="0"/>
  </pivotFields>
  <rowItems count="1">
    <i/>
  </rowItems>
  <colItems count="1">
    <i/>
  </colItems>
  <dataFields count="1">
    <dataField name="Average Marks" fld="9" subtotal="average" baseField="0" baseItem="0" numFmtId="1"/>
  </dataFields>
  <formats count="3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90104-8368-490C-A3EF-F422727F7AD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10">
    <pivotField dataField="1"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</pivotFields>
  <rowItems count="1">
    <i/>
  </rowItems>
  <colItems count="1">
    <i/>
  </colItems>
  <dataFields count="1">
    <dataField name="Total Students" fld="0" subtotal="count" baseField="0" baseItem="0"/>
  </dataFields>
  <formats count="3"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opLeftCell="A475" workbookViewId="0">
      <selection activeCell="B490" sqref="A1:J501"/>
    </sheetView>
  </sheetViews>
  <sheetFormatPr defaultRowHeight="14.4" x14ac:dyDescent="0.3"/>
  <cols>
    <col min="1" max="2" width="10.44140625" bestFit="1" customWidth="1"/>
    <col min="3" max="3" width="10.33203125" bestFit="1" customWidth="1"/>
    <col min="4" max="4" width="7.109375" bestFit="1" customWidth="1"/>
    <col min="5" max="6" width="5.5546875" bestFit="1" customWidth="1"/>
    <col min="7" max="7" width="7.21875" bestFit="1" customWidth="1"/>
    <col min="8" max="8" width="9.77734375" bestFit="1" customWidth="1"/>
    <col min="9" max="9" width="14.6640625" bestFit="1" customWidth="1"/>
    <col min="10" max="10" width="6.5546875" bestFit="1" customWidth="1"/>
  </cols>
  <sheetData>
    <row r="1" spans="1:10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4">
        <v>16</v>
      </c>
      <c r="F2" s="4">
        <v>10</v>
      </c>
      <c r="G2" s="1" t="s">
        <v>14</v>
      </c>
      <c r="H2" s="1" t="s">
        <v>15</v>
      </c>
      <c r="I2" s="5" t="s">
        <v>16</v>
      </c>
      <c r="J2" s="4">
        <v>37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13</v>
      </c>
      <c r="E3" s="4">
        <v>15</v>
      </c>
      <c r="F3" s="4">
        <v>12</v>
      </c>
      <c r="G3" s="1" t="s">
        <v>14</v>
      </c>
      <c r="H3" s="1" t="s">
        <v>20</v>
      </c>
      <c r="I3" s="5" t="s">
        <v>21</v>
      </c>
      <c r="J3" s="4">
        <v>98</v>
      </c>
    </row>
    <row r="4" spans="1:10" x14ac:dyDescent="0.3">
      <c r="A4" s="1" t="s">
        <v>22</v>
      </c>
      <c r="B4" s="1" t="s">
        <v>23</v>
      </c>
      <c r="C4" s="1" t="s">
        <v>24</v>
      </c>
      <c r="D4" s="1" t="s">
        <v>13</v>
      </c>
      <c r="E4" s="4">
        <v>14</v>
      </c>
      <c r="F4" s="4">
        <v>12</v>
      </c>
      <c r="G4" s="1" t="s">
        <v>25</v>
      </c>
      <c r="H4" s="1" t="s">
        <v>26</v>
      </c>
      <c r="I4" s="5" t="s">
        <v>27</v>
      </c>
      <c r="J4" s="4">
        <v>38</v>
      </c>
    </row>
    <row r="5" spans="1:10" x14ac:dyDescent="0.3">
      <c r="A5" s="1" t="s">
        <v>28</v>
      </c>
      <c r="B5" s="1" t="s">
        <v>29</v>
      </c>
      <c r="C5" s="1" t="s">
        <v>30</v>
      </c>
      <c r="D5" s="1" t="s">
        <v>31</v>
      </c>
      <c r="E5" s="4">
        <v>20</v>
      </c>
      <c r="F5" s="4">
        <v>9</v>
      </c>
      <c r="G5" s="1" t="s">
        <v>32</v>
      </c>
      <c r="H5" s="1" t="s">
        <v>26</v>
      </c>
      <c r="I5" s="5" t="s">
        <v>33</v>
      </c>
      <c r="J5" s="4">
        <v>84</v>
      </c>
    </row>
    <row r="6" spans="1:10" x14ac:dyDescent="0.3">
      <c r="A6" s="1" t="s">
        <v>34</v>
      </c>
      <c r="B6" s="1" t="s">
        <v>35</v>
      </c>
      <c r="C6" s="1" t="s">
        <v>36</v>
      </c>
      <c r="D6" s="1" t="s">
        <v>31</v>
      </c>
      <c r="E6" s="4">
        <v>17</v>
      </c>
      <c r="F6" s="4">
        <v>10</v>
      </c>
      <c r="G6" s="1" t="s">
        <v>32</v>
      </c>
      <c r="H6" s="1" t="s">
        <v>37</v>
      </c>
      <c r="I6" s="5" t="s">
        <v>38</v>
      </c>
      <c r="J6" s="4">
        <v>45</v>
      </c>
    </row>
    <row r="7" spans="1:10" x14ac:dyDescent="0.3">
      <c r="A7" s="1" t="s">
        <v>39</v>
      </c>
      <c r="B7" s="1" t="s">
        <v>11</v>
      </c>
      <c r="C7" s="1" t="s">
        <v>12</v>
      </c>
      <c r="D7" s="1" t="s">
        <v>31</v>
      </c>
      <c r="E7" s="4">
        <v>19</v>
      </c>
      <c r="F7" s="4">
        <v>10</v>
      </c>
      <c r="G7" s="1" t="s">
        <v>14</v>
      </c>
      <c r="H7" s="1" t="s">
        <v>40</v>
      </c>
      <c r="I7" s="5" t="s">
        <v>41</v>
      </c>
      <c r="J7" s="4">
        <v>36</v>
      </c>
    </row>
    <row r="8" spans="1:10" x14ac:dyDescent="0.3">
      <c r="A8" s="1" t="s">
        <v>42</v>
      </c>
      <c r="B8" s="1" t="s">
        <v>29</v>
      </c>
      <c r="C8" s="1" t="s">
        <v>24</v>
      </c>
      <c r="D8" s="1" t="s">
        <v>31</v>
      </c>
      <c r="E8" s="4">
        <v>20</v>
      </c>
      <c r="F8" s="4">
        <v>9</v>
      </c>
      <c r="G8" s="1" t="s">
        <v>43</v>
      </c>
      <c r="H8" s="1" t="s">
        <v>40</v>
      </c>
      <c r="I8" s="5" t="s">
        <v>44</v>
      </c>
      <c r="J8" s="4">
        <v>88</v>
      </c>
    </row>
    <row r="9" spans="1:10" x14ac:dyDescent="0.3">
      <c r="A9" s="1" t="s">
        <v>45</v>
      </c>
      <c r="B9" s="1" t="s">
        <v>35</v>
      </c>
      <c r="C9" s="1" t="s">
        <v>12</v>
      </c>
      <c r="D9" s="1" t="s">
        <v>13</v>
      </c>
      <c r="E9" s="4">
        <v>19</v>
      </c>
      <c r="F9" s="4">
        <v>12</v>
      </c>
      <c r="G9" s="1" t="s">
        <v>32</v>
      </c>
      <c r="H9" s="1" t="s">
        <v>46</v>
      </c>
      <c r="I9" s="5" t="s">
        <v>47</v>
      </c>
      <c r="J9" s="4">
        <v>60</v>
      </c>
    </row>
    <row r="10" spans="1:10" x14ac:dyDescent="0.3">
      <c r="A10" s="1" t="s">
        <v>48</v>
      </c>
      <c r="B10" s="1" t="s">
        <v>18</v>
      </c>
      <c r="C10" s="1" t="s">
        <v>30</v>
      </c>
      <c r="D10" s="1" t="s">
        <v>31</v>
      </c>
      <c r="E10" s="4">
        <v>19</v>
      </c>
      <c r="F10" s="4">
        <v>12</v>
      </c>
      <c r="G10" s="1" t="s">
        <v>14</v>
      </c>
      <c r="H10" s="1" t="s">
        <v>46</v>
      </c>
      <c r="I10" s="5" t="s">
        <v>49</v>
      </c>
      <c r="J10" s="4">
        <v>92</v>
      </c>
    </row>
    <row r="11" spans="1:10" x14ac:dyDescent="0.3">
      <c r="A11" s="1" t="s">
        <v>50</v>
      </c>
      <c r="B11" s="1" t="s">
        <v>51</v>
      </c>
      <c r="C11" s="1" t="s">
        <v>24</v>
      </c>
      <c r="D11" s="1" t="s">
        <v>31</v>
      </c>
      <c r="E11" s="4">
        <v>15</v>
      </c>
      <c r="F11" s="4">
        <v>9</v>
      </c>
      <c r="G11" s="1" t="s">
        <v>43</v>
      </c>
      <c r="H11" s="1" t="s">
        <v>15</v>
      </c>
      <c r="I11" s="5" t="s">
        <v>52</v>
      </c>
      <c r="J11" s="4">
        <v>90</v>
      </c>
    </row>
    <row r="12" spans="1:10" x14ac:dyDescent="0.3">
      <c r="A12" s="1" t="s">
        <v>53</v>
      </c>
      <c r="B12" s="1" t="s">
        <v>54</v>
      </c>
      <c r="C12" s="1" t="s">
        <v>55</v>
      </c>
      <c r="D12" s="1" t="s">
        <v>31</v>
      </c>
      <c r="E12" s="4">
        <v>20</v>
      </c>
      <c r="F12" s="4">
        <v>10</v>
      </c>
      <c r="G12" s="1" t="s">
        <v>25</v>
      </c>
      <c r="H12" s="1" t="s">
        <v>40</v>
      </c>
      <c r="I12" s="5" t="s">
        <v>56</v>
      </c>
      <c r="J12" s="4">
        <v>59</v>
      </c>
    </row>
    <row r="13" spans="1:10" x14ac:dyDescent="0.3">
      <c r="A13" s="1" t="s">
        <v>57</v>
      </c>
      <c r="B13" s="1" t="s">
        <v>51</v>
      </c>
      <c r="C13" s="1" t="s">
        <v>58</v>
      </c>
      <c r="D13" s="1" t="s">
        <v>13</v>
      </c>
      <c r="E13" s="4">
        <v>14</v>
      </c>
      <c r="F13" s="4">
        <v>12</v>
      </c>
      <c r="G13" s="1" t="s">
        <v>32</v>
      </c>
      <c r="H13" s="1" t="s">
        <v>40</v>
      </c>
      <c r="I13" s="5" t="s">
        <v>59</v>
      </c>
      <c r="J13" s="4">
        <v>43</v>
      </c>
    </row>
    <row r="14" spans="1:10" x14ac:dyDescent="0.3">
      <c r="A14" s="1" t="s">
        <v>60</v>
      </c>
      <c r="B14" s="1" t="s">
        <v>35</v>
      </c>
      <c r="C14" s="1" t="s">
        <v>55</v>
      </c>
      <c r="D14" s="1" t="s">
        <v>13</v>
      </c>
      <c r="E14" s="4">
        <v>15</v>
      </c>
      <c r="F14" s="4">
        <v>12</v>
      </c>
      <c r="G14" s="1" t="s">
        <v>14</v>
      </c>
      <c r="H14" s="1" t="s">
        <v>61</v>
      </c>
      <c r="I14" s="5" t="s">
        <v>62</v>
      </c>
      <c r="J14" s="4">
        <v>51</v>
      </c>
    </row>
    <row r="15" spans="1:10" x14ac:dyDescent="0.3">
      <c r="A15" s="1" t="s">
        <v>63</v>
      </c>
      <c r="B15" s="1" t="s">
        <v>11</v>
      </c>
      <c r="C15" s="1" t="s">
        <v>55</v>
      </c>
      <c r="D15" s="1" t="s">
        <v>13</v>
      </c>
      <c r="E15" s="4">
        <v>16</v>
      </c>
      <c r="F15" s="4">
        <v>10</v>
      </c>
      <c r="G15" s="1" t="s">
        <v>25</v>
      </c>
      <c r="H15" s="1" t="s">
        <v>26</v>
      </c>
      <c r="I15" s="5" t="s">
        <v>64</v>
      </c>
      <c r="J15" s="4">
        <v>42</v>
      </c>
    </row>
    <row r="16" spans="1:10" x14ac:dyDescent="0.3">
      <c r="A16" s="1" t="s">
        <v>65</v>
      </c>
      <c r="B16" s="1" t="s">
        <v>23</v>
      </c>
      <c r="C16" s="1" t="s">
        <v>30</v>
      </c>
      <c r="D16" s="1" t="s">
        <v>13</v>
      </c>
      <c r="E16" s="4">
        <v>20</v>
      </c>
      <c r="F16" s="4">
        <v>12</v>
      </c>
      <c r="G16" s="1" t="s">
        <v>14</v>
      </c>
      <c r="H16" s="1" t="s">
        <v>40</v>
      </c>
      <c r="I16" s="5" t="s">
        <v>66</v>
      </c>
      <c r="J16" s="4">
        <v>62</v>
      </c>
    </row>
    <row r="17" spans="1:10" x14ac:dyDescent="0.3">
      <c r="A17" s="1" t="s">
        <v>67</v>
      </c>
      <c r="B17" s="1" t="s">
        <v>68</v>
      </c>
      <c r="C17" s="1" t="s">
        <v>19</v>
      </c>
      <c r="D17" s="1" t="s">
        <v>13</v>
      </c>
      <c r="E17" s="4">
        <v>20</v>
      </c>
      <c r="F17" s="4">
        <v>9</v>
      </c>
      <c r="G17" s="1" t="s">
        <v>14</v>
      </c>
      <c r="H17" s="1" t="s">
        <v>20</v>
      </c>
      <c r="I17" s="5" t="s">
        <v>69</v>
      </c>
      <c r="J17" s="4">
        <v>55</v>
      </c>
    </row>
    <row r="18" spans="1:10" x14ac:dyDescent="0.3">
      <c r="A18" s="1" t="s">
        <v>70</v>
      </c>
      <c r="B18" s="1" t="s">
        <v>51</v>
      </c>
      <c r="C18" s="1" t="s">
        <v>36</v>
      </c>
      <c r="D18" s="1" t="s">
        <v>13</v>
      </c>
      <c r="E18" s="4">
        <v>14</v>
      </c>
      <c r="F18" s="4">
        <v>12</v>
      </c>
      <c r="G18" s="1" t="s">
        <v>25</v>
      </c>
      <c r="H18" s="1" t="s">
        <v>37</v>
      </c>
      <c r="I18" s="5" t="s">
        <v>71</v>
      </c>
      <c r="J18" s="4">
        <v>42</v>
      </c>
    </row>
    <row r="19" spans="1:10" x14ac:dyDescent="0.3">
      <c r="A19" s="1" t="s">
        <v>72</v>
      </c>
      <c r="B19" s="1" t="s">
        <v>73</v>
      </c>
      <c r="C19" s="1" t="s">
        <v>58</v>
      </c>
      <c r="D19" s="1" t="s">
        <v>31</v>
      </c>
      <c r="E19" s="4">
        <v>19</v>
      </c>
      <c r="F19" s="4">
        <v>9</v>
      </c>
      <c r="G19" s="1" t="s">
        <v>32</v>
      </c>
      <c r="H19" s="1" t="s">
        <v>46</v>
      </c>
      <c r="I19" s="5" t="s">
        <v>74</v>
      </c>
      <c r="J19" s="4">
        <v>76</v>
      </c>
    </row>
    <row r="20" spans="1:10" x14ac:dyDescent="0.3">
      <c r="A20" s="1" t="s">
        <v>75</v>
      </c>
      <c r="B20" s="1" t="s">
        <v>29</v>
      </c>
      <c r="C20" s="1" t="s">
        <v>58</v>
      </c>
      <c r="D20" s="1" t="s">
        <v>31</v>
      </c>
      <c r="E20" s="4">
        <v>17</v>
      </c>
      <c r="F20" s="4">
        <v>12</v>
      </c>
      <c r="G20" s="1" t="s">
        <v>32</v>
      </c>
      <c r="H20" s="1" t="s">
        <v>76</v>
      </c>
      <c r="I20" s="5" t="s">
        <v>77</v>
      </c>
      <c r="J20" s="4">
        <v>66</v>
      </c>
    </row>
    <row r="21" spans="1:10" x14ac:dyDescent="0.3">
      <c r="A21" s="1" t="s">
        <v>78</v>
      </c>
      <c r="B21" s="1" t="s">
        <v>68</v>
      </c>
      <c r="C21" s="1" t="s">
        <v>79</v>
      </c>
      <c r="D21" s="1" t="s">
        <v>31</v>
      </c>
      <c r="E21" s="4">
        <v>15</v>
      </c>
      <c r="F21" s="4">
        <v>10</v>
      </c>
      <c r="G21" s="1" t="s">
        <v>14</v>
      </c>
      <c r="H21" s="1" t="s">
        <v>20</v>
      </c>
      <c r="I21" s="5" t="s">
        <v>80</v>
      </c>
      <c r="J21" s="4">
        <v>59</v>
      </c>
    </row>
    <row r="22" spans="1:10" x14ac:dyDescent="0.3">
      <c r="A22" s="1" t="s">
        <v>81</v>
      </c>
      <c r="B22" s="1" t="s">
        <v>29</v>
      </c>
      <c r="C22" s="1" t="s">
        <v>58</v>
      </c>
      <c r="D22" s="1" t="s">
        <v>31</v>
      </c>
      <c r="E22" s="4">
        <v>19</v>
      </c>
      <c r="F22" s="4">
        <v>9</v>
      </c>
      <c r="G22" s="1" t="s">
        <v>14</v>
      </c>
      <c r="H22" s="1" t="s">
        <v>61</v>
      </c>
      <c r="I22" s="5" t="s">
        <v>82</v>
      </c>
      <c r="J22" s="4">
        <v>50</v>
      </c>
    </row>
    <row r="23" spans="1:10" x14ac:dyDescent="0.3">
      <c r="A23" s="1" t="s">
        <v>83</v>
      </c>
      <c r="B23" s="1" t="s">
        <v>84</v>
      </c>
      <c r="C23" s="1" t="s">
        <v>85</v>
      </c>
      <c r="D23" s="1" t="s">
        <v>31</v>
      </c>
      <c r="E23" s="4">
        <v>16</v>
      </c>
      <c r="F23" s="4">
        <v>9</v>
      </c>
      <c r="G23" s="1" t="s">
        <v>43</v>
      </c>
      <c r="H23" s="1" t="s">
        <v>37</v>
      </c>
      <c r="I23" s="5" t="s">
        <v>86</v>
      </c>
      <c r="J23" s="4">
        <v>52</v>
      </c>
    </row>
    <row r="24" spans="1:10" x14ac:dyDescent="0.3">
      <c r="A24" s="1" t="s">
        <v>87</v>
      </c>
      <c r="B24" s="1" t="s">
        <v>18</v>
      </c>
      <c r="C24" s="1" t="s">
        <v>12</v>
      </c>
      <c r="D24" s="1" t="s">
        <v>13</v>
      </c>
      <c r="E24" s="4">
        <v>20</v>
      </c>
      <c r="F24" s="4">
        <v>12</v>
      </c>
      <c r="G24" s="1" t="s">
        <v>32</v>
      </c>
      <c r="H24" s="1" t="s">
        <v>26</v>
      </c>
      <c r="I24" s="5" t="s">
        <v>88</v>
      </c>
      <c r="J24" s="4">
        <v>86</v>
      </c>
    </row>
    <row r="25" spans="1:10" x14ac:dyDescent="0.3">
      <c r="A25" s="1" t="s">
        <v>89</v>
      </c>
      <c r="B25" s="1" t="s">
        <v>68</v>
      </c>
      <c r="C25" s="1" t="s">
        <v>85</v>
      </c>
      <c r="D25" s="1" t="s">
        <v>31</v>
      </c>
      <c r="E25" s="4">
        <v>16</v>
      </c>
      <c r="F25" s="4">
        <v>9</v>
      </c>
      <c r="G25" s="1" t="s">
        <v>43</v>
      </c>
      <c r="H25" s="1" t="s">
        <v>20</v>
      </c>
      <c r="I25" s="5" t="s">
        <v>90</v>
      </c>
      <c r="J25" s="4">
        <v>52</v>
      </c>
    </row>
    <row r="26" spans="1:10" x14ac:dyDescent="0.3">
      <c r="A26" s="1" t="s">
        <v>91</v>
      </c>
      <c r="B26" s="1" t="s">
        <v>73</v>
      </c>
      <c r="C26" s="1" t="s">
        <v>12</v>
      </c>
      <c r="D26" s="1" t="s">
        <v>13</v>
      </c>
      <c r="E26" s="4">
        <v>20</v>
      </c>
      <c r="F26" s="4">
        <v>10</v>
      </c>
      <c r="G26" s="1" t="s">
        <v>43</v>
      </c>
      <c r="H26" s="1" t="s">
        <v>46</v>
      </c>
      <c r="I26" s="5" t="s">
        <v>92</v>
      </c>
      <c r="J26" s="4">
        <v>82</v>
      </c>
    </row>
    <row r="27" spans="1:10" x14ac:dyDescent="0.3">
      <c r="A27" s="1" t="s">
        <v>93</v>
      </c>
      <c r="B27" s="1" t="s">
        <v>29</v>
      </c>
      <c r="C27" s="1" t="s">
        <v>24</v>
      </c>
      <c r="D27" s="1" t="s">
        <v>31</v>
      </c>
      <c r="E27" s="4">
        <v>14</v>
      </c>
      <c r="F27" s="4">
        <v>12</v>
      </c>
      <c r="G27" s="1" t="s">
        <v>32</v>
      </c>
      <c r="H27" s="1" t="s">
        <v>61</v>
      </c>
      <c r="I27" s="5" t="s">
        <v>94</v>
      </c>
      <c r="J27" s="4">
        <v>72</v>
      </c>
    </row>
    <row r="28" spans="1:10" x14ac:dyDescent="0.3">
      <c r="A28" s="1" t="s">
        <v>95</v>
      </c>
      <c r="B28" s="1" t="s">
        <v>18</v>
      </c>
      <c r="C28" s="1" t="s">
        <v>96</v>
      </c>
      <c r="D28" s="1" t="s">
        <v>13</v>
      </c>
      <c r="E28" s="4">
        <v>19</v>
      </c>
      <c r="F28" s="4">
        <v>12</v>
      </c>
      <c r="G28" s="1" t="s">
        <v>14</v>
      </c>
      <c r="H28" s="1" t="s">
        <v>15</v>
      </c>
      <c r="I28" s="5" t="s">
        <v>97</v>
      </c>
      <c r="J28" s="4">
        <v>56</v>
      </c>
    </row>
    <row r="29" spans="1:10" x14ac:dyDescent="0.3">
      <c r="A29" s="1" t="s">
        <v>98</v>
      </c>
      <c r="B29" s="1" t="s">
        <v>68</v>
      </c>
      <c r="C29" s="1" t="s">
        <v>55</v>
      </c>
      <c r="D29" s="1" t="s">
        <v>13</v>
      </c>
      <c r="E29" s="4">
        <v>19</v>
      </c>
      <c r="F29" s="4">
        <v>11</v>
      </c>
      <c r="G29" s="1" t="s">
        <v>43</v>
      </c>
      <c r="H29" s="1" t="s">
        <v>15</v>
      </c>
      <c r="I29" s="5" t="s">
        <v>99</v>
      </c>
      <c r="J29" s="4">
        <v>56</v>
      </c>
    </row>
    <row r="30" spans="1:10" x14ac:dyDescent="0.3">
      <c r="A30" s="1" t="s">
        <v>100</v>
      </c>
      <c r="B30" s="1" t="s">
        <v>35</v>
      </c>
      <c r="C30" s="1" t="s">
        <v>12</v>
      </c>
      <c r="D30" s="1" t="s">
        <v>31</v>
      </c>
      <c r="E30" s="4">
        <v>19</v>
      </c>
      <c r="F30" s="4">
        <v>12</v>
      </c>
      <c r="G30" s="1" t="s">
        <v>25</v>
      </c>
      <c r="H30" s="1" t="s">
        <v>76</v>
      </c>
      <c r="I30" s="5" t="s">
        <v>101</v>
      </c>
      <c r="J30" s="4">
        <v>54</v>
      </c>
    </row>
    <row r="31" spans="1:10" x14ac:dyDescent="0.3">
      <c r="A31" s="1" t="s">
        <v>102</v>
      </c>
      <c r="B31" s="1" t="s">
        <v>35</v>
      </c>
      <c r="C31" s="1" t="s">
        <v>12</v>
      </c>
      <c r="D31" s="1" t="s">
        <v>13</v>
      </c>
      <c r="E31" s="4">
        <v>20</v>
      </c>
      <c r="F31" s="4">
        <v>11</v>
      </c>
      <c r="G31" s="1" t="s">
        <v>14</v>
      </c>
      <c r="H31" s="1" t="s">
        <v>26</v>
      </c>
      <c r="I31" s="5" t="s">
        <v>103</v>
      </c>
      <c r="J31" s="4">
        <v>70</v>
      </c>
    </row>
    <row r="32" spans="1:10" x14ac:dyDescent="0.3">
      <c r="A32" s="1" t="s">
        <v>104</v>
      </c>
      <c r="B32" s="1" t="s">
        <v>29</v>
      </c>
      <c r="C32" s="1" t="s">
        <v>79</v>
      </c>
      <c r="D32" s="1" t="s">
        <v>31</v>
      </c>
      <c r="E32" s="4">
        <v>18</v>
      </c>
      <c r="F32" s="4">
        <v>10</v>
      </c>
      <c r="G32" s="1" t="s">
        <v>25</v>
      </c>
      <c r="H32" s="1" t="s">
        <v>61</v>
      </c>
      <c r="I32" s="5" t="s">
        <v>105</v>
      </c>
      <c r="J32" s="4">
        <v>57</v>
      </c>
    </row>
    <row r="33" spans="1:10" x14ac:dyDescent="0.3">
      <c r="A33" s="1" t="s">
        <v>106</v>
      </c>
      <c r="B33" s="1" t="s">
        <v>51</v>
      </c>
      <c r="C33" s="1" t="s">
        <v>55</v>
      </c>
      <c r="D33" s="1" t="s">
        <v>13</v>
      </c>
      <c r="E33" s="4">
        <v>20</v>
      </c>
      <c r="F33" s="4">
        <v>9</v>
      </c>
      <c r="G33" s="1" t="s">
        <v>32</v>
      </c>
      <c r="H33" s="1" t="s">
        <v>26</v>
      </c>
      <c r="I33" s="5" t="s">
        <v>107</v>
      </c>
      <c r="J33" s="4">
        <v>91</v>
      </c>
    </row>
    <row r="34" spans="1:10" x14ac:dyDescent="0.3">
      <c r="A34" s="1" t="s">
        <v>108</v>
      </c>
      <c r="B34" s="1" t="s">
        <v>29</v>
      </c>
      <c r="C34" s="1" t="s">
        <v>96</v>
      </c>
      <c r="D34" s="1" t="s">
        <v>31</v>
      </c>
      <c r="E34" s="4">
        <v>15</v>
      </c>
      <c r="F34" s="4">
        <v>11</v>
      </c>
      <c r="G34" s="1" t="s">
        <v>43</v>
      </c>
      <c r="H34" s="1" t="s">
        <v>26</v>
      </c>
      <c r="I34" s="5" t="s">
        <v>109</v>
      </c>
      <c r="J34" s="4">
        <v>77</v>
      </c>
    </row>
    <row r="35" spans="1:10" x14ac:dyDescent="0.3">
      <c r="A35" s="1" t="s">
        <v>110</v>
      </c>
      <c r="B35" s="1" t="s">
        <v>51</v>
      </c>
      <c r="C35" s="1" t="s">
        <v>58</v>
      </c>
      <c r="D35" s="1" t="s">
        <v>31</v>
      </c>
      <c r="E35" s="4">
        <v>14</v>
      </c>
      <c r="F35" s="4">
        <v>10</v>
      </c>
      <c r="G35" s="1" t="s">
        <v>32</v>
      </c>
      <c r="H35" s="1" t="s">
        <v>76</v>
      </c>
      <c r="I35" s="5" t="s">
        <v>111</v>
      </c>
      <c r="J35" s="4">
        <v>60</v>
      </c>
    </row>
    <row r="36" spans="1:10" x14ac:dyDescent="0.3">
      <c r="A36" s="1" t="s">
        <v>112</v>
      </c>
      <c r="B36" s="1" t="s">
        <v>73</v>
      </c>
      <c r="C36" s="1" t="s">
        <v>30</v>
      </c>
      <c r="D36" s="1" t="s">
        <v>13</v>
      </c>
      <c r="E36" s="4">
        <v>15</v>
      </c>
      <c r="F36" s="4">
        <v>9</v>
      </c>
      <c r="G36" s="1" t="s">
        <v>14</v>
      </c>
      <c r="H36" s="1" t="s">
        <v>26</v>
      </c>
      <c r="I36" s="5" t="s">
        <v>113</v>
      </c>
      <c r="J36" s="4">
        <v>58</v>
      </c>
    </row>
    <row r="37" spans="1:10" x14ac:dyDescent="0.3">
      <c r="A37" s="1" t="s">
        <v>114</v>
      </c>
      <c r="B37" s="1" t="s">
        <v>73</v>
      </c>
      <c r="C37" s="1" t="s">
        <v>58</v>
      </c>
      <c r="D37" s="1" t="s">
        <v>13</v>
      </c>
      <c r="E37" s="4">
        <v>20</v>
      </c>
      <c r="F37" s="4">
        <v>9</v>
      </c>
      <c r="G37" s="1" t="s">
        <v>25</v>
      </c>
      <c r="H37" s="1" t="s">
        <v>46</v>
      </c>
      <c r="I37" s="5" t="s">
        <v>115</v>
      </c>
      <c r="J37" s="4">
        <v>40</v>
      </c>
    </row>
    <row r="38" spans="1:10" x14ac:dyDescent="0.3">
      <c r="A38" s="1" t="s">
        <v>116</v>
      </c>
      <c r="B38" s="1" t="s">
        <v>84</v>
      </c>
      <c r="C38" s="1" t="s">
        <v>19</v>
      </c>
      <c r="D38" s="1" t="s">
        <v>13</v>
      </c>
      <c r="E38" s="4">
        <v>19</v>
      </c>
      <c r="F38" s="4">
        <v>12</v>
      </c>
      <c r="G38" s="1" t="s">
        <v>14</v>
      </c>
      <c r="H38" s="1" t="s">
        <v>20</v>
      </c>
      <c r="I38" s="5" t="s">
        <v>117</v>
      </c>
      <c r="J38" s="4">
        <v>56</v>
      </c>
    </row>
    <row r="39" spans="1:10" x14ac:dyDescent="0.3">
      <c r="A39" s="1" t="s">
        <v>118</v>
      </c>
      <c r="B39" s="1" t="s">
        <v>84</v>
      </c>
      <c r="C39" s="1" t="s">
        <v>58</v>
      </c>
      <c r="D39" s="1" t="s">
        <v>31</v>
      </c>
      <c r="E39" s="4">
        <v>20</v>
      </c>
      <c r="F39" s="4">
        <v>10</v>
      </c>
      <c r="G39" s="1" t="s">
        <v>32</v>
      </c>
      <c r="H39" s="1" t="s">
        <v>26</v>
      </c>
      <c r="I39" s="5" t="s">
        <v>119</v>
      </c>
      <c r="J39" s="4">
        <v>52</v>
      </c>
    </row>
    <row r="40" spans="1:10" x14ac:dyDescent="0.3">
      <c r="A40" s="1" t="s">
        <v>120</v>
      </c>
      <c r="B40" s="1" t="s">
        <v>35</v>
      </c>
      <c r="C40" s="1" t="s">
        <v>36</v>
      </c>
      <c r="D40" s="1" t="s">
        <v>31</v>
      </c>
      <c r="E40" s="4">
        <v>20</v>
      </c>
      <c r="F40" s="4">
        <v>10</v>
      </c>
      <c r="G40" s="1" t="s">
        <v>43</v>
      </c>
      <c r="H40" s="1" t="s">
        <v>61</v>
      </c>
      <c r="I40" s="5" t="s">
        <v>121</v>
      </c>
      <c r="J40" s="4">
        <v>37</v>
      </c>
    </row>
    <row r="41" spans="1:10" x14ac:dyDescent="0.3">
      <c r="A41" s="1" t="s">
        <v>122</v>
      </c>
      <c r="B41" s="1" t="s">
        <v>18</v>
      </c>
      <c r="C41" s="1" t="s">
        <v>19</v>
      </c>
      <c r="D41" s="1" t="s">
        <v>13</v>
      </c>
      <c r="E41" s="4">
        <v>15</v>
      </c>
      <c r="F41" s="4">
        <v>10</v>
      </c>
      <c r="G41" s="1" t="s">
        <v>32</v>
      </c>
      <c r="H41" s="1" t="s">
        <v>20</v>
      </c>
      <c r="I41" s="5" t="s">
        <v>123</v>
      </c>
      <c r="J41" s="4">
        <v>51</v>
      </c>
    </row>
    <row r="42" spans="1:10" x14ac:dyDescent="0.3">
      <c r="A42" s="1" t="s">
        <v>124</v>
      </c>
      <c r="B42" s="1" t="s">
        <v>68</v>
      </c>
      <c r="C42" s="1" t="s">
        <v>36</v>
      </c>
      <c r="D42" s="1" t="s">
        <v>13</v>
      </c>
      <c r="E42" s="4">
        <v>18</v>
      </c>
      <c r="F42" s="4">
        <v>10</v>
      </c>
      <c r="G42" s="1" t="s">
        <v>43</v>
      </c>
      <c r="H42" s="1" t="s">
        <v>20</v>
      </c>
      <c r="I42" s="5" t="s">
        <v>125</v>
      </c>
      <c r="J42" s="4">
        <v>66</v>
      </c>
    </row>
    <row r="43" spans="1:10" x14ac:dyDescent="0.3">
      <c r="A43" s="1" t="s">
        <v>126</v>
      </c>
      <c r="B43" s="1" t="s">
        <v>18</v>
      </c>
      <c r="C43" s="1" t="s">
        <v>24</v>
      </c>
      <c r="D43" s="1" t="s">
        <v>13</v>
      </c>
      <c r="E43" s="4">
        <v>15</v>
      </c>
      <c r="F43" s="4">
        <v>9</v>
      </c>
      <c r="G43" s="1" t="s">
        <v>25</v>
      </c>
      <c r="H43" s="1" t="s">
        <v>76</v>
      </c>
      <c r="I43" s="5" t="s">
        <v>127</v>
      </c>
      <c r="J43" s="4">
        <v>59</v>
      </c>
    </row>
    <row r="44" spans="1:10" x14ac:dyDescent="0.3">
      <c r="A44" s="1" t="s">
        <v>128</v>
      </c>
      <c r="B44" s="1" t="s">
        <v>11</v>
      </c>
      <c r="C44" s="1" t="s">
        <v>24</v>
      </c>
      <c r="D44" s="1" t="s">
        <v>31</v>
      </c>
      <c r="E44" s="4">
        <v>17</v>
      </c>
      <c r="F44" s="4">
        <v>12</v>
      </c>
      <c r="G44" s="1" t="s">
        <v>32</v>
      </c>
      <c r="H44" s="1" t="s">
        <v>15</v>
      </c>
      <c r="I44" s="5" t="s">
        <v>129</v>
      </c>
      <c r="J44" s="4">
        <v>68</v>
      </c>
    </row>
    <row r="45" spans="1:10" x14ac:dyDescent="0.3">
      <c r="A45" s="1" t="s">
        <v>130</v>
      </c>
      <c r="B45" s="1" t="s">
        <v>73</v>
      </c>
      <c r="C45" s="1" t="s">
        <v>30</v>
      </c>
      <c r="D45" s="1" t="s">
        <v>13</v>
      </c>
      <c r="E45" s="4">
        <v>17</v>
      </c>
      <c r="F45" s="4">
        <v>12</v>
      </c>
      <c r="G45" s="1" t="s">
        <v>25</v>
      </c>
      <c r="H45" s="1" t="s">
        <v>40</v>
      </c>
      <c r="I45" s="5" t="s">
        <v>131</v>
      </c>
      <c r="J45" s="4">
        <v>82</v>
      </c>
    </row>
    <row r="46" spans="1:10" x14ac:dyDescent="0.3">
      <c r="A46" s="1" t="s">
        <v>132</v>
      </c>
      <c r="B46" s="1" t="s">
        <v>29</v>
      </c>
      <c r="C46" s="1" t="s">
        <v>12</v>
      </c>
      <c r="D46" s="1" t="s">
        <v>13</v>
      </c>
      <c r="E46" s="4">
        <v>17</v>
      </c>
      <c r="F46" s="4">
        <v>10</v>
      </c>
      <c r="G46" s="1" t="s">
        <v>25</v>
      </c>
      <c r="H46" s="1" t="s">
        <v>37</v>
      </c>
      <c r="I46" s="5" t="s">
        <v>133</v>
      </c>
      <c r="J46" s="4">
        <v>88</v>
      </c>
    </row>
    <row r="47" spans="1:10" x14ac:dyDescent="0.3">
      <c r="A47" s="1" t="s">
        <v>134</v>
      </c>
      <c r="B47" s="1" t="s">
        <v>23</v>
      </c>
      <c r="C47" s="1" t="s">
        <v>30</v>
      </c>
      <c r="D47" s="1" t="s">
        <v>31</v>
      </c>
      <c r="E47" s="4">
        <v>20</v>
      </c>
      <c r="F47" s="4">
        <v>9</v>
      </c>
      <c r="G47" s="1" t="s">
        <v>14</v>
      </c>
      <c r="H47" s="1" t="s">
        <v>15</v>
      </c>
      <c r="I47" s="5" t="s">
        <v>135</v>
      </c>
      <c r="J47" s="4">
        <v>50</v>
      </c>
    </row>
    <row r="48" spans="1:10" x14ac:dyDescent="0.3">
      <c r="A48" s="1" t="s">
        <v>136</v>
      </c>
      <c r="B48" s="1" t="s">
        <v>11</v>
      </c>
      <c r="C48" s="1" t="s">
        <v>79</v>
      </c>
      <c r="D48" s="1" t="s">
        <v>13</v>
      </c>
      <c r="E48" s="4">
        <v>14</v>
      </c>
      <c r="F48" s="4">
        <v>10</v>
      </c>
      <c r="G48" s="1" t="s">
        <v>43</v>
      </c>
      <c r="H48" s="1" t="s">
        <v>61</v>
      </c>
      <c r="I48" s="5" t="s">
        <v>137</v>
      </c>
      <c r="J48" s="4">
        <v>65</v>
      </c>
    </row>
    <row r="49" spans="1:10" x14ac:dyDescent="0.3">
      <c r="A49" s="1" t="s">
        <v>138</v>
      </c>
      <c r="B49" s="1" t="s">
        <v>51</v>
      </c>
      <c r="C49" s="1" t="s">
        <v>85</v>
      </c>
      <c r="D49" s="1" t="s">
        <v>13</v>
      </c>
      <c r="E49" s="4">
        <v>18</v>
      </c>
      <c r="F49" s="4">
        <v>11</v>
      </c>
      <c r="G49" s="1" t="s">
        <v>43</v>
      </c>
      <c r="H49" s="1" t="s">
        <v>61</v>
      </c>
      <c r="I49" s="5" t="s">
        <v>139</v>
      </c>
      <c r="J49" s="4">
        <v>100</v>
      </c>
    </row>
    <row r="50" spans="1:10" x14ac:dyDescent="0.3">
      <c r="A50" s="1" t="s">
        <v>140</v>
      </c>
      <c r="B50" s="1" t="s">
        <v>35</v>
      </c>
      <c r="C50" s="1" t="s">
        <v>30</v>
      </c>
      <c r="D50" s="1" t="s">
        <v>31</v>
      </c>
      <c r="E50" s="4">
        <v>19</v>
      </c>
      <c r="F50" s="4">
        <v>10</v>
      </c>
      <c r="G50" s="1" t="s">
        <v>32</v>
      </c>
      <c r="H50" s="1" t="s">
        <v>76</v>
      </c>
      <c r="I50" s="5" t="s">
        <v>141</v>
      </c>
      <c r="J50" s="4">
        <v>93</v>
      </c>
    </row>
    <row r="51" spans="1:10" x14ac:dyDescent="0.3">
      <c r="A51" s="1" t="s">
        <v>142</v>
      </c>
      <c r="B51" s="1" t="s">
        <v>29</v>
      </c>
      <c r="C51" s="1" t="s">
        <v>96</v>
      </c>
      <c r="D51" s="1" t="s">
        <v>31</v>
      </c>
      <c r="E51" s="4">
        <v>16</v>
      </c>
      <c r="F51" s="4">
        <v>12</v>
      </c>
      <c r="G51" s="1" t="s">
        <v>14</v>
      </c>
      <c r="H51" s="1" t="s">
        <v>37</v>
      </c>
      <c r="I51" s="5" t="s">
        <v>143</v>
      </c>
      <c r="J51" s="4">
        <v>85</v>
      </c>
    </row>
    <row r="52" spans="1:10" x14ac:dyDescent="0.3">
      <c r="A52" s="1" t="s">
        <v>144</v>
      </c>
      <c r="B52" s="1" t="s">
        <v>73</v>
      </c>
      <c r="C52" s="1" t="s">
        <v>12</v>
      </c>
      <c r="D52" s="1" t="s">
        <v>31</v>
      </c>
      <c r="E52" s="4">
        <v>20</v>
      </c>
      <c r="F52" s="4">
        <v>10</v>
      </c>
      <c r="G52" s="1" t="s">
        <v>14</v>
      </c>
      <c r="H52" s="1" t="s">
        <v>26</v>
      </c>
      <c r="I52" s="5" t="s">
        <v>145</v>
      </c>
      <c r="J52" s="4">
        <v>71</v>
      </c>
    </row>
    <row r="53" spans="1:10" x14ac:dyDescent="0.3">
      <c r="A53" s="1" t="s">
        <v>146</v>
      </c>
      <c r="B53" s="1" t="s">
        <v>35</v>
      </c>
      <c r="C53" s="1" t="s">
        <v>30</v>
      </c>
      <c r="D53" s="1" t="s">
        <v>31</v>
      </c>
      <c r="E53" s="4">
        <v>20</v>
      </c>
      <c r="F53" s="4">
        <v>9</v>
      </c>
      <c r="G53" s="1" t="s">
        <v>43</v>
      </c>
      <c r="H53" s="1" t="s">
        <v>15</v>
      </c>
      <c r="I53" s="5" t="s">
        <v>147</v>
      </c>
      <c r="J53" s="4">
        <v>40</v>
      </c>
    </row>
    <row r="54" spans="1:10" x14ac:dyDescent="0.3">
      <c r="A54" s="1" t="s">
        <v>148</v>
      </c>
      <c r="B54" s="1" t="s">
        <v>51</v>
      </c>
      <c r="C54" s="1" t="s">
        <v>96</v>
      </c>
      <c r="D54" s="1" t="s">
        <v>13</v>
      </c>
      <c r="E54" s="4">
        <v>19</v>
      </c>
      <c r="F54" s="4">
        <v>11</v>
      </c>
      <c r="G54" s="1" t="s">
        <v>14</v>
      </c>
      <c r="H54" s="1" t="s">
        <v>76</v>
      </c>
      <c r="I54" s="5" t="s">
        <v>149</v>
      </c>
      <c r="J54" s="4">
        <v>83</v>
      </c>
    </row>
    <row r="55" spans="1:10" x14ac:dyDescent="0.3">
      <c r="A55" s="1" t="s">
        <v>150</v>
      </c>
      <c r="B55" s="1" t="s">
        <v>23</v>
      </c>
      <c r="C55" s="1" t="s">
        <v>55</v>
      </c>
      <c r="D55" s="1" t="s">
        <v>31</v>
      </c>
      <c r="E55" s="4">
        <v>17</v>
      </c>
      <c r="F55" s="4">
        <v>9</v>
      </c>
      <c r="G55" s="1" t="s">
        <v>25</v>
      </c>
      <c r="H55" s="1" t="s">
        <v>20</v>
      </c>
      <c r="I55" s="5" t="s">
        <v>151</v>
      </c>
      <c r="J55" s="4">
        <v>55</v>
      </c>
    </row>
    <row r="56" spans="1:10" x14ac:dyDescent="0.3">
      <c r="A56" s="1" t="s">
        <v>152</v>
      </c>
      <c r="B56" s="1" t="s">
        <v>23</v>
      </c>
      <c r="C56" s="1" t="s">
        <v>55</v>
      </c>
      <c r="D56" s="1" t="s">
        <v>13</v>
      </c>
      <c r="E56" s="4">
        <v>17</v>
      </c>
      <c r="F56" s="4">
        <v>12</v>
      </c>
      <c r="G56" s="1" t="s">
        <v>32</v>
      </c>
      <c r="H56" s="1" t="s">
        <v>46</v>
      </c>
      <c r="I56" s="5" t="s">
        <v>153</v>
      </c>
      <c r="J56" s="4">
        <v>39</v>
      </c>
    </row>
    <row r="57" spans="1:10" x14ac:dyDescent="0.3">
      <c r="A57" s="1" t="s">
        <v>154</v>
      </c>
      <c r="B57" s="1" t="s">
        <v>51</v>
      </c>
      <c r="C57" s="1" t="s">
        <v>36</v>
      </c>
      <c r="D57" s="1" t="s">
        <v>31</v>
      </c>
      <c r="E57" s="4">
        <v>18</v>
      </c>
      <c r="F57" s="4">
        <v>12</v>
      </c>
      <c r="G57" s="1" t="s">
        <v>43</v>
      </c>
      <c r="H57" s="1" t="s">
        <v>76</v>
      </c>
      <c r="I57" s="5" t="s">
        <v>155</v>
      </c>
      <c r="J57" s="4">
        <v>77</v>
      </c>
    </row>
    <row r="58" spans="1:10" x14ac:dyDescent="0.3">
      <c r="A58" s="1" t="s">
        <v>156</v>
      </c>
      <c r="B58" s="1" t="s">
        <v>35</v>
      </c>
      <c r="C58" s="1" t="s">
        <v>55</v>
      </c>
      <c r="D58" s="1" t="s">
        <v>13</v>
      </c>
      <c r="E58" s="4">
        <v>19</v>
      </c>
      <c r="F58" s="4">
        <v>11</v>
      </c>
      <c r="G58" s="1" t="s">
        <v>14</v>
      </c>
      <c r="H58" s="1" t="s">
        <v>40</v>
      </c>
      <c r="I58" s="5" t="s">
        <v>157</v>
      </c>
      <c r="J58" s="4">
        <v>63</v>
      </c>
    </row>
    <row r="59" spans="1:10" x14ac:dyDescent="0.3">
      <c r="A59" s="1" t="s">
        <v>158</v>
      </c>
      <c r="B59" s="1" t="s">
        <v>18</v>
      </c>
      <c r="C59" s="1" t="s">
        <v>19</v>
      </c>
      <c r="D59" s="1" t="s">
        <v>13</v>
      </c>
      <c r="E59" s="4">
        <v>16</v>
      </c>
      <c r="F59" s="4">
        <v>12</v>
      </c>
      <c r="G59" s="1" t="s">
        <v>43</v>
      </c>
      <c r="H59" s="1" t="s">
        <v>40</v>
      </c>
      <c r="I59" s="5" t="s">
        <v>159</v>
      </c>
      <c r="J59" s="4">
        <v>36</v>
      </c>
    </row>
    <row r="60" spans="1:10" x14ac:dyDescent="0.3">
      <c r="A60" s="1" t="s">
        <v>160</v>
      </c>
      <c r="B60" s="1" t="s">
        <v>51</v>
      </c>
      <c r="C60" s="1" t="s">
        <v>85</v>
      </c>
      <c r="D60" s="1" t="s">
        <v>31</v>
      </c>
      <c r="E60" s="4">
        <v>17</v>
      </c>
      <c r="F60" s="4">
        <v>11</v>
      </c>
      <c r="G60" s="1" t="s">
        <v>43</v>
      </c>
      <c r="H60" s="1" t="s">
        <v>37</v>
      </c>
      <c r="I60" s="5" t="s">
        <v>161</v>
      </c>
      <c r="J60" s="4">
        <v>99</v>
      </c>
    </row>
    <row r="61" spans="1:10" x14ac:dyDescent="0.3">
      <c r="A61" s="1" t="s">
        <v>162</v>
      </c>
      <c r="B61" s="1" t="s">
        <v>73</v>
      </c>
      <c r="C61" s="1" t="s">
        <v>36</v>
      </c>
      <c r="D61" s="1" t="s">
        <v>31</v>
      </c>
      <c r="E61" s="4">
        <v>20</v>
      </c>
      <c r="F61" s="4">
        <v>9</v>
      </c>
      <c r="G61" s="1" t="s">
        <v>32</v>
      </c>
      <c r="H61" s="1" t="s">
        <v>20</v>
      </c>
      <c r="I61" s="5" t="s">
        <v>163</v>
      </c>
      <c r="J61" s="4">
        <v>49</v>
      </c>
    </row>
    <row r="62" spans="1:10" x14ac:dyDescent="0.3">
      <c r="A62" s="1" t="s">
        <v>164</v>
      </c>
      <c r="B62" s="1" t="s">
        <v>23</v>
      </c>
      <c r="C62" s="1" t="s">
        <v>19</v>
      </c>
      <c r="D62" s="1" t="s">
        <v>31</v>
      </c>
      <c r="E62" s="4">
        <v>17</v>
      </c>
      <c r="F62" s="4">
        <v>9</v>
      </c>
      <c r="G62" s="1" t="s">
        <v>25</v>
      </c>
      <c r="H62" s="1" t="s">
        <v>15</v>
      </c>
      <c r="I62" s="5" t="s">
        <v>165</v>
      </c>
      <c r="J62" s="4">
        <v>64</v>
      </c>
    </row>
    <row r="63" spans="1:10" x14ac:dyDescent="0.3">
      <c r="A63" s="1" t="s">
        <v>166</v>
      </c>
      <c r="B63" s="1" t="s">
        <v>84</v>
      </c>
      <c r="C63" s="1" t="s">
        <v>24</v>
      </c>
      <c r="D63" s="1" t="s">
        <v>13</v>
      </c>
      <c r="E63" s="4">
        <v>14</v>
      </c>
      <c r="F63" s="4">
        <v>10</v>
      </c>
      <c r="G63" s="1" t="s">
        <v>43</v>
      </c>
      <c r="H63" s="1" t="s">
        <v>15</v>
      </c>
      <c r="I63" s="5" t="s">
        <v>167</v>
      </c>
      <c r="J63" s="4">
        <v>45</v>
      </c>
    </row>
    <row r="64" spans="1:10" x14ac:dyDescent="0.3">
      <c r="A64" s="1" t="s">
        <v>168</v>
      </c>
      <c r="B64" s="1" t="s">
        <v>18</v>
      </c>
      <c r="C64" s="1" t="s">
        <v>79</v>
      </c>
      <c r="D64" s="1" t="s">
        <v>13</v>
      </c>
      <c r="E64" s="4">
        <v>17</v>
      </c>
      <c r="F64" s="4">
        <v>12</v>
      </c>
      <c r="G64" s="1" t="s">
        <v>25</v>
      </c>
      <c r="H64" s="1" t="s">
        <v>26</v>
      </c>
      <c r="I64" s="5" t="s">
        <v>137</v>
      </c>
      <c r="J64" s="4">
        <v>82</v>
      </c>
    </row>
    <row r="65" spans="1:10" x14ac:dyDescent="0.3">
      <c r="A65" s="1" t="s">
        <v>169</v>
      </c>
      <c r="B65" s="1" t="s">
        <v>11</v>
      </c>
      <c r="C65" s="1" t="s">
        <v>30</v>
      </c>
      <c r="D65" s="1" t="s">
        <v>31</v>
      </c>
      <c r="E65" s="4">
        <v>18</v>
      </c>
      <c r="F65" s="4">
        <v>9</v>
      </c>
      <c r="G65" s="1" t="s">
        <v>25</v>
      </c>
      <c r="H65" s="1" t="s">
        <v>46</v>
      </c>
      <c r="I65" s="5" t="s">
        <v>170</v>
      </c>
      <c r="J65" s="4">
        <v>60</v>
      </c>
    </row>
    <row r="66" spans="1:10" x14ac:dyDescent="0.3">
      <c r="A66" s="1" t="s">
        <v>171</v>
      </c>
      <c r="B66" s="1" t="s">
        <v>29</v>
      </c>
      <c r="C66" s="1" t="s">
        <v>85</v>
      </c>
      <c r="D66" s="1" t="s">
        <v>13</v>
      </c>
      <c r="E66" s="4">
        <v>14</v>
      </c>
      <c r="F66" s="4">
        <v>10</v>
      </c>
      <c r="G66" s="1" t="s">
        <v>32</v>
      </c>
      <c r="H66" s="1" t="s">
        <v>61</v>
      </c>
      <c r="I66" s="5" t="s">
        <v>172</v>
      </c>
      <c r="J66" s="4">
        <v>51</v>
      </c>
    </row>
    <row r="67" spans="1:10" x14ac:dyDescent="0.3">
      <c r="A67" s="1" t="s">
        <v>173</v>
      </c>
      <c r="B67" s="1" t="s">
        <v>54</v>
      </c>
      <c r="C67" s="1" t="s">
        <v>30</v>
      </c>
      <c r="D67" s="1" t="s">
        <v>31</v>
      </c>
      <c r="E67" s="4">
        <v>18</v>
      </c>
      <c r="F67" s="4">
        <v>9</v>
      </c>
      <c r="G67" s="1" t="s">
        <v>32</v>
      </c>
      <c r="H67" s="1" t="s">
        <v>40</v>
      </c>
      <c r="I67" s="5" t="s">
        <v>174</v>
      </c>
      <c r="J67" s="4">
        <v>54</v>
      </c>
    </row>
    <row r="68" spans="1:10" x14ac:dyDescent="0.3">
      <c r="A68" s="1" t="s">
        <v>175</v>
      </c>
      <c r="B68" s="1" t="s">
        <v>35</v>
      </c>
      <c r="C68" s="1" t="s">
        <v>30</v>
      </c>
      <c r="D68" s="1" t="s">
        <v>31</v>
      </c>
      <c r="E68" s="4">
        <v>20</v>
      </c>
      <c r="F68" s="4">
        <v>9</v>
      </c>
      <c r="G68" s="1" t="s">
        <v>14</v>
      </c>
      <c r="H68" s="1" t="s">
        <v>61</v>
      </c>
      <c r="I68" s="5" t="s">
        <v>176</v>
      </c>
      <c r="J68" s="4">
        <v>76</v>
      </c>
    </row>
    <row r="69" spans="1:10" x14ac:dyDescent="0.3">
      <c r="A69" s="1" t="s">
        <v>177</v>
      </c>
      <c r="B69" s="1" t="s">
        <v>29</v>
      </c>
      <c r="C69" s="1" t="s">
        <v>58</v>
      </c>
      <c r="D69" s="1" t="s">
        <v>31</v>
      </c>
      <c r="E69" s="4">
        <v>19</v>
      </c>
      <c r="F69" s="4">
        <v>12</v>
      </c>
      <c r="G69" s="1" t="s">
        <v>43</v>
      </c>
      <c r="H69" s="1" t="s">
        <v>61</v>
      </c>
      <c r="I69" s="5" t="s">
        <v>178</v>
      </c>
      <c r="J69" s="4">
        <v>99</v>
      </c>
    </row>
    <row r="70" spans="1:10" x14ac:dyDescent="0.3">
      <c r="A70" s="1" t="s">
        <v>179</v>
      </c>
      <c r="B70" s="1" t="s">
        <v>29</v>
      </c>
      <c r="C70" s="1" t="s">
        <v>58</v>
      </c>
      <c r="D70" s="1" t="s">
        <v>31</v>
      </c>
      <c r="E70" s="4">
        <v>16</v>
      </c>
      <c r="F70" s="4">
        <v>11</v>
      </c>
      <c r="G70" s="1" t="s">
        <v>25</v>
      </c>
      <c r="H70" s="1" t="s">
        <v>26</v>
      </c>
      <c r="I70" s="5" t="s">
        <v>180</v>
      </c>
      <c r="J70" s="4">
        <v>75</v>
      </c>
    </row>
    <row r="71" spans="1:10" x14ac:dyDescent="0.3">
      <c r="A71" s="1" t="s">
        <v>181</v>
      </c>
      <c r="B71" s="1" t="s">
        <v>11</v>
      </c>
      <c r="C71" s="1" t="s">
        <v>55</v>
      </c>
      <c r="D71" s="1" t="s">
        <v>31</v>
      </c>
      <c r="E71" s="4">
        <v>18</v>
      </c>
      <c r="F71" s="4">
        <v>10</v>
      </c>
      <c r="G71" s="1" t="s">
        <v>25</v>
      </c>
      <c r="H71" s="1" t="s">
        <v>46</v>
      </c>
      <c r="I71" s="5" t="s">
        <v>182</v>
      </c>
      <c r="J71" s="4">
        <v>98</v>
      </c>
    </row>
    <row r="72" spans="1:10" x14ac:dyDescent="0.3">
      <c r="A72" s="1" t="s">
        <v>183</v>
      </c>
      <c r="B72" s="1" t="s">
        <v>11</v>
      </c>
      <c r="C72" s="1" t="s">
        <v>30</v>
      </c>
      <c r="D72" s="1" t="s">
        <v>31</v>
      </c>
      <c r="E72" s="4">
        <v>17</v>
      </c>
      <c r="F72" s="4">
        <v>12</v>
      </c>
      <c r="G72" s="1" t="s">
        <v>14</v>
      </c>
      <c r="H72" s="1" t="s">
        <v>37</v>
      </c>
      <c r="I72" s="5" t="s">
        <v>184</v>
      </c>
      <c r="J72" s="4">
        <v>49</v>
      </c>
    </row>
    <row r="73" spans="1:10" x14ac:dyDescent="0.3">
      <c r="A73" s="1" t="s">
        <v>185</v>
      </c>
      <c r="B73" s="1" t="s">
        <v>35</v>
      </c>
      <c r="C73" s="1" t="s">
        <v>30</v>
      </c>
      <c r="D73" s="1" t="s">
        <v>31</v>
      </c>
      <c r="E73" s="4">
        <v>14</v>
      </c>
      <c r="F73" s="4">
        <v>12</v>
      </c>
      <c r="G73" s="1" t="s">
        <v>43</v>
      </c>
      <c r="H73" s="1" t="s">
        <v>61</v>
      </c>
      <c r="I73" s="5" t="s">
        <v>186</v>
      </c>
      <c r="J73" s="4">
        <v>45</v>
      </c>
    </row>
    <row r="74" spans="1:10" x14ac:dyDescent="0.3">
      <c r="A74" s="1" t="s">
        <v>187</v>
      </c>
      <c r="B74" s="1" t="s">
        <v>51</v>
      </c>
      <c r="C74" s="1" t="s">
        <v>12</v>
      </c>
      <c r="D74" s="1" t="s">
        <v>31</v>
      </c>
      <c r="E74" s="4">
        <v>17</v>
      </c>
      <c r="F74" s="4">
        <v>10</v>
      </c>
      <c r="G74" s="1" t="s">
        <v>43</v>
      </c>
      <c r="H74" s="1" t="s">
        <v>46</v>
      </c>
      <c r="I74" s="5" t="s">
        <v>101</v>
      </c>
      <c r="J74" s="4">
        <v>66</v>
      </c>
    </row>
    <row r="75" spans="1:10" x14ac:dyDescent="0.3">
      <c r="A75" s="1" t="s">
        <v>188</v>
      </c>
      <c r="B75" s="1" t="s">
        <v>23</v>
      </c>
      <c r="C75" s="1" t="s">
        <v>55</v>
      </c>
      <c r="D75" s="1" t="s">
        <v>31</v>
      </c>
      <c r="E75" s="4">
        <v>15</v>
      </c>
      <c r="F75" s="4">
        <v>9</v>
      </c>
      <c r="G75" s="1" t="s">
        <v>43</v>
      </c>
      <c r="H75" s="1" t="s">
        <v>20</v>
      </c>
      <c r="I75" s="5" t="s">
        <v>189</v>
      </c>
      <c r="J75" s="4">
        <v>88</v>
      </c>
    </row>
    <row r="76" spans="1:10" x14ac:dyDescent="0.3">
      <c r="A76" s="1" t="s">
        <v>190</v>
      </c>
      <c r="B76" s="1" t="s">
        <v>18</v>
      </c>
      <c r="C76" s="1" t="s">
        <v>19</v>
      </c>
      <c r="D76" s="1" t="s">
        <v>31</v>
      </c>
      <c r="E76" s="4">
        <v>14</v>
      </c>
      <c r="F76" s="4">
        <v>12</v>
      </c>
      <c r="G76" s="1" t="s">
        <v>32</v>
      </c>
      <c r="H76" s="1" t="s">
        <v>37</v>
      </c>
      <c r="I76" s="5" t="s">
        <v>191</v>
      </c>
      <c r="J76" s="4">
        <v>63</v>
      </c>
    </row>
    <row r="77" spans="1:10" x14ac:dyDescent="0.3">
      <c r="A77" s="1" t="s">
        <v>192</v>
      </c>
      <c r="B77" s="1" t="s">
        <v>68</v>
      </c>
      <c r="C77" s="1" t="s">
        <v>85</v>
      </c>
      <c r="D77" s="1" t="s">
        <v>13</v>
      </c>
      <c r="E77" s="4">
        <v>19</v>
      </c>
      <c r="F77" s="4">
        <v>11</v>
      </c>
      <c r="G77" s="1" t="s">
        <v>43</v>
      </c>
      <c r="H77" s="1" t="s">
        <v>61</v>
      </c>
      <c r="I77" s="5" t="s">
        <v>193</v>
      </c>
      <c r="J77" s="4">
        <v>78</v>
      </c>
    </row>
    <row r="78" spans="1:10" x14ac:dyDescent="0.3">
      <c r="A78" s="1" t="s">
        <v>194</v>
      </c>
      <c r="B78" s="1" t="s">
        <v>23</v>
      </c>
      <c r="C78" s="1" t="s">
        <v>19</v>
      </c>
      <c r="D78" s="1" t="s">
        <v>31</v>
      </c>
      <c r="E78" s="4">
        <v>20</v>
      </c>
      <c r="F78" s="4">
        <v>9</v>
      </c>
      <c r="G78" s="1" t="s">
        <v>25</v>
      </c>
      <c r="H78" s="1" t="s">
        <v>76</v>
      </c>
      <c r="I78" s="5" t="s">
        <v>195</v>
      </c>
      <c r="J78" s="4">
        <v>76</v>
      </c>
    </row>
    <row r="79" spans="1:10" x14ac:dyDescent="0.3">
      <c r="A79" s="1" t="s">
        <v>196</v>
      </c>
      <c r="B79" s="1" t="s">
        <v>23</v>
      </c>
      <c r="C79" s="1" t="s">
        <v>79</v>
      </c>
      <c r="D79" s="1" t="s">
        <v>13</v>
      </c>
      <c r="E79" s="4">
        <v>18</v>
      </c>
      <c r="F79" s="4">
        <v>12</v>
      </c>
      <c r="G79" s="1" t="s">
        <v>43</v>
      </c>
      <c r="H79" s="1" t="s">
        <v>76</v>
      </c>
      <c r="I79" s="5" t="s">
        <v>197</v>
      </c>
      <c r="J79" s="4">
        <v>67</v>
      </c>
    </row>
    <row r="80" spans="1:10" x14ac:dyDescent="0.3">
      <c r="A80" s="1" t="s">
        <v>198</v>
      </c>
      <c r="B80" s="1" t="s">
        <v>11</v>
      </c>
      <c r="C80" s="1" t="s">
        <v>85</v>
      </c>
      <c r="D80" s="1" t="s">
        <v>31</v>
      </c>
      <c r="E80" s="4">
        <v>14</v>
      </c>
      <c r="F80" s="4">
        <v>10</v>
      </c>
      <c r="G80" s="1" t="s">
        <v>25</v>
      </c>
      <c r="H80" s="1" t="s">
        <v>61</v>
      </c>
      <c r="I80" s="5" t="s">
        <v>199</v>
      </c>
      <c r="J80" s="4">
        <v>97</v>
      </c>
    </row>
    <row r="81" spans="1:10" x14ac:dyDescent="0.3">
      <c r="A81" s="1" t="s">
        <v>200</v>
      </c>
      <c r="B81" s="1" t="s">
        <v>29</v>
      </c>
      <c r="C81" s="1" t="s">
        <v>12</v>
      </c>
      <c r="D81" s="1" t="s">
        <v>13</v>
      </c>
      <c r="E81" s="4">
        <v>18</v>
      </c>
      <c r="F81" s="4">
        <v>12</v>
      </c>
      <c r="G81" s="1" t="s">
        <v>25</v>
      </c>
      <c r="H81" s="1" t="s">
        <v>26</v>
      </c>
      <c r="I81" s="5" t="s">
        <v>201</v>
      </c>
      <c r="J81" s="4">
        <v>89</v>
      </c>
    </row>
    <row r="82" spans="1:10" x14ac:dyDescent="0.3">
      <c r="A82" s="1" t="s">
        <v>202</v>
      </c>
      <c r="B82" s="1" t="s">
        <v>51</v>
      </c>
      <c r="C82" s="1" t="s">
        <v>55</v>
      </c>
      <c r="D82" s="1" t="s">
        <v>31</v>
      </c>
      <c r="E82" s="4">
        <v>15</v>
      </c>
      <c r="F82" s="4">
        <v>9</v>
      </c>
      <c r="G82" s="1" t="s">
        <v>14</v>
      </c>
      <c r="H82" s="1" t="s">
        <v>40</v>
      </c>
      <c r="I82" s="5" t="s">
        <v>111</v>
      </c>
      <c r="J82" s="4">
        <v>70</v>
      </c>
    </row>
    <row r="83" spans="1:10" x14ac:dyDescent="0.3">
      <c r="A83" s="1" t="s">
        <v>203</v>
      </c>
      <c r="B83" s="1" t="s">
        <v>35</v>
      </c>
      <c r="C83" s="1" t="s">
        <v>96</v>
      </c>
      <c r="D83" s="1" t="s">
        <v>13</v>
      </c>
      <c r="E83" s="4">
        <v>17</v>
      </c>
      <c r="F83" s="4">
        <v>12</v>
      </c>
      <c r="G83" s="1" t="s">
        <v>25</v>
      </c>
      <c r="H83" s="1" t="s">
        <v>20</v>
      </c>
      <c r="I83" s="5" t="s">
        <v>204</v>
      </c>
      <c r="J83" s="4">
        <v>90</v>
      </c>
    </row>
    <row r="84" spans="1:10" x14ac:dyDescent="0.3">
      <c r="A84" s="1" t="s">
        <v>205</v>
      </c>
      <c r="B84" s="1" t="s">
        <v>73</v>
      </c>
      <c r="C84" s="1" t="s">
        <v>24</v>
      </c>
      <c r="D84" s="1" t="s">
        <v>13</v>
      </c>
      <c r="E84" s="4">
        <v>17</v>
      </c>
      <c r="F84" s="4">
        <v>9</v>
      </c>
      <c r="G84" s="1" t="s">
        <v>14</v>
      </c>
      <c r="H84" s="1" t="s">
        <v>46</v>
      </c>
      <c r="I84" s="5" t="s">
        <v>206</v>
      </c>
      <c r="J84" s="4">
        <v>59</v>
      </c>
    </row>
    <row r="85" spans="1:10" x14ac:dyDescent="0.3">
      <c r="A85" s="1" t="s">
        <v>207</v>
      </c>
      <c r="B85" s="1" t="s">
        <v>54</v>
      </c>
      <c r="C85" s="1" t="s">
        <v>19</v>
      </c>
      <c r="D85" s="1" t="s">
        <v>31</v>
      </c>
      <c r="E85" s="4">
        <v>19</v>
      </c>
      <c r="F85" s="4">
        <v>9</v>
      </c>
      <c r="G85" s="1" t="s">
        <v>14</v>
      </c>
      <c r="H85" s="1" t="s">
        <v>61</v>
      </c>
      <c r="I85" s="5" t="s">
        <v>208</v>
      </c>
      <c r="J85" s="4">
        <v>76</v>
      </c>
    </row>
    <row r="86" spans="1:10" x14ac:dyDescent="0.3">
      <c r="A86" s="1" t="s">
        <v>209</v>
      </c>
      <c r="B86" s="1" t="s">
        <v>29</v>
      </c>
      <c r="C86" s="1" t="s">
        <v>30</v>
      </c>
      <c r="D86" s="1" t="s">
        <v>31</v>
      </c>
      <c r="E86" s="4">
        <v>18</v>
      </c>
      <c r="F86" s="4">
        <v>11</v>
      </c>
      <c r="G86" s="1" t="s">
        <v>43</v>
      </c>
      <c r="H86" s="1" t="s">
        <v>20</v>
      </c>
      <c r="I86" s="5" t="s">
        <v>210</v>
      </c>
      <c r="J86" s="4">
        <v>78</v>
      </c>
    </row>
    <row r="87" spans="1:10" x14ac:dyDescent="0.3">
      <c r="A87" s="1" t="s">
        <v>211</v>
      </c>
      <c r="B87" s="1" t="s">
        <v>35</v>
      </c>
      <c r="C87" s="1" t="s">
        <v>19</v>
      </c>
      <c r="D87" s="1" t="s">
        <v>31</v>
      </c>
      <c r="E87" s="4">
        <v>16</v>
      </c>
      <c r="F87" s="4">
        <v>9</v>
      </c>
      <c r="G87" s="1" t="s">
        <v>14</v>
      </c>
      <c r="H87" s="1" t="s">
        <v>37</v>
      </c>
      <c r="I87" s="5" t="s">
        <v>212</v>
      </c>
      <c r="J87" s="4">
        <v>57</v>
      </c>
    </row>
    <row r="88" spans="1:10" x14ac:dyDescent="0.3">
      <c r="A88" s="1" t="s">
        <v>213</v>
      </c>
      <c r="B88" s="1" t="s">
        <v>29</v>
      </c>
      <c r="C88" s="1" t="s">
        <v>24</v>
      </c>
      <c r="D88" s="1" t="s">
        <v>31</v>
      </c>
      <c r="E88" s="4">
        <v>17</v>
      </c>
      <c r="F88" s="4">
        <v>11</v>
      </c>
      <c r="G88" s="1" t="s">
        <v>14</v>
      </c>
      <c r="H88" s="1" t="s">
        <v>76</v>
      </c>
      <c r="I88" s="5" t="s">
        <v>214</v>
      </c>
      <c r="J88" s="4">
        <v>74</v>
      </c>
    </row>
    <row r="89" spans="1:10" x14ac:dyDescent="0.3">
      <c r="A89" s="1" t="s">
        <v>215</v>
      </c>
      <c r="B89" s="1" t="s">
        <v>84</v>
      </c>
      <c r="C89" s="1" t="s">
        <v>36</v>
      </c>
      <c r="D89" s="1" t="s">
        <v>31</v>
      </c>
      <c r="E89" s="4">
        <v>19</v>
      </c>
      <c r="F89" s="4">
        <v>12</v>
      </c>
      <c r="G89" s="1" t="s">
        <v>14</v>
      </c>
      <c r="H89" s="1" t="s">
        <v>37</v>
      </c>
      <c r="I89" s="5" t="s">
        <v>216</v>
      </c>
      <c r="J89" s="4">
        <v>84</v>
      </c>
    </row>
    <row r="90" spans="1:10" x14ac:dyDescent="0.3">
      <c r="A90" s="1" t="s">
        <v>217</v>
      </c>
      <c r="B90" s="1" t="s">
        <v>84</v>
      </c>
      <c r="C90" s="1" t="s">
        <v>96</v>
      </c>
      <c r="D90" s="1" t="s">
        <v>31</v>
      </c>
      <c r="E90" s="4">
        <v>17</v>
      </c>
      <c r="F90" s="4">
        <v>10</v>
      </c>
      <c r="G90" s="1" t="s">
        <v>43</v>
      </c>
      <c r="H90" s="1" t="s">
        <v>46</v>
      </c>
      <c r="I90" s="5" t="s">
        <v>218</v>
      </c>
      <c r="J90" s="4">
        <v>46</v>
      </c>
    </row>
    <row r="91" spans="1:10" x14ac:dyDescent="0.3">
      <c r="A91" s="1" t="s">
        <v>219</v>
      </c>
      <c r="B91" s="1" t="s">
        <v>68</v>
      </c>
      <c r="C91" s="1" t="s">
        <v>19</v>
      </c>
      <c r="D91" s="1" t="s">
        <v>13</v>
      </c>
      <c r="E91" s="4">
        <v>19</v>
      </c>
      <c r="F91" s="4">
        <v>9</v>
      </c>
      <c r="G91" s="1" t="s">
        <v>14</v>
      </c>
      <c r="H91" s="1" t="s">
        <v>40</v>
      </c>
      <c r="I91" s="5" t="s">
        <v>220</v>
      </c>
      <c r="J91" s="4">
        <v>63</v>
      </c>
    </row>
    <row r="92" spans="1:10" x14ac:dyDescent="0.3">
      <c r="A92" s="1" t="s">
        <v>221</v>
      </c>
      <c r="B92" s="1" t="s">
        <v>51</v>
      </c>
      <c r="C92" s="1" t="s">
        <v>55</v>
      </c>
      <c r="D92" s="1" t="s">
        <v>13</v>
      </c>
      <c r="E92" s="4">
        <v>14</v>
      </c>
      <c r="F92" s="4">
        <v>10</v>
      </c>
      <c r="G92" s="1" t="s">
        <v>43</v>
      </c>
      <c r="H92" s="1" t="s">
        <v>61</v>
      </c>
      <c r="I92" s="5" t="s">
        <v>222</v>
      </c>
      <c r="J92" s="4">
        <v>72</v>
      </c>
    </row>
    <row r="93" spans="1:10" x14ac:dyDescent="0.3">
      <c r="A93" s="1" t="s">
        <v>223</v>
      </c>
      <c r="B93" s="1" t="s">
        <v>68</v>
      </c>
      <c r="C93" s="1" t="s">
        <v>24</v>
      </c>
      <c r="D93" s="1" t="s">
        <v>13</v>
      </c>
      <c r="E93" s="4">
        <v>18</v>
      </c>
      <c r="F93" s="4">
        <v>11</v>
      </c>
      <c r="G93" s="1" t="s">
        <v>32</v>
      </c>
      <c r="H93" s="1" t="s">
        <v>40</v>
      </c>
      <c r="I93" s="5" t="s">
        <v>224</v>
      </c>
      <c r="J93" s="4">
        <v>87</v>
      </c>
    </row>
    <row r="94" spans="1:10" x14ac:dyDescent="0.3">
      <c r="A94" s="1" t="s">
        <v>225</v>
      </c>
      <c r="B94" s="1" t="s">
        <v>35</v>
      </c>
      <c r="C94" s="1" t="s">
        <v>85</v>
      </c>
      <c r="D94" s="1" t="s">
        <v>13</v>
      </c>
      <c r="E94" s="4">
        <v>20</v>
      </c>
      <c r="F94" s="4">
        <v>9</v>
      </c>
      <c r="G94" s="1" t="s">
        <v>14</v>
      </c>
      <c r="H94" s="1" t="s">
        <v>40</v>
      </c>
      <c r="I94" s="5" t="s">
        <v>226</v>
      </c>
      <c r="J94" s="4">
        <v>55</v>
      </c>
    </row>
    <row r="95" spans="1:10" x14ac:dyDescent="0.3">
      <c r="A95" s="1" t="s">
        <v>227</v>
      </c>
      <c r="B95" s="1" t="s">
        <v>68</v>
      </c>
      <c r="C95" s="1" t="s">
        <v>58</v>
      </c>
      <c r="D95" s="1" t="s">
        <v>13</v>
      </c>
      <c r="E95" s="4">
        <v>17</v>
      </c>
      <c r="F95" s="4">
        <v>12</v>
      </c>
      <c r="G95" s="1" t="s">
        <v>32</v>
      </c>
      <c r="H95" s="1" t="s">
        <v>26</v>
      </c>
      <c r="I95" s="5" t="s">
        <v>228</v>
      </c>
      <c r="J95" s="4">
        <v>37</v>
      </c>
    </row>
    <row r="96" spans="1:10" x14ac:dyDescent="0.3">
      <c r="A96" s="1" t="s">
        <v>229</v>
      </c>
      <c r="B96" s="1" t="s">
        <v>68</v>
      </c>
      <c r="C96" s="1" t="s">
        <v>24</v>
      </c>
      <c r="D96" s="1" t="s">
        <v>13</v>
      </c>
      <c r="E96" s="4">
        <v>17</v>
      </c>
      <c r="F96" s="4">
        <v>11</v>
      </c>
      <c r="G96" s="1" t="s">
        <v>43</v>
      </c>
      <c r="H96" s="1" t="s">
        <v>26</v>
      </c>
      <c r="I96" s="5" t="s">
        <v>230</v>
      </c>
      <c r="J96" s="4">
        <v>53</v>
      </c>
    </row>
    <row r="97" spans="1:10" x14ac:dyDescent="0.3">
      <c r="A97" s="1" t="s">
        <v>231</v>
      </c>
      <c r="B97" s="1" t="s">
        <v>23</v>
      </c>
      <c r="C97" s="1" t="s">
        <v>24</v>
      </c>
      <c r="D97" s="1" t="s">
        <v>31</v>
      </c>
      <c r="E97" s="4">
        <v>18</v>
      </c>
      <c r="F97" s="4">
        <v>9</v>
      </c>
      <c r="G97" s="1" t="s">
        <v>25</v>
      </c>
      <c r="H97" s="1" t="s">
        <v>61</v>
      </c>
      <c r="I97" s="5" t="s">
        <v>232</v>
      </c>
      <c r="J97" s="4">
        <v>88</v>
      </c>
    </row>
    <row r="98" spans="1:10" x14ac:dyDescent="0.3">
      <c r="A98" s="1" t="s">
        <v>233</v>
      </c>
      <c r="B98" s="1" t="s">
        <v>11</v>
      </c>
      <c r="C98" s="1" t="s">
        <v>55</v>
      </c>
      <c r="D98" s="1" t="s">
        <v>13</v>
      </c>
      <c r="E98" s="4">
        <v>14</v>
      </c>
      <c r="F98" s="4">
        <v>9</v>
      </c>
      <c r="G98" s="1" t="s">
        <v>25</v>
      </c>
      <c r="H98" s="1" t="s">
        <v>37</v>
      </c>
      <c r="I98" s="5" t="s">
        <v>234</v>
      </c>
      <c r="J98" s="4">
        <v>66</v>
      </c>
    </row>
    <row r="99" spans="1:10" x14ac:dyDescent="0.3">
      <c r="A99" s="1" t="s">
        <v>235</v>
      </c>
      <c r="B99" s="1" t="s">
        <v>11</v>
      </c>
      <c r="C99" s="1" t="s">
        <v>36</v>
      </c>
      <c r="D99" s="1" t="s">
        <v>31</v>
      </c>
      <c r="E99" s="4">
        <v>14</v>
      </c>
      <c r="F99" s="4">
        <v>12</v>
      </c>
      <c r="G99" s="1" t="s">
        <v>43</v>
      </c>
      <c r="H99" s="1" t="s">
        <v>40</v>
      </c>
      <c r="I99" s="5" t="s">
        <v>236</v>
      </c>
      <c r="J99" s="4">
        <v>65</v>
      </c>
    </row>
    <row r="100" spans="1:10" x14ac:dyDescent="0.3">
      <c r="A100" s="1" t="s">
        <v>237</v>
      </c>
      <c r="B100" s="1" t="s">
        <v>23</v>
      </c>
      <c r="C100" s="1" t="s">
        <v>24</v>
      </c>
      <c r="D100" s="1" t="s">
        <v>31</v>
      </c>
      <c r="E100" s="4">
        <v>16</v>
      </c>
      <c r="F100" s="4">
        <v>10</v>
      </c>
      <c r="G100" s="1" t="s">
        <v>43</v>
      </c>
      <c r="H100" s="1" t="s">
        <v>20</v>
      </c>
      <c r="I100" s="5" t="s">
        <v>238</v>
      </c>
      <c r="J100" s="4">
        <v>71</v>
      </c>
    </row>
    <row r="101" spans="1:10" x14ac:dyDescent="0.3">
      <c r="A101" s="1" t="s">
        <v>239</v>
      </c>
      <c r="B101" s="1" t="s">
        <v>68</v>
      </c>
      <c r="C101" s="1" t="s">
        <v>58</v>
      </c>
      <c r="D101" s="1" t="s">
        <v>13</v>
      </c>
      <c r="E101" s="4">
        <v>18</v>
      </c>
      <c r="F101" s="4">
        <v>11</v>
      </c>
      <c r="G101" s="1" t="s">
        <v>25</v>
      </c>
      <c r="H101" s="1" t="s">
        <v>15</v>
      </c>
      <c r="I101" s="5" t="s">
        <v>240</v>
      </c>
      <c r="J101" s="4">
        <v>48</v>
      </c>
    </row>
    <row r="102" spans="1:10" x14ac:dyDescent="0.3">
      <c r="A102" s="1" t="s">
        <v>241</v>
      </c>
      <c r="B102" s="1" t="s">
        <v>54</v>
      </c>
      <c r="C102" s="1" t="s">
        <v>85</v>
      </c>
      <c r="D102" s="1" t="s">
        <v>31</v>
      </c>
      <c r="E102" s="4">
        <v>15</v>
      </c>
      <c r="F102" s="4">
        <v>12</v>
      </c>
      <c r="G102" s="1" t="s">
        <v>14</v>
      </c>
      <c r="H102" s="1" t="s">
        <v>40</v>
      </c>
      <c r="I102" s="5" t="s">
        <v>242</v>
      </c>
      <c r="J102" s="4">
        <v>100</v>
      </c>
    </row>
    <row r="103" spans="1:10" x14ac:dyDescent="0.3">
      <c r="A103" s="1" t="s">
        <v>243</v>
      </c>
      <c r="B103" s="1" t="s">
        <v>23</v>
      </c>
      <c r="C103" s="1" t="s">
        <v>96</v>
      </c>
      <c r="D103" s="1" t="s">
        <v>31</v>
      </c>
      <c r="E103" s="4">
        <v>15</v>
      </c>
      <c r="F103" s="4">
        <v>11</v>
      </c>
      <c r="G103" s="1" t="s">
        <v>25</v>
      </c>
      <c r="H103" s="1" t="s">
        <v>61</v>
      </c>
      <c r="I103" s="5" t="s">
        <v>244</v>
      </c>
      <c r="J103" s="4">
        <v>72</v>
      </c>
    </row>
    <row r="104" spans="1:10" x14ac:dyDescent="0.3">
      <c r="A104" s="1" t="s">
        <v>245</v>
      </c>
      <c r="B104" s="1" t="s">
        <v>54</v>
      </c>
      <c r="C104" s="1" t="s">
        <v>19</v>
      </c>
      <c r="D104" s="1" t="s">
        <v>31</v>
      </c>
      <c r="E104" s="4">
        <v>18</v>
      </c>
      <c r="F104" s="4">
        <v>12</v>
      </c>
      <c r="G104" s="1" t="s">
        <v>32</v>
      </c>
      <c r="H104" s="1" t="s">
        <v>26</v>
      </c>
      <c r="I104" s="5" t="s">
        <v>246</v>
      </c>
      <c r="J104" s="4">
        <v>74</v>
      </c>
    </row>
    <row r="105" spans="1:10" x14ac:dyDescent="0.3">
      <c r="A105" s="1" t="s">
        <v>247</v>
      </c>
      <c r="B105" s="1" t="s">
        <v>29</v>
      </c>
      <c r="C105" s="1" t="s">
        <v>58</v>
      </c>
      <c r="D105" s="1" t="s">
        <v>31</v>
      </c>
      <c r="E105" s="4">
        <v>14</v>
      </c>
      <c r="F105" s="4">
        <v>12</v>
      </c>
      <c r="G105" s="1" t="s">
        <v>14</v>
      </c>
      <c r="H105" s="1" t="s">
        <v>40</v>
      </c>
      <c r="I105" s="5" t="s">
        <v>248</v>
      </c>
      <c r="J105" s="4">
        <v>66</v>
      </c>
    </row>
    <row r="106" spans="1:10" x14ac:dyDescent="0.3">
      <c r="A106" s="1" t="s">
        <v>249</v>
      </c>
      <c r="B106" s="1" t="s">
        <v>68</v>
      </c>
      <c r="C106" s="1" t="s">
        <v>30</v>
      </c>
      <c r="D106" s="1" t="s">
        <v>31</v>
      </c>
      <c r="E106" s="4">
        <v>16</v>
      </c>
      <c r="F106" s="4">
        <v>11</v>
      </c>
      <c r="G106" s="1" t="s">
        <v>32</v>
      </c>
      <c r="H106" s="1" t="s">
        <v>20</v>
      </c>
      <c r="I106" s="5" t="s">
        <v>250</v>
      </c>
      <c r="J106" s="4">
        <v>90</v>
      </c>
    </row>
    <row r="107" spans="1:10" x14ac:dyDescent="0.3">
      <c r="A107" s="1" t="s">
        <v>251</v>
      </c>
      <c r="B107" s="1" t="s">
        <v>23</v>
      </c>
      <c r="C107" s="1" t="s">
        <v>24</v>
      </c>
      <c r="D107" s="1" t="s">
        <v>13</v>
      </c>
      <c r="E107" s="4">
        <v>16</v>
      </c>
      <c r="F107" s="4">
        <v>12</v>
      </c>
      <c r="G107" s="1" t="s">
        <v>43</v>
      </c>
      <c r="H107" s="1" t="s">
        <v>40</v>
      </c>
      <c r="I107" s="5" t="s">
        <v>252</v>
      </c>
      <c r="J107" s="4">
        <v>50</v>
      </c>
    </row>
    <row r="108" spans="1:10" x14ac:dyDescent="0.3">
      <c r="A108" s="1" t="s">
        <v>253</v>
      </c>
      <c r="B108" s="1" t="s">
        <v>18</v>
      </c>
      <c r="C108" s="1" t="s">
        <v>24</v>
      </c>
      <c r="D108" s="1" t="s">
        <v>13</v>
      </c>
      <c r="E108" s="4">
        <v>15</v>
      </c>
      <c r="F108" s="4">
        <v>9</v>
      </c>
      <c r="G108" s="1" t="s">
        <v>25</v>
      </c>
      <c r="H108" s="1" t="s">
        <v>20</v>
      </c>
      <c r="I108" s="5" t="s">
        <v>254</v>
      </c>
      <c r="J108" s="4">
        <v>36</v>
      </c>
    </row>
    <row r="109" spans="1:10" x14ac:dyDescent="0.3">
      <c r="A109" s="1" t="s">
        <v>255</v>
      </c>
      <c r="B109" s="1" t="s">
        <v>51</v>
      </c>
      <c r="C109" s="1" t="s">
        <v>79</v>
      </c>
      <c r="D109" s="1" t="s">
        <v>31</v>
      </c>
      <c r="E109" s="4">
        <v>20</v>
      </c>
      <c r="F109" s="4">
        <v>12</v>
      </c>
      <c r="G109" s="1" t="s">
        <v>43</v>
      </c>
      <c r="H109" s="1" t="s">
        <v>40</v>
      </c>
      <c r="I109" s="5" t="s">
        <v>256</v>
      </c>
      <c r="J109" s="4">
        <v>48</v>
      </c>
    </row>
    <row r="110" spans="1:10" x14ac:dyDescent="0.3">
      <c r="A110" s="1" t="s">
        <v>257</v>
      </c>
      <c r="B110" s="1" t="s">
        <v>68</v>
      </c>
      <c r="C110" s="1" t="s">
        <v>79</v>
      </c>
      <c r="D110" s="1" t="s">
        <v>31</v>
      </c>
      <c r="E110" s="4">
        <v>20</v>
      </c>
      <c r="F110" s="4">
        <v>11</v>
      </c>
      <c r="G110" s="1" t="s">
        <v>43</v>
      </c>
      <c r="H110" s="1" t="s">
        <v>46</v>
      </c>
      <c r="I110" s="5" t="s">
        <v>258</v>
      </c>
      <c r="J110" s="4">
        <v>52</v>
      </c>
    </row>
    <row r="111" spans="1:10" x14ac:dyDescent="0.3">
      <c r="A111" s="1" t="s">
        <v>259</v>
      </c>
      <c r="B111" s="1" t="s">
        <v>54</v>
      </c>
      <c r="C111" s="1" t="s">
        <v>85</v>
      </c>
      <c r="D111" s="1" t="s">
        <v>13</v>
      </c>
      <c r="E111" s="4">
        <v>14</v>
      </c>
      <c r="F111" s="4">
        <v>11</v>
      </c>
      <c r="G111" s="1" t="s">
        <v>43</v>
      </c>
      <c r="H111" s="1" t="s">
        <v>46</v>
      </c>
      <c r="I111" s="5" t="s">
        <v>260</v>
      </c>
      <c r="J111" s="4">
        <v>62</v>
      </c>
    </row>
    <row r="112" spans="1:10" x14ac:dyDescent="0.3">
      <c r="A112" s="1" t="s">
        <v>261</v>
      </c>
      <c r="B112" s="1" t="s">
        <v>23</v>
      </c>
      <c r="C112" s="1" t="s">
        <v>36</v>
      </c>
      <c r="D112" s="1" t="s">
        <v>13</v>
      </c>
      <c r="E112" s="4">
        <v>15</v>
      </c>
      <c r="F112" s="4">
        <v>11</v>
      </c>
      <c r="G112" s="1" t="s">
        <v>25</v>
      </c>
      <c r="H112" s="1" t="s">
        <v>26</v>
      </c>
      <c r="I112" s="5" t="s">
        <v>262</v>
      </c>
      <c r="J112" s="4">
        <v>63</v>
      </c>
    </row>
    <row r="113" spans="1:10" x14ac:dyDescent="0.3">
      <c r="A113" s="1" t="s">
        <v>263</v>
      </c>
      <c r="B113" s="1" t="s">
        <v>29</v>
      </c>
      <c r="C113" s="1" t="s">
        <v>19</v>
      </c>
      <c r="D113" s="1" t="s">
        <v>13</v>
      </c>
      <c r="E113" s="4">
        <v>15</v>
      </c>
      <c r="F113" s="4">
        <v>11</v>
      </c>
      <c r="G113" s="1" t="s">
        <v>25</v>
      </c>
      <c r="H113" s="1" t="s">
        <v>46</v>
      </c>
      <c r="I113" s="5" t="s">
        <v>264</v>
      </c>
      <c r="J113" s="4">
        <v>58</v>
      </c>
    </row>
    <row r="114" spans="1:10" x14ac:dyDescent="0.3">
      <c r="A114" s="1" t="s">
        <v>265</v>
      </c>
      <c r="B114" s="1" t="s">
        <v>11</v>
      </c>
      <c r="C114" s="1" t="s">
        <v>85</v>
      </c>
      <c r="D114" s="1" t="s">
        <v>31</v>
      </c>
      <c r="E114" s="4">
        <v>14</v>
      </c>
      <c r="F114" s="4">
        <v>9</v>
      </c>
      <c r="G114" s="1" t="s">
        <v>43</v>
      </c>
      <c r="H114" s="1" t="s">
        <v>61</v>
      </c>
      <c r="I114" s="5" t="s">
        <v>56</v>
      </c>
      <c r="J114" s="4">
        <v>41</v>
      </c>
    </row>
    <row r="115" spans="1:10" x14ac:dyDescent="0.3">
      <c r="A115" s="1" t="s">
        <v>266</v>
      </c>
      <c r="B115" s="1" t="s">
        <v>54</v>
      </c>
      <c r="C115" s="1" t="s">
        <v>58</v>
      </c>
      <c r="D115" s="1" t="s">
        <v>13</v>
      </c>
      <c r="E115" s="4">
        <v>19</v>
      </c>
      <c r="F115" s="4">
        <v>11</v>
      </c>
      <c r="G115" s="1" t="s">
        <v>14</v>
      </c>
      <c r="H115" s="1" t="s">
        <v>40</v>
      </c>
      <c r="I115" s="5" t="s">
        <v>267</v>
      </c>
      <c r="J115" s="4">
        <v>41</v>
      </c>
    </row>
    <row r="116" spans="1:10" x14ac:dyDescent="0.3">
      <c r="A116" s="1" t="s">
        <v>268</v>
      </c>
      <c r="B116" s="1" t="s">
        <v>68</v>
      </c>
      <c r="C116" s="1" t="s">
        <v>24</v>
      </c>
      <c r="D116" s="1" t="s">
        <v>31</v>
      </c>
      <c r="E116" s="4">
        <v>16</v>
      </c>
      <c r="F116" s="4">
        <v>12</v>
      </c>
      <c r="G116" s="1" t="s">
        <v>43</v>
      </c>
      <c r="H116" s="1" t="s">
        <v>26</v>
      </c>
      <c r="I116" s="5" t="s">
        <v>269</v>
      </c>
      <c r="J116" s="4">
        <v>47</v>
      </c>
    </row>
    <row r="117" spans="1:10" x14ac:dyDescent="0.3">
      <c r="A117" s="1" t="s">
        <v>270</v>
      </c>
      <c r="B117" s="1" t="s">
        <v>73</v>
      </c>
      <c r="C117" s="1" t="s">
        <v>30</v>
      </c>
      <c r="D117" s="1" t="s">
        <v>31</v>
      </c>
      <c r="E117" s="4">
        <v>15</v>
      </c>
      <c r="F117" s="4">
        <v>9</v>
      </c>
      <c r="G117" s="1" t="s">
        <v>43</v>
      </c>
      <c r="H117" s="1" t="s">
        <v>26</v>
      </c>
      <c r="I117" s="5" t="s">
        <v>271</v>
      </c>
      <c r="J117" s="4">
        <v>76</v>
      </c>
    </row>
    <row r="118" spans="1:10" x14ac:dyDescent="0.3">
      <c r="A118" s="1" t="s">
        <v>272</v>
      </c>
      <c r="B118" s="1" t="s">
        <v>54</v>
      </c>
      <c r="C118" s="1" t="s">
        <v>24</v>
      </c>
      <c r="D118" s="1" t="s">
        <v>13</v>
      </c>
      <c r="E118" s="4">
        <v>15</v>
      </c>
      <c r="F118" s="4">
        <v>9</v>
      </c>
      <c r="G118" s="1" t="s">
        <v>43</v>
      </c>
      <c r="H118" s="1" t="s">
        <v>20</v>
      </c>
      <c r="I118" s="5" t="s">
        <v>273</v>
      </c>
      <c r="J118" s="4">
        <v>50</v>
      </c>
    </row>
    <row r="119" spans="1:10" x14ac:dyDescent="0.3">
      <c r="A119" s="1" t="s">
        <v>274</v>
      </c>
      <c r="B119" s="1" t="s">
        <v>35</v>
      </c>
      <c r="C119" s="1" t="s">
        <v>36</v>
      </c>
      <c r="D119" s="1" t="s">
        <v>13</v>
      </c>
      <c r="E119" s="4">
        <v>19</v>
      </c>
      <c r="F119" s="4">
        <v>9</v>
      </c>
      <c r="G119" s="1" t="s">
        <v>32</v>
      </c>
      <c r="H119" s="1" t="s">
        <v>61</v>
      </c>
      <c r="I119" s="5" t="s">
        <v>275</v>
      </c>
      <c r="J119" s="4">
        <v>63</v>
      </c>
    </row>
    <row r="120" spans="1:10" x14ac:dyDescent="0.3">
      <c r="A120" s="1" t="s">
        <v>276</v>
      </c>
      <c r="B120" s="1" t="s">
        <v>84</v>
      </c>
      <c r="C120" s="1" t="s">
        <v>30</v>
      </c>
      <c r="D120" s="1" t="s">
        <v>31</v>
      </c>
      <c r="E120" s="4">
        <v>14</v>
      </c>
      <c r="F120" s="4">
        <v>12</v>
      </c>
      <c r="G120" s="1" t="s">
        <v>14</v>
      </c>
      <c r="H120" s="1" t="s">
        <v>26</v>
      </c>
      <c r="I120" s="5" t="s">
        <v>277</v>
      </c>
      <c r="J120" s="4">
        <v>62</v>
      </c>
    </row>
    <row r="121" spans="1:10" x14ac:dyDescent="0.3">
      <c r="A121" s="1" t="s">
        <v>278</v>
      </c>
      <c r="B121" s="1" t="s">
        <v>73</v>
      </c>
      <c r="C121" s="1" t="s">
        <v>36</v>
      </c>
      <c r="D121" s="1" t="s">
        <v>13</v>
      </c>
      <c r="E121" s="4">
        <v>14</v>
      </c>
      <c r="F121" s="4">
        <v>11</v>
      </c>
      <c r="G121" s="1" t="s">
        <v>32</v>
      </c>
      <c r="H121" s="1" t="s">
        <v>37</v>
      </c>
      <c r="I121" s="5" t="s">
        <v>279</v>
      </c>
      <c r="J121" s="4">
        <v>51</v>
      </c>
    </row>
    <row r="122" spans="1:10" x14ac:dyDescent="0.3">
      <c r="A122" s="1" t="s">
        <v>280</v>
      </c>
      <c r="B122" s="1" t="s">
        <v>84</v>
      </c>
      <c r="C122" s="1" t="s">
        <v>58</v>
      </c>
      <c r="D122" s="1" t="s">
        <v>13</v>
      </c>
      <c r="E122" s="4">
        <v>18</v>
      </c>
      <c r="F122" s="4">
        <v>12</v>
      </c>
      <c r="G122" s="1" t="s">
        <v>32</v>
      </c>
      <c r="H122" s="1" t="s">
        <v>76</v>
      </c>
      <c r="I122" s="5" t="s">
        <v>159</v>
      </c>
      <c r="J122" s="4">
        <v>98</v>
      </c>
    </row>
    <row r="123" spans="1:10" x14ac:dyDescent="0.3">
      <c r="A123" s="1" t="s">
        <v>281</v>
      </c>
      <c r="B123" s="1" t="s">
        <v>51</v>
      </c>
      <c r="C123" s="1" t="s">
        <v>36</v>
      </c>
      <c r="D123" s="1" t="s">
        <v>31</v>
      </c>
      <c r="E123" s="4">
        <v>15</v>
      </c>
      <c r="F123" s="4">
        <v>11</v>
      </c>
      <c r="G123" s="1" t="s">
        <v>43</v>
      </c>
      <c r="H123" s="1" t="s">
        <v>37</v>
      </c>
      <c r="I123" s="5" t="s">
        <v>282</v>
      </c>
      <c r="J123" s="4">
        <v>66</v>
      </c>
    </row>
    <row r="124" spans="1:10" x14ac:dyDescent="0.3">
      <c r="A124" s="1" t="s">
        <v>283</v>
      </c>
      <c r="B124" s="1" t="s">
        <v>68</v>
      </c>
      <c r="C124" s="1" t="s">
        <v>79</v>
      </c>
      <c r="D124" s="1" t="s">
        <v>31</v>
      </c>
      <c r="E124" s="4">
        <v>16</v>
      </c>
      <c r="F124" s="4">
        <v>11</v>
      </c>
      <c r="G124" s="1" t="s">
        <v>32</v>
      </c>
      <c r="H124" s="1" t="s">
        <v>40</v>
      </c>
      <c r="I124" s="5" t="s">
        <v>284</v>
      </c>
      <c r="J124" s="4">
        <v>95</v>
      </c>
    </row>
    <row r="125" spans="1:10" x14ac:dyDescent="0.3">
      <c r="A125" s="1" t="s">
        <v>285</v>
      </c>
      <c r="B125" s="1" t="s">
        <v>18</v>
      </c>
      <c r="C125" s="1" t="s">
        <v>36</v>
      </c>
      <c r="D125" s="1" t="s">
        <v>31</v>
      </c>
      <c r="E125" s="4">
        <v>14</v>
      </c>
      <c r="F125" s="4">
        <v>11</v>
      </c>
      <c r="G125" s="1" t="s">
        <v>25</v>
      </c>
      <c r="H125" s="1" t="s">
        <v>46</v>
      </c>
      <c r="I125" s="5" t="s">
        <v>286</v>
      </c>
      <c r="J125" s="4">
        <v>64</v>
      </c>
    </row>
    <row r="126" spans="1:10" x14ac:dyDescent="0.3">
      <c r="A126" s="1" t="s">
        <v>287</v>
      </c>
      <c r="B126" s="1" t="s">
        <v>54</v>
      </c>
      <c r="C126" s="1" t="s">
        <v>24</v>
      </c>
      <c r="D126" s="1" t="s">
        <v>31</v>
      </c>
      <c r="E126" s="4">
        <v>14</v>
      </c>
      <c r="F126" s="4">
        <v>12</v>
      </c>
      <c r="G126" s="1" t="s">
        <v>32</v>
      </c>
      <c r="H126" s="1" t="s">
        <v>76</v>
      </c>
      <c r="I126" s="5" t="s">
        <v>288</v>
      </c>
      <c r="J126" s="4">
        <v>48</v>
      </c>
    </row>
    <row r="127" spans="1:10" x14ac:dyDescent="0.3">
      <c r="A127" s="1" t="s">
        <v>289</v>
      </c>
      <c r="B127" s="1" t="s">
        <v>23</v>
      </c>
      <c r="C127" s="1" t="s">
        <v>79</v>
      </c>
      <c r="D127" s="1" t="s">
        <v>31</v>
      </c>
      <c r="E127" s="4">
        <v>17</v>
      </c>
      <c r="F127" s="4">
        <v>9</v>
      </c>
      <c r="G127" s="1" t="s">
        <v>25</v>
      </c>
      <c r="H127" s="1" t="s">
        <v>37</v>
      </c>
      <c r="I127" s="5" t="s">
        <v>290</v>
      </c>
      <c r="J127" s="4">
        <v>62</v>
      </c>
    </row>
    <row r="128" spans="1:10" x14ac:dyDescent="0.3">
      <c r="A128" s="1" t="s">
        <v>291</v>
      </c>
      <c r="B128" s="1" t="s">
        <v>11</v>
      </c>
      <c r="C128" s="1" t="s">
        <v>30</v>
      </c>
      <c r="D128" s="1" t="s">
        <v>31</v>
      </c>
      <c r="E128" s="4">
        <v>16</v>
      </c>
      <c r="F128" s="4">
        <v>9</v>
      </c>
      <c r="G128" s="1" t="s">
        <v>25</v>
      </c>
      <c r="H128" s="1" t="s">
        <v>61</v>
      </c>
      <c r="I128" s="5" t="s">
        <v>292</v>
      </c>
      <c r="J128" s="4">
        <v>97</v>
      </c>
    </row>
    <row r="129" spans="1:10" x14ac:dyDescent="0.3">
      <c r="A129" s="1" t="s">
        <v>293</v>
      </c>
      <c r="B129" s="1" t="s">
        <v>73</v>
      </c>
      <c r="C129" s="1" t="s">
        <v>96</v>
      </c>
      <c r="D129" s="1" t="s">
        <v>31</v>
      </c>
      <c r="E129" s="4">
        <v>20</v>
      </c>
      <c r="F129" s="4">
        <v>9</v>
      </c>
      <c r="G129" s="1" t="s">
        <v>43</v>
      </c>
      <c r="H129" s="1" t="s">
        <v>26</v>
      </c>
      <c r="I129" s="5" t="s">
        <v>74</v>
      </c>
      <c r="J129" s="4">
        <v>100</v>
      </c>
    </row>
    <row r="130" spans="1:10" x14ac:dyDescent="0.3">
      <c r="A130" s="1" t="s">
        <v>294</v>
      </c>
      <c r="B130" s="1" t="s">
        <v>35</v>
      </c>
      <c r="C130" s="1" t="s">
        <v>55</v>
      </c>
      <c r="D130" s="1" t="s">
        <v>13</v>
      </c>
      <c r="E130" s="4">
        <v>20</v>
      </c>
      <c r="F130" s="4">
        <v>9</v>
      </c>
      <c r="G130" s="1" t="s">
        <v>25</v>
      </c>
      <c r="H130" s="1" t="s">
        <v>46</v>
      </c>
      <c r="I130" s="5" t="s">
        <v>295</v>
      </c>
      <c r="J130" s="4">
        <v>99</v>
      </c>
    </row>
    <row r="131" spans="1:10" x14ac:dyDescent="0.3">
      <c r="A131" s="1" t="s">
        <v>296</v>
      </c>
      <c r="B131" s="1" t="s">
        <v>84</v>
      </c>
      <c r="C131" s="1" t="s">
        <v>19</v>
      </c>
      <c r="D131" s="1" t="s">
        <v>31</v>
      </c>
      <c r="E131" s="4">
        <v>20</v>
      </c>
      <c r="F131" s="4">
        <v>10</v>
      </c>
      <c r="G131" s="1" t="s">
        <v>43</v>
      </c>
      <c r="H131" s="1" t="s">
        <v>20</v>
      </c>
      <c r="I131" s="5" t="s">
        <v>297</v>
      </c>
      <c r="J131" s="4">
        <v>100</v>
      </c>
    </row>
    <row r="132" spans="1:10" x14ac:dyDescent="0.3">
      <c r="A132" s="1" t="s">
        <v>298</v>
      </c>
      <c r="B132" s="1" t="s">
        <v>29</v>
      </c>
      <c r="C132" s="1" t="s">
        <v>96</v>
      </c>
      <c r="D132" s="1" t="s">
        <v>31</v>
      </c>
      <c r="E132" s="4">
        <v>20</v>
      </c>
      <c r="F132" s="4">
        <v>10</v>
      </c>
      <c r="G132" s="1" t="s">
        <v>32</v>
      </c>
      <c r="H132" s="1" t="s">
        <v>26</v>
      </c>
      <c r="I132" s="5" t="s">
        <v>299</v>
      </c>
      <c r="J132" s="4">
        <v>56</v>
      </c>
    </row>
    <row r="133" spans="1:10" x14ac:dyDescent="0.3">
      <c r="A133" s="1" t="s">
        <v>300</v>
      </c>
      <c r="B133" s="1" t="s">
        <v>11</v>
      </c>
      <c r="C133" s="1" t="s">
        <v>79</v>
      </c>
      <c r="D133" s="1" t="s">
        <v>31</v>
      </c>
      <c r="E133" s="4">
        <v>18</v>
      </c>
      <c r="F133" s="4">
        <v>9</v>
      </c>
      <c r="G133" s="1" t="s">
        <v>14</v>
      </c>
      <c r="H133" s="1" t="s">
        <v>20</v>
      </c>
      <c r="I133" s="5" t="s">
        <v>301</v>
      </c>
      <c r="J133" s="4">
        <v>66</v>
      </c>
    </row>
    <row r="134" spans="1:10" x14ac:dyDescent="0.3">
      <c r="A134" s="1" t="s">
        <v>302</v>
      </c>
      <c r="B134" s="1" t="s">
        <v>29</v>
      </c>
      <c r="C134" s="1" t="s">
        <v>79</v>
      </c>
      <c r="D134" s="1" t="s">
        <v>13</v>
      </c>
      <c r="E134" s="4">
        <v>14</v>
      </c>
      <c r="F134" s="4">
        <v>12</v>
      </c>
      <c r="G134" s="1" t="s">
        <v>14</v>
      </c>
      <c r="H134" s="1" t="s">
        <v>20</v>
      </c>
      <c r="I134" s="5" t="s">
        <v>303</v>
      </c>
      <c r="J134" s="4">
        <v>66</v>
      </c>
    </row>
    <row r="135" spans="1:10" x14ac:dyDescent="0.3">
      <c r="A135" s="1" t="s">
        <v>304</v>
      </c>
      <c r="B135" s="1" t="s">
        <v>51</v>
      </c>
      <c r="C135" s="1" t="s">
        <v>36</v>
      </c>
      <c r="D135" s="1" t="s">
        <v>31</v>
      </c>
      <c r="E135" s="4">
        <v>15</v>
      </c>
      <c r="F135" s="4">
        <v>12</v>
      </c>
      <c r="G135" s="1" t="s">
        <v>32</v>
      </c>
      <c r="H135" s="1" t="s">
        <v>46</v>
      </c>
      <c r="I135" s="5" t="s">
        <v>305</v>
      </c>
      <c r="J135" s="4">
        <v>77</v>
      </c>
    </row>
    <row r="136" spans="1:10" x14ac:dyDescent="0.3">
      <c r="A136" s="1" t="s">
        <v>306</v>
      </c>
      <c r="B136" s="1" t="s">
        <v>23</v>
      </c>
      <c r="C136" s="1" t="s">
        <v>19</v>
      </c>
      <c r="D136" s="1" t="s">
        <v>31</v>
      </c>
      <c r="E136" s="4">
        <v>16</v>
      </c>
      <c r="F136" s="4">
        <v>10</v>
      </c>
      <c r="G136" s="1" t="s">
        <v>43</v>
      </c>
      <c r="H136" s="1" t="s">
        <v>61</v>
      </c>
      <c r="I136" s="5" t="s">
        <v>307</v>
      </c>
      <c r="J136" s="4">
        <v>47</v>
      </c>
    </row>
    <row r="137" spans="1:10" x14ac:dyDescent="0.3">
      <c r="A137" s="1" t="s">
        <v>308</v>
      </c>
      <c r="B137" s="1" t="s">
        <v>23</v>
      </c>
      <c r="C137" s="1" t="s">
        <v>36</v>
      </c>
      <c r="D137" s="1" t="s">
        <v>13</v>
      </c>
      <c r="E137" s="4">
        <v>18</v>
      </c>
      <c r="F137" s="4">
        <v>10</v>
      </c>
      <c r="G137" s="1" t="s">
        <v>43</v>
      </c>
      <c r="H137" s="1" t="s">
        <v>40</v>
      </c>
      <c r="I137" s="5" t="s">
        <v>309</v>
      </c>
      <c r="J137" s="4">
        <v>57</v>
      </c>
    </row>
    <row r="138" spans="1:10" x14ac:dyDescent="0.3">
      <c r="A138" s="1" t="s">
        <v>310</v>
      </c>
      <c r="B138" s="1" t="s">
        <v>29</v>
      </c>
      <c r="C138" s="1" t="s">
        <v>96</v>
      </c>
      <c r="D138" s="1" t="s">
        <v>31</v>
      </c>
      <c r="E138" s="4">
        <v>16</v>
      </c>
      <c r="F138" s="4">
        <v>9</v>
      </c>
      <c r="G138" s="1" t="s">
        <v>32</v>
      </c>
      <c r="H138" s="1" t="s">
        <v>46</v>
      </c>
      <c r="I138" s="5" t="s">
        <v>311</v>
      </c>
      <c r="J138" s="4">
        <v>67</v>
      </c>
    </row>
    <row r="139" spans="1:10" x14ac:dyDescent="0.3">
      <c r="A139" s="1" t="s">
        <v>312</v>
      </c>
      <c r="B139" s="1" t="s">
        <v>29</v>
      </c>
      <c r="C139" s="1" t="s">
        <v>12</v>
      </c>
      <c r="D139" s="1" t="s">
        <v>31</v>
      </c>
      <c r="E139" s="4">
        <v>14</v>
      </c>
      <c r="F139" s="4">
        <v>12</v>
      </c>
      <c r="G139" s="1" t="s">
        <v>43</v>
      </c>
      <c r="H139" s="1" t="s">
        <v>61</v>
      </c>
      <c r="I139" s="5" t="s">
        <v>313</v>
      </c>
      <c r="J139" s="4">
        <v>44</v>
      </c>
    </row>
    <row r="140" spans="1:10" x14ac:dyDescent="0.3">
      <c r="A140" s="1" t="s">
        <v>314</v>
      </c>
      <c r="B140" s="1" t="s">
        <v>68</v>
      </c>
      <c r="C140" s="1" t="s">
        <v>79</v>
      </c>
      <c r="D140" s="1" t="s">
        <v>13</v>
      </c>
      <c r="E140" s="4">
        <v>15</v>
      </c>
      <c r="F140" s="4">
        <v>11</v>
      </c>
      <c r="G140" s="1" t="s">
        <v>14</v>
      </c>
      <c r="H140" s="1" t="s">
        <v>46</v>
      </c>
      <c r="I140" s="5" t="s">
        <v>315</v>
      </c>
      <c r="J140" s="4">
        <v>35</v>
      </c>
    </row>
    <row r="141" spans="1:10" x14ac:dyDescent="0.3">
      <c r="A141" s="1" t="s">
        <v>316</v>
      </c>
      <c r="B141" s="1" t="s">
        <v>23</v>
      </c>
      <c r="C141" s="1" t="s">
        <v>36</v>
      </c>
      <c r="D141" s="1" t="s">
        <v>31</v>
      </c>
      <c r="E141" s="4">
        <v>20</v>
      </c>
      <c r="F141" s="4">
        <v>11</v>
      </c>
      <c r="G141" s="1" t="s">
        <v>14</v>
      </c>
      <c r="H141" s="1" t="s">
        <v>37</v>
      </c>
      <c r="I141" s="5" t="s">
        <v>317</v>
      </c>
      <c r="J141" s="4">
        <v>52</v>
      </c>
    </row>
    <row r="142" spans="1:10" x14ac:dyDescent="0.3">
      <c r="A142" s="1" t="s">
        <v>318</v>
      </c>
      <c r="B142" s="1" t="s">
        <v>54</v>
      </c>
      <c r="C142" s="1" t="s">
        <v>96</v>
      </c>
      <c r="D142" s="1" t="s">
        <v>13</v>
      </c>
      <c r="E142" s="4">
        <v>18</v>
      </c>
      <c r="F142" s="4">
        <v>9</v>
      </c>
      <c r="G142" s="1" t="s">
        <v>32</v>
      </c>
      <c r="H142" s="1" t="s">
        <v>76</v>
      </c>
      <c r="I142" s="5" t="s">
        <v>319</v>
      </c>
      <c r="J142" s="4">
        <v>86</v>
      </c>
    </row>
    <row r="143" spans="1:10" x14ac:dyDescent="0.3">
      <c r="A143" s="1" t="s">
        <v>320</v>
      </c>
      <c r="B143" s="1" t="s">
        <v>84</v>
      </c>
      <c r="C143" s="1" t="s">
        <v>55</v>
      </c>
      <c r="D143" s="1" t="s">
        <v>31</v>
      </c>
      <c r="E143" s="4">
        <v>16</v>
      </c>
      <c r="F143" s="4">
        <v>12</v>
      </c>
      <c r="G143" s="1" t="s">
        <v>32</v>
      </c>
      <c r="H143" s="1" t="s">
        <v>76</v>
      </c>
      <c r="I143" s="5" t="s">
        <v>321</v>
      </c>
      <c r="J143" s="4">
        <v>66</v>
      </c>
    </row>
    <row r="144" spans="1:10" x14ac:dyDescent="0.3">
      <c r="A144" s="1" t="s">
        <v>322</v>
      </c>
      <c r="B144" s="1" t="s">
        <v>35</v>
      </c>
      <c r="C144" s="1" t="s">
        <v>12</v>
      </c>
      <c r="D144" s="1" t="s">
        <v>13</v>
      </c>
      <c r="E144" s="4">
        <v>14</v>
      </c>
      <c r="F144" s="4">
        <v>11</v>
      </c>
      <c r="G144" s="1" t="s">
        <v>14</v>
      </c>
      <c r="H144" s="1" t="s">
        <v>26</v>
      </c>
      <c r="I144" s="5" t="s">
        <v>323</v>
      </c>
      <c r="J144" s="4">
        <v>93</v>
      </c>
    </row>
    <row r="145" spans="1:10" x14ac:dyDescent="0.3">
      <c r="A145" s="1" t="s">
        <v>324</v>
      </c>
      <c r="B145" s="1" t="s">
        <v>23</v>
      </c>
      <c r="C145" s="1" t="s">
        <v>85</v>
      </c>
      <c r="D145" s="1" t="s">
        <v>31</v>
      </c>
      <c r="E145" s="4">
        <v>16</v>
      </c>
      <c r="F145" s="4">
        <v>9</v>
      </c>
      <c r="G145" s="1" t="s">
        <v>32</v>
      </c>
      <c r="H145" s="1" t="s">
        <v>61</v>
      </c>
      <c r="I145" s="5" t="s">
        <v>325</v>
      </c>
      <c r="J145" s="4">
        <v>54</v>
      </c>
    </row>
    <row r="146" spans="1:10" x14ac:dyDescent="0.3">
      <c r="A146" s="1" t="s">
        <v>326</v>
      </c>
      <c r="B146" s="1" t="s">
        <v>54</v>
      </c>
      <c r="C146" s="1" t="s">
        <v>55</v>
      </c>
      <c r="D146" s="1" t="s">
        <v>13</v>
      </c>
      <c r="E146" s="4">
        <v>20</v>
      </c>
      <c r="F146" s="4">
        <v>9</v>
      </c>
      <c r="G146" s="1" t="s">
        <v>32</v>
      </c>
      <c r="H146" s="1" t="s">
        <v>15</v>
      </c>
      <c r="I146" s="5" t="s">
        <v>77</v>
      </c>
      <c r="J146" s="4">
        <v>75</v>
      </c>
    </row>
    <row r="147" spans="1:10" x14ac:dyDescent="0.3">
      <c r="A147" s="1" t="s">
        <v>327</v>
      </c>
      <c r="B147" s="1" t="s">
        <v>73</v>
      </c>
      <c r="C147" s="1" t="s">
        <v>96</v>
      </c>
      <c r="D147" s="1" t="s">
        <v>13</v>
      </c>
      <c r="E147" s="4">
        <v>20</v>
      </c>
      <c r="F147" s="4">
        <v>9</v>
      </c>
      <c r="G147" s="1" t="s">
        <v>32</v>
      </c>
      <c r="H147" s="1" t="s">
        <v>61</v>
      </c>
      <c r="I147" s="5" t="s">
        <v>328</v>
      </c>
      <c r="J147" s="4">
        <v>40</v>
      </c>
    </row>
    <row r="148" spans="1:10" x14ac:dyDescent="0.3">
      <c r="A148" s="1" t="s">
        <v>329</v>
      </c>
      <c r="B148" s="1" t="s">
        <v>11</v>
      </c>
      <c r="C148" s="1" t="s">
        <v>24</v>
      </c>
      <c r="D148" s="1" t="s">
        <v>31</v>
      </c>
      <c r="E148" s="4">
        <v>15</v>
      </c>
      <c r="F148" s="4">
        <v>9</v>
      </c>
      <c r="G148" s="1" t="s">
        <v>43</v>
      </c>
      <c r="H148" s="1" t="s">
        <v>61</v>
      </c>
      <c r="I148" s="5" t="s">
        <v>330</v>
      </c>
      <c r="J148" s="4">
        <v>83</v>
      </c>
    </row>
    <row r="149" spans="1:10" x14ac:dyDescent="0.3">
      <c r="A149" s="1" t="s">
        <v>331</v>
      </c>
      <c r="B149" s="1" t="s">
        <v>73</v>
      </c>
      <c r="C149" s="1" t="s">
        <v>30</v>
      </c>
      <c r="D149" s="1" t="s">
        <v>31</v>
      </c>
      <c r="E149" s="4">
        <v>19</v>
      </c>
      <c r="F149" s="4">
        <v>10</v>
      </c>
      <c r="G149" s="1" t="s">
        <v>43</v>
      </c>
      <c r="H149" s="1" t="s">
        <v>20</v>
      </c>
      <c r="I149" s="5" t="s">
        <v>191</v>
      </c>
      <c r="J149" s="4">
        <v>93</v>
      </c>
    </row>
    <row r="150" spans="1:10" x14ac:dyDescent="0.3">
      <c r="A150" s="1" t="s">
        <v>332</v>
      </c>
      <c r="B150" s="1" t="s">
        <v>29</v>
      </c>
      <c r="C150" s="1" t="s">
        <v>12</v>
      </c>
      <c r="D150" s="1" t="s">
        <v>31</v>
      </c>
      <c r="E150" s="4">
        <v>16</v>
      </c>
      <c r="F150" s="4">
        <v>11</v>
      </c>
      <c r="G150" s="1" t="s">
        <v>32</v>
      </c>
      <c r="H150" s="1" t="s">
        <v>76</v>
      </c>
      <c r="I150" s="5" t="s">
        <v>333</v>
      </c>
      <c r="J150" s="4">
        <v>42</v>
      </c>
    </row>
    <row r="151" spans="1:10" x14ac:dyDescent="0.3">
      <c r="A151" s="1" t="s">
        <v>334</v>
      </c>
      <c r="B151" s="1" t="s">
        <v>73</v>
      </c>
      <c r="C151" s="1" t="s">
        <v>12</v>
      </c>
      <c r="D151" s="1" t="s">
        <v>31</v>
      </c>
      <c r="E151" s="4">
        <v>18</v>
      </c>
      <c r="F151" s="4">
        <v>11</v>
      </c>
      <c r="G151" s="1" t="s">
        <v>32</v>
      </c>
      <c r="H151" s="1" t="s">
        <v>76</v>
      </c>
      <c r="I151" s="5" t="s">
        <v>335</v>
      </c>
      <c r="J151" s="4">
        <v>97</v>
      </c>
    </row>
    <row r="152" spans="1:10" x14ac:dyDescent="0.3">
      <c r="A152" s="1" t="s">
        <v>336</v>
      </c>
      <c r="B152" s="1" t="s">
        <v>11</v>
      </c>
      <c r="C152" s="1" t="s">
        <v>58</v>
      </c>
      <c r="D152" s="1" t="s">
        <v>31</v>
      </c>
      <c r="E152" s="4">
        <v>19</v>
      </c>
      <c r="F152" s="4">
        <v>12</v>
      </c>
      <c r="G152" s="1" t="s">
        <v>25</v>
      </c>
      <c r="H152" s="1" t="s">
        <v>61</v>
      </c>
      <c r="I152" s="5" t="s">
        <v>218</v>
      </c>
      <c r="J152" s="4">
        <v>68</v>
      </c>
    </row>
    <row r="153" spans="1:10" x14ac:dyDescent="0.3">
      <c r="A153" s="1" t="s">
        <v>337</v>
      </c>
      <c r="B153" s="1" t="s">
        <v>23</v>
      </c>
      <c r="C153" s="1" t="s">
        <v>30</v>
      </c>
      <c r="D153" s="1" t="s">
        <v>31</v>
      </c>
      <c r="E153" s="4">
        <v>19</v>
      </c>
      <c r="F153" s="4">
        <v>9</v>
      </c>
      <c r="G153" s="1" t="s">
        <v>32</v>
      </c>
      <c r="H153" s="1" t="s">
        <v>61</v>
      </c>
      <c r="I153" s="5" t="s">
        <v>338</v>
      </c>
      <c r="J153" s="4">
        <v>51</v>
      </c>
    </row>
    <row r="154" spans="1:10" x14ac:dyDescent="0.3">
      <c r="A154" s="1" t="s">
        <v>339</v>
      </c>
      <c r="B154" s="1" t="s">
        <v>23</v>
      </c>
      <c r="C154" s="1" t="s">
        <v>36</v>
      </c>
      <c r="D154" s="1" t="s">
        <v>13</v>
      </c>
      <c r="E154" s="4">
        <v>18</v>
      </c>
      <c r="F154" s="4">
        <v>9</v>
      </c>
      <c r="G154" s="1" t="s">
        <v>32</v>
      </c>
      <c r="H154" s="1" t="s">
        <v>37</v>
      </c>
      <c r="I154" s="5" t="s">
        <v>340</v>
      </c>
      <c r="J154" s="4">
        <v>64</v>
      </c>
    </row>
    <row r="155" spans="1:10" x14ac:dyDescent="0.3">
      <c r="A155" s="1" t="s">
        <v>341</v>
      </c>
      <c r="B155" s="1" t="s">
        <v>54</v>
      </c>
      <c r="C155" s="1" t="s">
        <v>55</v>
      </c>
      <c r="D155" s="1" t="s">
        <v>13</v>
      </c>
      <c r="E155" s="4">
        <v>14</v>
      </c>
      <c r="F155" s="4">
        <v>9</v>
      </c>
      <c r="G155" s="1" t="s">
        <v>25</v>
      </c>
      <c r="H155" s="1" t="s">
        <v>37</v>
      </c>
      <c r="I155" s="5" t="s">
        <v>342</v>
      </c>
      <c r="J155" s="4">
        <v>82</v>
      </c>
    </row>
    <row r="156" spans="1:10" x14ac:dyDescent="0.3">
      <c r="A156" s="1" t="s">
        <v>343</v>
      </c>
      <c r="B156" s="1" t="s">
        <v>68</v>
      </c>
      <c r="C156" s="1" t="s">
        <v>79</v>
      </c>
      <c r="D156" s="1" t="s">
        <v>13</v>
      </c>
      <c r="E156" s="4">
        <v>19</v>
      </c>
      <c r="F156" s="4">
        <v>11</v>
      </c>
      <c r="G156" s="1" t="s">
        <v>14</v>
      </c>
      <c r="H156" s="1" t="s">
        <v>40</v>
      </c>
      <c r="I156" s="5" t="s">
        <v>344</v>
      </c>
      <c r="J156" s="4">
        <v>35</v>
      </c>
    </row>
    <row r="157" spans="1:10" x14ac:dyDescent="0.3">
      <c r="A157" s="1" t="s">
        <v>345</v>
      </c>
      <c r="B157" s="1" t="s">
        <v>29</v>
      </c>
      <c r="C157" s="1" t="s">
        <v>24</v>
      </c>
      <c r="D157" s="1" t="s">
        <v>31</v>
      </c>
      <c r="E157" s="4">
        <v>15</v>
      </c>
      <c r="F157" s="4">
        <v>9</v>
      </c>
      <c r="G157" s="1" t="s">
        <v>14</v>
      </c>
      <c r="H157" s="1" t="s">
        <v>26</v>
      </c>
      <c r="I157" s="5" t="s">
        <v>346</v>
      </c>
      <c r="J157" s="4">
        <v>49</v>
      </c>
    </row>
    <row r="158" spans="1:10" x14ac:dyDescent="0.3">
      <c r="A158" s="1" t="s">
        <v>347</v>
      </c>
      <c r="B158" s="1" t="s">
        <v>23</v>
      </c>
      <c r="C158" s="1" t="s">
        <v>85</v>
      </c>
      <c r="D158" s="1" t="s">
        <v>31</v>
      </c>
      <c r="E158" s="4">
        <v>15</v>
      </c>
      <c r="F158" s="4">
        <v>11</v>
      </c>
      <c r="G158" s="1" t="s">
        <v>32</v>
      </c>
      <c r="H158" s="1" t="s">
        <v>26</v>
      </c>
      <c r="I158" s="5" t="s">
        <v>348</v>
      </c>
      <c r="J158" s="4">
        <v>37</v>
      </c>
    </row>
    <row r="159" spans="1:10" x14ac:dyDescent="0.3">
      <c r="A159" s="1" t="s">
        <v>349</v>
      </c>
      <c r="B159" s="1" t="s">
        <v>35</v>
      </c>
      <c r="C159" s="1" t="s">
        <v>30</v>
      </c>
      <c r="D159" s="1" t="s">
        <v>31</v>
      </c>
      <c r="E159" s="4">
        <v>18</v>
      </c>
      <c r="F159" s="4">
        <v>12</v>
      </c>
      <c r="G159" s="1" t="s">
        <v>43</v>
      </c>
      <c r="H159" s="1" t="s">
        <v>37</v>
      </c>
      <c r="I159" s="5" t="s">
        <v>350</v>
      </c>
      <c r="J159" s="4">
        <v>53</v>
      </c>
    </row>
    <row r="160" spans="1:10" x14ac:dyDescent="0.3">
      <c r="A160" s="1" t="s">
        <v>351</v>
      </c>
      <c r="B160" s="1" t="s">
        <v>68</v>
      </c>
      <c r="C160" s="1" t="s">
        <v>96</v>
      </c>
      <c r="D160" s="1" t="s">
        <v>13</v>
      </c>
      <c r="E160" s="4">
        <v>15</v>
      </c>
      <c r="F160" s="4">
        <v>10</v>
      </c>
      <c r="G160" s="1" t="s">
        <v>25</v>
      </c>
      <c r="H160" s="1" t="s">
        <v>20</v>
      </c>
      <c r="I160" s="5" t="s">
        <v>352</v>
      </c>
      <c r="J160" s="4">
        <v>50</v>
      </c>
    </row>
    <row r="161" spans="1:10" x14ac:dyDescent="0.3">
      <c r="A161" s="1" t="s">
        <v>353</v>
      </c>
      <c r="B161" s="1" t="s">
        <v>51</v>
      </c>
      <c r="C161" s="1" t="s">
        <v>55</v>
      </c>
      <c r="D161" s="1" t="s">
        <v>31</v>
      </c>
      <c r="E161" s="4">
        <v>20</v>
      </c>
      <c r="F161" s="4">
        <v>9</v>
      </c>
      <c r="G161" s="1" t="s">
        <v>25</v>
      </c>
      <c r="H161" s="1" t="s">
        <v>46</v>
      </c>
      <c r="I161" s="5" t="s">
        <v>354</v>
      </c>
      <c r="J161" s="4">
        <v>53</v>
      </c>
    </row>
    <row r="162" spans="1:10" x14ac:dyDescent="0.3">
      <c r="A162" s="1" t="s">
        <v>355</v>
      </c>
      <c r="B162" s="1" t="s">
        <v>68</v>
      </c>
      <c r="C162" s="1" t="s">
        <v>79</v>
      </c>
      <c r="D162" s="1" t="s">
        <v>13</v>
      </c>
      <c r="E162" s="4">
        <v>15</v>
      </c>
      <c r="F162" s="4">
        <v>12</v>
      </c>
      <c r="G162" s="1" t="s">
        <v>14</v>
      </c>
      <c r="H162" s="1" t="s">
        <v>20</v>
      </c>
      <c r="I162" s="5" t="s">
        <v>356</v>
      </c>
      <c r="J162" s="4">
        <v>37</v>
      </c>
    </row>
    <row r="163" spans="1:10" x14ac:dyDescent="0.3">
      <c r="A163" s="1" t="s">
        <v>357</v>
      </c>
      <c r="B163" s="1" t="s">
        <v>23</v>
      </c>
      <c r="C163" s="1" t="s">
        <v>24</v>
      </c>
      <c r="D163" s="1" t="s">
        <v>13</v>
      </c>
      <c r="E163" s="4">
        <v>16</v>
      </c>
      <c r="F163" s="4">
        <v>9</v>
      </c>
      <c r="G163" s="1" t="s">
        <v>25</v>
      </c>
      <c r="H163" s="1" t="s">
        <v>20</v>
      </c>
      <c r="I163" s="5" t="s">
        <v>358</v>
      </c>
      <c r="J163" s="4">
        <v>66</v>
      </c>
    </row>
    <row r="164" spans="1:10" x14ac:dyDescent="0.3">
      <c r="A164" s="1" t="s">
        <v>359</v>
      </c>
      <c r="B164" s="1" t="s">
        <v>68</v>
      </c>
      <c r="C164" s="1" t="s">
        <v>85</v>
      </c>
      <c r="D164" s="1" t="s">
        <v>13</v>
      </c>
      <c r="E164" s="4">
        <v>19</v>
      </c>
      <c r="F164" s="4">
        <v>11</v>
      </c>
      <c r="G164" s="1" t="s">
        <v>43</v>
      </c>
      <c r="H164" s="1" t="s">
        <v>76</v>
      </c>
      <c r="I164" s="5" t="s">
        <v>360</v>
      </c>
      <c r="J164" s="4">
        <v>64</v>
      </c>
    </row>
    <row r="165" spans="1:10" x14ac:dyDescent="0.3">
      <c r="A165" s="1" t="s">
        <v>361</v>
      </c>
      <c r="B165" s="1" t="s">
        <v>11</v>
      </c>
      <c r="C165" s="1" t="s">
        <v>30</v>
      </c>
      <c r="D165" s="1" t="s">
        <v>13</v>
      </c>
      <c r="E165" s="4">
        <v>20</v>
      </c>
      <c r="F165" s="4">
        <v>10</v>
      </c>
      <c r="G165" s="1" t="s">
        <v>32</v>
      </c>
      <c r="H165" s="1" t="s">
        <v>15</v>
      </c>
      <c r="I165" s="5" t="s">
        <v>362</v>
      </c>
      <c r="J165" s="4">
        <v>49</v>
      </c>
    </row>
    <row r="166" spans="1:10" x14ac:dyDescent="0.3">
      <c r="A166" s="1" t="s">
        <v>363</v>
      </c>
      <c r="B166" s="1" t="s">
        <v>11</v>
      </c>
      <c r="C166" s="1" t="s">
        <v>85</v>
      </c>
      <c r="D166" s="1" t="s">
        <v>31</v>
      </c>
      <c r="E166" s="4">
        <v>15</v>
      </c>
      <c r="F166" s="4">
        <v>10</v>
      </c>
      <c r="G166" s="1" t="s">
        <v>14</v>
      </c>
      <c r="H166" s="1" t="s">
        <v>37</v>
      </c>
      <c r="I166" s="5" t="s">
        <v>364</v>
      </c>
      <c r="J166" s="4">
        <v>71</v>
      </c>
    </row>
    <row r="167" spans="1:10" x14ac:dyDescent="0.3">
      <c r="A167" s="1" t="s">
        <v>365</v>
      </c>
      <c r="B167" s="1" t="s">
        <v>11</v>
      </c>
      <c r="C167" s="1" t="s">
        <v>55</v>
      </c>
      <c r="D167" s="1" t="s">
        <v>13</v>
      </c>
      <c r="E167" s="4">
        <v>16</v>
      </c>
      <c r="F167" s="4">
        <v>10</v>
      </c>
      <c r="G167" s="1" t="s">
        <v>32</v>
      </c>
      <c r="H167" s="1" t="s">
        <v>15</v>
      </c>
      <c r="I167" s="5" t="s">
        <v>366</v>
      </c>
      <c r="J167" s="4">
        <v>72</v>
      </c>
    </row>
    <row r="168" spans="1:10" x14ac:dyDescent="0.3">
      <c r="A168" s="1" t="s">
        <v>367</v>
      </c>
      <c r="B168" s="1" t="s">
        <v>35</v>
      </c>
      <c r="C168" s="1" t="s">
        <v>12</v>
      </c>
      <c r="D168" s="1" t="s">
        <v>31</v>
      </c>
      <c r="E168" s="4">
        <v>15</v>
      </c>
      <c r="F168" s="4">
        <v>10</v>
      </c>
      <c r="G168" s="1" t="s">
        <v>32</v>
      </c>
      <c r="H168" s="1" t="s">
        <v>20</v>
      </c>
      <c r="I168" s="5" t="s">
        <v>368</v>
      </c>
      <c r="J168" s="4">
        <v>99</v>
      </c>
    </row>
    <row r="169" spans="1:10" x14ac:dyDescent="0.3">
      <c r="A169" s="1" t="s">
        <v>369</v>
      </c>
      <c r="B169" s="1" t="s">
        <v>23</v>
      </c>
      <c r="C169" s="1" t="s">
        <v>24</v>
      </c>
      <c r="D169" s="1" t="s">
        <v>31</v>
      </c>
      <c r="E169" s="4">
        <v>17</v>
      </c>
      <c r="F169" s="4">
        <v>12</v>
      </c>
      <c r="G169" s="1" t="s">
        <v>43</v>
      </c>
      <c r="H169" s="1" t="s">
        <v>61</v>
      </c>
      <c r="I169" s="5" t="s">
        <v>370</v>
      </c>
      <c r="J169" s="4">
        <v>96</v>
      </c>
    </row>
    <row r="170" spans="1:10" x14ac:dyDescent="0.3">
      <c r="A170" s="1" t="s">
        <v>371</v>
      </c>
      <c r="B170" s="1" t="s">
        <v>35</v>
      </c>
      <c r="C170" s="1" t="s">
        <v>58</v>
      </c>
      <c r="D170" s="1" t="s">
        <v>31</v>
      </c>
      <c r="E170" s="4">
        <v>19</v>
      </c>
      <c r="F170" s="4">
        <v>9</v>
      </c>
      <c r="G170" s="1" t="s">
        <v>14</v>
      </c>
      <c r="H170" s="1" t="s">
        <v>20</v>
      </c>
      <c r="I170" s="5" t="s">
        <v>372</v>
      </c>
      <c r="J170" s="4">
        <v>87</v>
      </c>
    </row>
    <row r="171" spans="1:10" x14ac:dyDescent="0.3">
      <c r="A171" s="1" t="s">
        <v>373</v>
      </c>
      <c r="B171" s="1" t="s">
        <v>51</v>
      </c>
      <c r="C171" s="1" t="s">
        <v>19</v>
      </c>
      <c r="D171" s="1" t="s">
        <v>13</v>
      </c>
      <c r="E171" s="4">
        <v>15</v>
      </c>
      <c r="F171" s="4">
        <v>11</v>
      </c>
      <c r="G171" s="1" t="s">
        <v>14</v>
      </c>
      <c r="H171" s="1" t="s">
        <v>61</v>
      </c>
      <c r="I171" s="5" t="s">
        <v>374</v>
      </c>
      <c r="J171" s="4">
        <v>78</v>
      </c>
    </row>
    <row r="172" spans="1:10" x14ac:dyDescent="0.3">
      <c r="A172" s="1" t="s">
        <v>375</v>
      </c>
      <c r="B172" s="1" t="s">
        <v>35</v>
      </c>
      <c r="C172" s="1" t="s">
        <v>36</v>
      </c>
      <c r="D172" s="1" t="s">
        <v>13</v>
      </c>
      <c r="E172" s="4">
        <v>18</v>
      </c>
      <c r="F172" s="4">
        <v>11</v>
      </c>
      <c r="G172" s="1" t="s">
        <v>25</v>
      </c>
      <c r="H172" s="1" t="s">
        <v>40</v>
      </c>
      <c r="I172" s="5" t="s">
        <v>376</v>
      </c>
      <c r="J172" s="4">
        <v>62</v>
      </c>
    </row>
    <row r="173" spans="1:10" x14ac:dyDescent="0.3">
      <c r="A173" s="1" t="s">
        <v>377</v>
      </c>
      <c r="B173" s="1" t="s">
        <v>35</v>
      </c>
      <c r="C173" s="1" t="s">
        <v>30</v>
      </c>
      <c r="D173" s="1" t="s">
        <v>13</v>
      </c>
      <c r="E173" s="4">
        <v>20</v>
      </c>
      <c r="F173" s="4">
        <v>11</v>
      </c>
      <c r="G173" s="1" t="s">
        <v>32</v>
      </c>
      <c r="H173" s="1" t="s">
        <v>37</v>
      </c>
      <c r="I173" s="5" t="s">
        <v>189</v>
      </c>
      <c r="J173" s="4">
        <v>79</v>
      </c>
    </row>
    <row r="174" spans="1:10" x14ac:dyDescent="0.3">
      <c r="A174" s="1" t="s">
        <v>378</v>
      </c>
      <c r="B174" s="1" t="s">
        <v>18</v>
      </c>
      <c r="C174" s="1" t="s">
        <v>55</v>
      </c>
      <c r="D174" s="1" t="s">
        <v>31</v>
      </c>
      <c r="E174" s="4">
        <v>17</v>
      </c>
      <c r="F174" s="4">
        <v>9</v>
      </c>
      <c r="G174" s="1" t="s">
        <v>32</v>
      </c>
      <c r="H174" s="1" t="s">
        <v>26</v>
      </c>
      <c r="I174" s="5" t="s">
        <v>379</v>
      </c>
      <c r="J174" s="4">
        <v>66</v>
      </c>
    </row>
    <row r="175" spans="1:10" x14ac:dyDescent="0.3">
      <c r="A175" s="1" t="s">
        <v>380</v>
      </c>
      <c r="B175" s="1" t="s">
        <v>11</v>
      </c>
      <c r="C175" s="1" t="s">
        <v>24</v>
      </c>
      <c r="D175" s="1" t="s">
        <v>31</v>
      </c>
      <c r="E175" s="4">
        <v>18</v>
      </c>
      <c r="F175" s="4">
        <v>11</v>
      </c>
      <c r="G175" s="1" t="s">
        <v>32</v>
      </c>
      <c r="H175" s="1" t="s">
        <v>61</v>
      </c>
      <c r="I175" s="5" t="s">
        <v>381</v>
      </c>
      <c r="J175" s="4">
        <v>67</v>
      </c>
    </row>
    <row r="176" spans="1:10" x14ac:dyDescent="0.3">
      <c r="A176" s="1" t="s">
        <v>382</v>
      </c>
      <c r="B176" s="1" t="s">
        <v>51</v>
      </c>
      <c r="C176" s="1" t="s">
        <v>85</v>
      </c>
      <c r="D176" s="1" t="s">
        <v>13</v>
      </c>
      <c r="E176" s="4">
        <v>16</v>
      </c>
      <c r="F176" s="4">
        <v>10</v>
      </c>
      <c r="G176" s="1" t="s">
        <v>43</v>
      </c>
      <c r="H176" s="1" t="s">
        <v>61</v>
      </c>
      <c r="I176" s="5" t="s">
        <v>383</v>
      </c>
      <c r="J176" s="4">
        <v>72</v>
      </c>
    </row>
    <row r="177" spans="1:10" x14ac:dyDescent="0.3">
      <c r="A177" s="1" t="s">
        <v>384</v>
      </c>
      <c r="B177" s="1" t="s">
        <v>54</v>
      </c>
      <c r="C177" s="1" t="s">
        <v>19</v>
      </c>
      <c r="D177" s="1" t="s">
        <v>31</v>
      </c>
      <c r="E177" s="4">
        <v>16</v>
      </c>
      <c r="F177" s="4">
        <v>12</v>
      </c>
      <c r="G177" s="1" t="s">
        <v>25</v>
      </c>
      <c r="H177" s="1" t="s">
        <v>20</v>
      </c>
      <c r="I177" s="5" t="s">
        <v>385</v>
      </c>
      <c r="J177" s="4">
        <v>39</v>
      </c>
    </row>
    <row r="178" spans="1:10" x14ac:dyDescent="0.3">
      <c r="A178" s="1" t="s">
        <v>386</v>
      </c>
      <c r="B178" s="1" t="s">
        <v>68</v>
      </c>
      <c r="C178" s="1" t="s">
        <v>96</v>
      </c>
      <c r="D178" s="1" t="s">
        <v>13</v>
      </c>
      <c r="E178" s="4">
        <v>18</v>
      </c>
      <c r="F178" s="4">
        <v>9</v>
      </c>
      <c r="G178" s="1" t="s">
        <v>25</v>
      </c>
      <c r="H178" s="1" t="s">
        <v>46</v>
      </c>
      <c r="I178" s="5" t="s">
        <v>387</v>
      </c>
      <c r="J178" s="4">
        <v>74</v>
      </c>
    </row>
    <row r="179" spans="1:10" x14ac:dyDescent="0.3">
      <c r="A179" s="1" t="s">
        <v>388</v>
      </c>
      <c r="B179" s="1" t="s">
        <v>73</v>
      </c>
      <c r="C179" s="1" t="s">
        <v>12</v>
      </c>
      <c r="D179" s="1" t="s">
        <v>31</v>
      </c>
      <c r="E179" s="4">
        <v>19</v>
      </c>
      <c r="F179" s="4">
        <v>11</v>
      </c>
      <c r="G179" s="1" t="s">
        <v>43</v>
      </c>
      <c r="H179" s="1" t="s">
        <v>61</v>
      </c>
      <c r="I179" s="5" t="s">
        <v>214</v>
      </c>
      <c r="J179" s="4">
        <v>88</v>
      </c>
    </row>
    <row r="180" spans="1:10" x14ac:dyDescent="0.3">
      <c r="A180" s="1" t="s">
        <v>389</v>
      </c>
      <c r="B180" s="1" t="s">
        <v>54</v>
      </c>
      <c r="C180" s="1" t="s">
        <v>58</v>
      </c>
      <c r="D180" s="1" t="s">
        <v>31</v>
      </c>
      <c r="E180" s="4">
        <v>14</v>
      </c>
      <c r="F180" s="4">
        <v>11</v>
      </c>
      <c r="G180" s="1" t="s">
        <v>32</v>
      </c>
      <c r="H180" s="1" t="s">
        <v>76</v>
      </c>
      <c r="I180" s="5" t="s">
        <v>390</v>
      </c>
      <c r="J180" s="4">
        <v>54</v>
      </c>
    </row>
    <row r="181" spans="1:10" x14ac:dyDescent="0.3">
      <c r="A181" s="1" t="s">
        <v>391</v>
      </c>
      <c r="B181" s="1" t="s">
        <v>68</v>
      </c>
      <c r="C181" s="1" t="s">
        <v>19</v>
      </c>
      <c r="D181" s="1" t="s">
        <v>13</v>
      </c>
      <c r="E181" s="4">
        <v>19</v>
      </c>
      <c r="F181" s="4">
        <v>12</v>
      </c>
      <c r="G181" s="1" t="s">
        <v>25</v>
      </c>
      <c r="H181" s="1" t="s">
        <v>46</v>
      </c>
      <c r="I181" s="5" t="s">
        <v>392</v>
      </c>
      <c r="J181" s="4">
        <v>46</v>
      </c>
    </row>
    <row r="182" spans="1:10" x14ac:dyDescent="0.3">
      <c r="A182" s="1" t="s">
        <v>393</v>
      </c>
      <c r="B182" s="1" t="s">
        <v>68</v>
      </c>
      <c r="C182" s="1" t="s">
        <v>85</v>
      </c>
      <c r="D182" s="1" t="s">
        <v>13</v>
      </c>
      <c r="E182" s="4">
        <v>15</v>
      </c>
      <c r="F182" s="4">
        <v>10</v>
      </c>
      <c r="G182" s="1" t="s">
        <v>32</v>
      </c>
      <c r="H182" s="1" t="s">
        <v>37</v>
      </c>
      <c r="I182" s="5" t="s">
        <v>394</v>
      </c>
      <c r="J182" s="4">
        <v>89</v>
      </c>
    </row>
    <row r="183" spans="1:10" x14ac:dyDescent="0.3">
      <c r="A183" s="1" t="s">
        <v>395</v>
      </c>
      <c r="B183" s="1" t="s">
        <v>11</v>
      </c>
      <c r="C183" s="1" t="s">
        <v>96</v>
      </c>
      <c r="D183" s="1" t="s">
        <v>13</v>
      </c>
      <c r="E183" s="4">
        <v>18</v>
      </c>
      <c r="F183" s="4">
        <v>11</v>
      </c>
      <c r="G183" s="1" t="s">
        <v>25</v>
      </c>
      <c r="H183" s="1" t="s">
        <v>37</v>
      </c>
      <c r="I183" s="5" t="s">
        <v>396</v>
      </c>
      <c r="J183" s="4">
        <v>65</v>
      </c>
    </row>
    <row r="184" spans="1:10" x14ac:dyDescent="0.3">
      <c r="A184" s="1" t="s">
        <v>397</v>
      </c>
      <c r="B184" s="1" t="s">
        <v>23</v>
      </c>
      <c r="C184" s="1" t="s">
        <v>12</v>
      </c>
      <c r="D184" s="1" t="s">
        <v>13</v>
      </c>
      <c r="E184" s="4">
        <v>20</v>
      </c>
      <c r="F184" s="4">
        <v>9</v>
      </c>
      <c r="G184" s="1" t="s">
        <v>25</v>
      </c>
      <c r="H184" s="1" t="s">
        <v>46</v>
      </c>
      <c r="I184" s="5" t="s">
        <v>398</v>
      </c>
      <c r="J184" s="4">
        <v>91</v>
      </c>
    </row>
    <row r="185" spans="1:10" x14ac:dyDescent="0.3">
      <c r="A185" s="1" t="s">
        <v>399</v>
      </c>
      <c r="B185" s="1" t="s">
        <v>35</v>
      </c>
      <c r="C185" s="1" t="s">
        <v>79</v>
      </c>
      <c r="D185" s="1" t="s">
        <v>13</v>
      </c>
      <c r="E185" s="4">
        <v>17</v>
      </c>
      <c r="F185" s="4">
        <v>10</v>
      </c>
      <c r="G185" s="1" t="s">
        <v>43</v>
      </c>
      <c r="H185" s="1" t="s">
        <v>37</v>
      </c>
      <c r="I185" s="5" t="s">
        <v>400</v>
      </c>
      <c r="J185" s="4">
        <v>78</v>
      </c>
    </row>
    <row r="186" spans="1:10" x14ac:dyDescent="0.3">
      <c r="A186" s="1" t="s">
        <v>401</v>
      </c>
      <c r="B186" s="1" t="s">
        <v>11</v>
      </c>
      <c r="C186" s="1" t="s">
        <v>79</v>
      </c>
      <c r="D186" s="1" t="s">
        <v>31</v>
      </c>
      <c r="E186" s="4">
        <v>15</v>
      </c>
      <c r="F186" s="4">
        <v>11</v>
      </c>
      <c r="G186" s="1" t="s">
        <v>43</v>
      </c>
      <c r="H186" s="1" t="s">
        <v>40</v>
      </c>
      <c r="I186" s="5" t="s">
        <v>402</v>
      </c>
      <c r="J186" s="4">
        <v>84</v>
      </c>
    </row>
    <row r="187" spans="1:10" x14ac:dyDescent="0.3">
      <c r="A187" s="1" t="s">
        <v>403</v>
      </c>
      <c r="B187" s="1" t="s">
        <v>11</v>
      </c>
      <c r="C187" s="1" t="s">
        <v>12</v>
      </c>
      <c r="D187" s="1" t="s">
        <v>31</v>
      </c>
      <c r="E187" s="4">
        <v>19</v>
      </c>
      <c r="F187" s="4">
        <v>9</v>
      </c>
      <c r="G187" s="1" t="s">
        <v>43</v>
      </c>
      <c r="H187" s="1" t="s">
        <v>46</v>
      </c>
      <c r="I187" s="5" t="s">
        <v>404</v>
      </c>
      <c r="J187" s="4">
        <v>37</v>
      </c>
    </row>
    <row r="188" spans="1:10" x14ac:dyDescent="0.3">
      <c r="A188" s="1" t="s">
        <v>405</v>
      </c>
      <c r="B188" s="1" t="s">
        <v>18</v>
      </c>
      <c r="C188" s="1" t="s">
        <v>19</v>
      </c>
      <c r="D188" s="1" t="s">
        <v>31</v>
      </c>
      <c r="E188" s="4">
        <v>18</v>
      </c>
      <c r="F188" s="4">
        <v>12</v>
      </c>
      <c r="G188" s="1" t="s">
        <v>25</v>
      </c>
      <c r="H188" s="1" t="s">
        <v>37</v>
      </c>
      <c r="I188" s="5" t="s">
        <v>406</v>
      </c>
      <c r="J188" s="4">
        <v>70</v>
      </c>
    </row>
    <row r="189" spans="1:10" x14ac:dyDescent="0.3">
      <c r="A189" s="1" t="s">
        <v>407</v>
      </c>
      <c r="B189" s="1" t="s">
        <v>29</v>
      </c>
      <c r="C189" s="1" t="s">
        <v>12</v>
      </c>
      <c r="D189" s="1" t="s">
        <v>31</v>
      </c>
      <c r="E189" s="4">
        <v>16</v>
      </c>
      <c r="F189" s="4">
        <v>10</v>
      </c>
      <c r="G189" s="1" t="s">
        <v>14</v>
      </c>
      <c r="H189" s="1" t="s">
        <v>40</v>
      </c>
      <c r="I189" s="5" t="s">
        <v>71</v>
      </c>
      <c r="J189" s="4">
        <v>100</v>
      </c>
    </row>
    <row r="190" spans="1:10" x14ac:dyDescent="0.3">
      <c r="A190" s="1" t="s">
        <v>408</v>
      </c>
      <c r="B190" s="1" t="s">
        <v>51</v>
      </c>
      <c r="C190" s="1" t="s">
        <v>85</v>
      </c>
      <c r="D190" s="1" t="s">
        <v>13</v>
      </c>
      <c r="E190" s="4">
        <v>17</v>
      </c>
      <c r="F190" s="4">
        <v>11</v>
      </c>
      <c r="G190" s="1" t="s">
        <v>25</v>
      </c>
      <c r="H190" s="1" t="s">
        <v>46</v>
      </c>
      <c r="I190" s="5" t="s">
        <v>52</v>
      </c>
      <c r="J190" s="4">
        <v>42</v>
      </c>
    </row>
    <row r="191" spans="1:10" x14ac:dyDescent="0.3">
      <c r="A191" s="1" t="s">
        <v>409</v>
      </c>
      <c r="B191" s="1" t="s">
        <v>84</v>
      </c>
      <c r="C191" s="1" t="s">
        <v>24</v>
      </c>
      <c r="D191" s="1" t="s">
        <v>13</v>
      </c>
      <c r="E191" s="4">
        <v>20</v>
      </c>
      <c r="F191" s="4">
        <v>9</v>
      </c>
      <c r="G191" s="1" t="s">
        <v>25</v>
      </c>
      <c r="H191" s="1" t="s">
        <v>46</v>
      </c>
      <c r="I191" s="5" t="s">
        <v>290</v>
      </c>
      <c r="J191" s="4">
        <v>68</v>
      </c>
    </row>
    <row r="192" spans="1:10" x14ac:dyDescent="0.3">
      <c r="A192" s="1" t="s">
        <v>410</v>
      </c>
      <c r="B192" s="1" t="s">
        <v>18</v>
      </c>
      <c r="C192" s="1" t="s">
        <v>55</v>
      </c>
      <c r="D192" s="1" t="s">
        <v>31</v>
      </c>
      <c r="E192" s="4">
        <v>20</v>
      </c>
      <c r="F192" s="4">
        <v>10</v>
      </c>
      <c r="G192" s="1" t="s">
        <v>43</v>
      </c>
      <c r="H192" s="1" t="s">
        <v>40</v>
      </c>
      <c r="I192" s="5" t="s">
        <v>411</v>
      </c>
      <c r="J192" s="4">
        <v>59</v>
      </c>
    </row>
    <row r="193" spans="1:10" x14ac:dyDescent="0.3">
      <c r="A193" s="1" t="s">
        <v>412</v>
      </c>
      <c r="B193" s="1" t="s">
        <v>73</v>
      </c>
      <c r="C193" s="1" t="s">
        <v>55</v>
      </c>
      <c r="D193" s="1" t="s">
        <v>13</v>
      </c>
      <c r="E193" s="4">
        <v>16</v>
      </c>
      <c r="F193" s="4">
        <v>12</v>
      </c>
      <c r="G193" s="1" t="s">
        <v>32</v>
      </c>
      <c r="H193" s="1" t="s">
        <v>46</v>
      </c>
      <c r="I193" s="5" t="s">
        <v>413</v>
      </c>
      <c r="J193" s="4">
        <v>85</v>
      </c>
    </row>
    <row r="194" spans="1:10" x14ac:dyDescent="0.3">
      <c r="A194" s="1" t="s">
        <v>414</v>
      </c>
      <c r="B194" s="1" t="s">
        <v>11</v>
      </c>
      <c r="C194" s="1" t="s">
        <v>55</v>
      </c>
      <c r="D194" s="1" t="s">
        <v>13</v>
      </c>
      <c r="E194" s="4">
        <v>16</v>
      </c>
      <c r="F194" s="4">
        <v>12</v>
      </c>
      <c r="G194" s="1" t="s">
        <v>32</v>
      </c>
      <c r="H194" s="1" t="s">
        <v>37</v>
      </c>
      <c r="I194" s="5" t="s">
        <v>415</v>
      </c>
      <c r="J194" s="4">
        <v>47</v>
      </c>
    </row>
    <row r="195" spans="1:10" x14ac:dyDescent="0.3">
      <c r="A195" s="1" t="s">
        <v>416</v>
      </c>
      <c r="B195" s="1" t="s">
        <v>18</v>
      </c>
      <c r="C195" s="1" t="s">
        <v>79</v>
      </c>
      <c r="D195" s="1" t="s">
        <v>31</v>
      </c>
      <c r="E195" s="4">
        <v>20</v>
      </c>
      <c r="F195" s="4">
        <v>9</v>
      </c>
      <c r="G195" s="1" t="s">
        <v>25</v>
      </c>
      <c r="H195" s="1" t="s">
        <v>37</v>
      </c>
      <c r="I195" s="5" t="s">
        <v>417</v>
      </c>
      <c r="J195" s="4">
        <v>53</v>
      </c>
    </row>
    <row r="196" spans="1:10" x14ac:dyDescent="0.3">
      <c r="A196" s="1" t="s">
        <v>418</v>
      </c>
      <c r="B196" s="1" t="s">
        <v>84</v>
      </c>
      <c r="C196" s="1" t="s">
        <v>24</v>
      </c>
      <c r="D196" s="1" t="s">
        <v>13</v>
      </c>
      <c r="E196" s="4">
        <v>15</v>
      </c>
      <c r="F196" s="4">
        <v>9</v>
      </c>
      <c r="G196" s="1" t="s">
        <v>25</v>
      </c>
      <c r="H196" s="1" t="s">
        <v>20</v>
      </c>
      <c r="I196" s="5" t="s">
        <v>419</v>
      </c>
      <c r="J196" s="4">
        <v>63</v>
      </c>
    </row>
    <row r="197" spans="1:10" x14ac:dyDescent="0.3">
      <c r="A197" s="1" t="s">
        <v>420</v>
      </c>
      <c r="B197" s="1" t="s">
        <v>73</v>
      </c>
      <c r="C197" s="1" t="s">
        <v>85</v>
      </c>
      <c r="D197" s="1" t="s">
        <v>13</v>
      </c>
      <c r="E197" s="4">
        <v>16</v>
      </c>
      <c r="F197" s="4">
        <v>11</v>
      </c>
      <c r="G197" s="1" t="s">
        <v>43</v>
      </c>
      <c r="H197" s="1" t="s">
        <v>46</v>
      </c>
      <c r="I197" s="5" t="s">
        <v>421</v>
      </c>
      <c r="J197" s="4">
        <v>55</v>
      </c>
    </row>
    <row r="198" spans="1:10" x14ac:dyDescent="0.3">
      <c r="A198" s="1" t="s">
        <v>422</v>
      </c>
      <c r="B198" s="1" t="s">
        <v>73</v>
      </c>
      <c r="C198" s="1" t="s">
        <v>96</v>
      </c>
      <c r="D198" s="1" t="s">
        <v>13</v>
      </c>
      <c r="E198" s="4">
        <v>14</v>
      </c>
      <c r="F198" s="4">
        <v>10</v>
      </c>
      <c r="G198" s="1" t="s">
        <v>25</v>
      </c>
      <c r="H198" s="1" t="s">
        <v>15</v>
      </c>
      <c r="I198" s="5" t="s">
        <v>423</v>
      </c>
      <c r="J198" s="4">
        <v>99</v>
      </c>
    </row>
    <row r="199" spans="1:10" x14ac:dyDescent="0.3">
      <c r="A199" s="1" t="s">
        <v>424</v>
      </c>
      <c r="B199" s="1" t="s">
        <v>29</v>
      </c>
      <c r="C199" s="1" t="s">
        <v>36</v>
      </c>
      <c r="D199" s="1" t="s">
        <v>31</v>
      </c>
      <c r="E199" s="4">
        <v>16</v>
      </c>
      <c r="F199" s="4">
        <v>12</v>
      </c>
      <c r="G199" s="1" t="s">
        <v>32</v>
      </c>
      <c r="H199" s="1" t="s">
        <v>37</v>
      </c>
      <c r="I199" s="5" t="s">
        <v>180</v>
      </c>
      <c r="J199" s="4">
        <v>89</v>
      </c>
    </row>
    <row r="200" spans="1:10" x14ac:dyDescent="0.3">
      <c r="A200" s="1" t="s">
        <v>425</v>
      </c>
      <c r="B200" s="1" t="s">
        <v>73</v>
      </c>
      <c r="C200" s="1" t="s">
        <v>30</v>
      </c>
      <c r="D200" s="1" t="s">
        <v>31</v>
      </c>
      <c r="E200" s="4">
        <v>15</v>
      </c>
      <c r="F200" s="4">
        <v>9</v>
      </c>
      <c r="G200" s="1" t="s">
        <v>14</v>
      </c>
      <c r="H200" s="1" t="s">
        <v>76</v>
      </c>
      <c r="I200" s="5" t="s">
        <v>149</v>
      </c>
      <c r="J200" s="4">
        <v>54</v>
      </c>
    </row>
    <row r="201" spans="1:10" x14ac:dyDescent="0.3">
      <c r="A201" s="1" t="s">
        <v>426</v>
      </c>
      <c r="B201" s="1" t="s">
        <v>54</v>
      </c>
      <c r="C201" s="1" t="s">
        <v>96</v>
      </c>
      <c r="D201" s="1" t="s">
        <v>31</v>
      </c>
      <c r="E201" s="4">
        <v>16</v>
      </c>
      <c r="F201" s="4">
        <v>12</v>
      </c>
      <c r="G201" s="1" t="s">
        <v>25</v>
      </c>
      <c r="H201" s="1" t="s">
        <v>20</v>
      </c>
      <c r="I201" s="5" t="s">
        <v>427</v>
      </c>
      <c r="J201" s="4">
        <v>82</v>
      </c>
    </row>
    <row r="202" spans="1:10" x14ac:dyDescent="0.3">
      <c r="A202" s="1" t="s">
        <v>428</v>
      </c>
      <c r="B202" s="1" t="s">
        <v>54</v>
      </c>
      <c r="C202" s="1" t="s">
        <v>55</v>
      </c>
      <c r="D202" s="1" t="s">
        <v>13</v>
      </c>
      <c r="E202" s="4">
        <v>16</v>
      </c>
      <c r="F202" s="4">
        <v>11</v>
      </c>
      <c r="G202" s="1" t="s">
        <v>25</v>
      </c>
      <c r="H202" s="1" t="s">
        <v>15</v>
      </c>
      <c r="I202" s="5" t="s">
        <v>429</v>
      </c>
      <c r="J202" s="4">
        <v>86</v>
      </c>
    </row>
    <row r="203" spans="1:10" x14ac:dyDescent="0.3">
      <c r="A203" s="1" t="s">
        <v>430</v>
      </c>
      <c r="B203" s="1" t="s">
        <v>54</v>
      </c>
      <c r="C203" s="1" t="s">
        <v>30</v>
      </c>
      <c r="D203" s="1" t="s">
        <v>13</v>
      </c>
      <c r="E203" s="4">
        <v>18</v>
      </c>
      <c r="F203" s="4">
        <v>11</v>
      </c>
      <c r="G203" s="1" t="s">
        <v>25</v>
      </c>
      <c r="H203" s="1" t="s">
        <v>26</v>
      </c>
      <c r="I203" s="5" t="s">
        <v>431</v>
      </c>
      <c r="J203" s="4">
        <v>91</v>
      </c>
    </row>
    <row r="204" spans="1:10" x14ac:dyDescent="0.3">
      <c r="A204" s="1" t="s">
        <v>432</v>
      </c>
      <c r="B204" s="1" t="s">
        <v>51</v>
      </c>
      <c r="C204" s="1" t="s">
        <v>24</v>
      </c>
      <c r="D204" s="1" t="s">
        <v>31</v>
      </c>
      <c r="E204" s="4">
        <v>17</v>
      </c>
      <c r="F204" s="4">
        <v>11</v>
      </c>
      <c r="G204" s="1" t="s">
        <v>43</v>
      </c>
      <c r="H204" s="1" t="s">
        <v>15</v>
      </c>
      <c r="I204" s="5" t="s">
        <v>400</v>
      </c>
      <c r="J204" s="4">
        <v>53</v>
      </c>
    </row>
    <row r="205" spans="1:10" x14ac:dyDescent="0.3">
      <c r="A205" s="1" t="s">
        <v>433</v>
      </c>
      <c r="B205" s="1" t="s">
        <v>84</v>
      </c>
      <c r="C205" s="1" t="s">
        <v>36</v>
      </c>
      <c r="D205" s="1" t="s">
        <v>13</v>
      </c>
      <c r="E205" s="4">
        <v>14</v>
      </c>
      <c r="F205" s="4">
        <v>9</v>
      </c>
      <c r="G205" s="1" t="s">
        <v>32</v>
      </c>
      <c r="H205" s="1" t="s">
        <v>15</v>
      </c>
      <c r="I205" s="5" t="s">
        <v>434</v>
      </c>
      <c r="J205" s="4">
        <v>47</v>
      </c>
    </row>
    <row r="206" spans="1:10" x14ac:dyDescent="0.3">
      <c r="A206" s="1" t="s">
        <v>435</v>
      </c>
      <c r="B206" s="1" t="s">
        <v>29</v>
      </c>
      <c r="C206" s="1" t="s">
        <v>30</v>
      </c>
      <c r="D206" s="1" t="s">
        <v>31</v>
      </c>
      <c r="E206" s="4">
        <v>20</v>
      </c>
      <c r="F206" s="4">
        <v>12</v>
      </c>
      <c r="G206" s="1" t="s">
        <v>43</v>
      </c>
      <c r="H206" s="1" t="s">
        <v>26</v>
      </c>
      <c r="I206" s="5" t="s">
        <v>436</v>
      </c>
      <c r="J206" s="4">
        <v>36</v>
      </c>
    </row>
    <row r="207" spans="1:10" x14ac:dyDescent="0.3">
      <c r="A207" s="1" t="s">
        <v>437</v>
      </c>
      <c r="B207" s="1" t="s">
        <v>73</v>
      </c>
      <c r="C207" s="1" t="s">
        <v>30</v>
      </c>
      <c r="D207" s="1" t="s">
        <v>13</v>
      </c>
      <c r="E207" s="4">
        <v>14</v>
      </c>
      <c r="F207" s="4">
        <v>11</v>
      </c>
      <c r="G207" s="1" t="s">
        <v>32</v>
      </c>
      <c r="H207" s="1" t="s">
        <v>76</v>
      </c>
      <c r="I207" s="5" t="s">
        <v>438</v>
      </c>
      <c r="J207" s="4">
        <v>62</v>
      </c>
    </row>
    <row r="208" spans="1:10" x14ac:dyDescent="0.3">
      <c r="A208" s="1" t="s">
        <v>439</v>
      </c>
      <c r="B208" s="1" t="s">
        <v>11</v>
      </c>
      <c r="C208" s="1" t="s">
        <v>12</v>
      </c>
      <c r="D208" s="1" t="s">
        <v>13</v>
      </c>
      <c r="E208" s="4">
        <v>15</v>
      </c>
      <c r="F208" s="4">
        <v>9</v>
      </c>
      <c r="G208" s="1" t="s">
        <v>25</v>
      </c>
      <c r="H208" s="1" t="s">
        <v>15</v>
      </c>
      <c r="I208" s="5" t="s">
        <v>440</v>
      </c>
      <c r="J208" s="4">
        <v>90</v>
      </c>
    </row>
    <row r="209" spans="1:10" x14ac:dyDescent="0.3">
      <c r="A209" s="1" t="s">
        <v>441</v>
      </c>
      <c r="B209" s="1" t="s">
        <v>35</v>
      </c>
      <c r="C209" s="1" t="s">
        <v>12</v>
      </c>
      <c r="D209" s="1" t="s">
        <v>13</v>
      </c>
      <c r="E209" s="4">
        <v>17</v>
      </c>
      <c r="F209" s="4">
        <v>10</v>
      </c>
      <c r="G209" s="1" t="s">
        <v>32</v>
      </c>
      <c r="H209" s="1" t="s">
        <v>15</v>
      </c>
      <c r="I209" s="5" t="s">
        <v>442</v>
      </c>
      <c r="J209" s="4">
        <v>91</v>
      </c>
    </row>
    <row r="210" spans="1:10" x14ac:dyDescent="0.3">
      <c r="A210" s="1" t="s">
        <v>443</v>
      </c>
      <c r="B210" s="1" t="s">
        <v>18</v>
      </c>
      <c r="C210" s="1" t="s">
        <v>96</v>
      </c>
      <c r="D210" s="1" t="s">
        <v>13</v>
      </c>
      <c r="E210" s="4">
        <v>17</v>
      </c>
      <c r="F210" s="4">
        <v>9</v>
      </c>
      <c r="G210" s="1" t="s">
        <v>43</v>
      </c>
      <c r="H210" s="1" t="s">
        <v>37</v>
      </c>
      <c r="I210" s="5" t="s">
        <v>444</v>
      </c>
      <c r="J210" s="4">
        <v>60</v>
      </c>
    </row>
    <row r="211" spans="1:10" x14ac:dyDescent="0.3">
      <c r="A211" s="1" t="s">
        <v>445</v>
      </c>
      <c r="B211" s="1" t="s">
        <v>54</v>
      </c>
      <c r="C211" s="1" t="s">
        <v>96</v>
      </c>
      <c r="D211" s="1" t="s">
        <v>13</v>
      </c>
      <c r="E211" s="4">
        <v>20</v>
      </c>
      <c r="F211" s="4">
        <v>10</v>
      </c>
      <c r="G211" s="1" t="s">
        <v>32</v>
      </c>
      <c r="H211" s="1" t="s">
        <v>46</v>
      </c>
      <c r="I211" s="5" t="s">
        <v>182</v>
      </c>
      <c r="J211" s="4">
        <v>85</v>
      </c>
    </row>
    <row r="212" spans="1:10" x14ac:dyDescent="0.3">
      <c r="A212" s="1" t="s">
        <v>446</v>
      </c>
      <c r="B212" s="1" t="s">
        <v>73</v>
      </c>
      <c r="C212" s="1" t="s">
        <v>24</v>
      </c>
      <c r="D212" s="1" t="s">
        <v>13</v>
      </c>
      <c r="E212" s="4">
        <v>17</v>
      </c>
      <c r="F212" s="4">
        <v>10</v>
      </c>
      <c r="G212" s="1" t="s">
        <v>14</v>
      </c>
      <c r="H212" s="1" t="s">
        <v>20</v>
      </c>
      <c r="I212" s="5" t="s">
        <v>447</v>
      </c>
      <c r="J212" s="4">
        <v>58</v>
      </c>
    </row>
    <row r="213" spans="1:10" x14ac:dyDescent="0.3">
      <c r="A213" s="1" t="s">
        <v>448</v>
      </c>
      <c r="B213" s="1" t="s">
        <v>73</v>
      </c>
      <c r="C213" s="1" t="s">
        <v>36</v>
      </c>
      <c r="D213" s="1" t="s">
        <v>31</v>
      </c>
      <c r="E213" s="4">
        <v>19</v>
      </c>
      <c r="F213" s="4">
        <v>12</v>
      </c>
      <c r="G213" s="1" t="s">
        <v>14</v>
      </c>
      <c r="H213" s="1" t="s">
        <v>37</v>
      </c>
      <c r="I213" s="5" t="s">
        <v>449</v>
      </c>
      <c r="J213" s="4">
        <v>65</v>
      </c>
    </row>
    <row r="214" spans="1:10" x14ac:dyDescent="0.3">
      <c r="A214" s="1" t="s">
        <v>450</v>
      </c>
      <c r="B214" s="1" t="s">
        <v>54</v>
      </c>
      <c r="C214" s="1" t="s">
        <v>55</v>
      </c>
      <c r="D214" s="1" t="s">
        <v>31</v>
      </c>
      <c r="E214" s="4">
        <v>19</v>
      </c>
      <c r="F214" s="4">
        <v>12</v>
      </c>
      <c r="G214" s="1" t="s">
        <v>43</v>
      </c>
      <c r="H214" s="1" t="s">
        <v>20</v>
      </c>
      <c r="I214" s="5" t="s">
        <v>451</v>
      </c>
      <c r="J214" s="4">
        <v>58</v>
      </c>
    </row>
    <row r="215" spans="1:10" x14ac:dyDescent="0.3">
      <c r="A215" s="1" t="s">
        <v>452</v>
      </c>
      <c r="B215" s="1" t="s">
        <v>51</v>
      </c>
      <c r="C215" s="1" t="s">
        <v>12</v>
      </c>
      <c r="D215" s="1" t="s">
        <v>13</v>
      </c>
      <c r="E215" s="4">
        <v>18</v>
      </c>
      <c r="F215" s="4">
        <v>9</v>
      </c>
      <c r="G215" s="1" t="s">
        <v>32</v>
      </c>
      <c r="H215" s="1" t="s">
        <v>76</v>
      </c>
      <c r="I215" s="5" t="s">
        <v>453</v>
      </c>
      <c r="J215" s="4">
        <v>35</v>
      </c>
    </row>
    <row r="216" spans="1:10" x14ac:dyDescent="0.3">
      <c r="A216" s="1" t="s">
        <v>454</v>
      </c>
      <c r="B216" s="1" t="s">
        <v>29</v>
      </c>
      <c r="C216" s="1" t="s">
        <v>12</v>
      </c>
      <c r="D216" s="1" t="s">
        <v>31</v>
      </c>
      <c r="E216" s="4">
        <v>16</v>
      </c>
      <c r="F216" s="4">
        <v>11</v>
      </c>
      <c r="G216" s="1" t="s">
        <v>43</v>
      </c>
      <c r="H216" s="1" t="s">
        <v>61</v>
      </c>
      <c r="I216" s="5" t="s">
        <v>385</v>
      </c>
      <c r="J216" s="4">
        <v>40</v>
      </c>
    </row>
    <row r="217" spans="1:10" x14ac:dyDescent="0.3">
      <c r="A217" s="1" t="s">
        <v>455</v>
      </c>
      <c r="B217" s="1" t="s">
        <v>29</v>
      </c>
      <c r="C217" s="1" t="s">
        <v>30</v>
      </c>
      <c r="D217" s="1" t="s">
        <v>13</v>
      </c>
      <c r="E217" s="4">
        <v>16</v>
      </c>
      <c r="F217" s="4">
        <v>9</v>
      </c>
      <c r="G217" s="1" t="s">
        <v>14</v>
      </c>
      <c r="H217" s="1" t="s">
        <v>61</v>
      </c>
      <c r="I217" s="5" t="s">
        <v>447</v>
      </c>
      <c r="J217" s="4">
        <v>60</v>
      </c>
    </row>
    <row r="218" spans="1:10" x14ac:dyDescent="0.3">
      <c r="A218" s="1" t="s">
        <v>456</v>
      </c>
      <c r="B218" s="1" t="s">
        <v>11</v>
      </c>
      <c r="C218" s="1" t="s">
        <v>55</v>
      </c>
      <c r="D218" s="1" t="s">
        <v>13</v>
      </c>
      <c r="E218" s="4">
        <v>15</v>
      </c>
      <c r="F218" s="4">
        <v>9</v>
      </c>
      <c r="G218" s="1" t="s">
        <v>32</v>
      </c>
      <c r="H218" s="1" t="s">
        <v>61</v>
      </c>
      <c r="I218" s="5" t="s">
        <v>457</v>
      </c>
      <c r="J218" s="4">
        <v>97</v>
      </c>
    </row>
    <row r="219" spans="1:10" x14ac:dyDescent="0.3">
      <c r="A219" s="1" t="s">
        <v>458</v>
      </c>
      <c r="B219" s="1" t="s">
        <v>11</v>
      </c>
      <c r="C219" s="1" t="s">
        <v>55</v>
      </c>
      <c r="D219" s="1" t="s">
        <v>13</v>
      </c>
      <c r="E219" s="4">
        <v>19</v>
      </c>
      <c r="F219" s="4">
        <v>11</v>
      </c>
      <c r="G219" s="1" t="s">
        <v>14</v>
      </c>
      <c r="H219" s="1" t="s">
        <v>46</v>
      </c>
      <c r="I219" s="5" t="s">
        <v>459</v>
      </c>
      <c r="J219" s="4">
        <v>81</v>
      </c>
    </row>
    <row r="220" spans="1:10" x14ac:dyDescent="0.3">
      <c r="A220" s="1" t="s">
        <v>460</v>
      </c>
      <c r="B220" s="1" t="s">
        <v>51</v>
      </c>
      <c r="C220" s="1" t="s">
        <v>96</v>
      </c>
      <c r="D220" s="1" t="s">
        <v>31</v>
      </c>
      <c r="E220" s="4">
        <v>16</v>
      </c>
      <c r="F220" s="4">
        <v>12</v>
      </c>
      <c r="G220" s="1" t="s">
        <v>43</v>
      </c>
      <c r="H220" s="1" t="s">
        <v>15</v>
      </c>
      <c r="I220" s="5" t="s">
        <v>461</v>
      </c>
      <c r="J220" s="4">
        <v>65</v>
      </c>
    </row>
    <row r="221" spans="1:10" x14ac:dyDescent="0.3">
      <c r="A221" s="1" t="s">
        <v>462</v>
      </c>
      <c r="B221" s="1" t="s">
        <v>11</v>
      </c>
      <c r="C221" s="1" t="s">
        <v>24</v>
      </c>
      <c r="D221" s="1" t="s">
        <v>31</v>
      </c>
      <c r="E221" s="4">
        <v>19</v>
      </c>
      <c r="F221" s="4">
        <v>12</v>
      </c>
      <c r="G221" s="1" t="s">
        <v>43</v>
      </c>
      <c r="H221" s="1" t="s">
        <v>37</v>
      </c>
      <c r="I221" s="5" t="s">
        <v>463</v>
      </c>
      <c r="J221" s="4">
        <v>45</v>
      </c>
    </row>
    <row r="222" spans="1:10" x14ac:dyDescent="0.3">
      <c r="A222" s="1" t="s">
        <v>464</v>
      </c>
      <c r="B222" s="1" t="s">
        <v>11</v>
      </c>
      <c r="C222" s="1" t="s">
        <v>36</v>
      </c>
      <c r="D222" s="1" t="s">
        <v>13</v>
      </c>
      <c r="E222" s="4">
        <v>16</v>
      </c>
      <c r="F222" s="4">
        <v>11</v>
      </c>
      <c r="G222" s="1" t="s">
        <v>25</v>
      </c>
      <c r="H222" s="1" t="s">
        <v>40</v>
      </c>
      <c r="I222" s="5" t="s">
        <v>465</v>
      </c>
      <c r="J222" s="4">
        <v>79</v>
      </c>
    </row>
    <row r="223" spans="1:10" x14ac:dyDescent="0.3">
      <c r="A223" s="1" t="s">
        <v>466</v>
      </c>
      <c r="B223" s="1" t="s">
        <v>11</v>
      </c>
      <c r="C223" s="1" t="s">
        <v>55</v>
      </c>
      <c r="D223" s="1" t="s">
        <v>31</v>
      </c>
      <c r="E223" s="4">
        <v>20</v>
      </c>
      <c r="F223" s="4">
        <v>11</v>
      </c>
      <c r="G223" s="1" t="s">
        <v>32</v>
      </c>
      <c r="H223" s="1" t="s">
        <v>40</v>
      </c>
      <c r="I223" s="5" t="s">
        <v>467</v>
      </c>
      <c r="J223" s="4">
        <v>46</v>
      </c>
    </row>
    <row r="224" spans="1:10" x14ac:dyDescent="0.3">
      <c r="A224" s="1" t="s">
        <v>468</v>
      </c>
      <c r="B224" s="1" t="s">
        <v>73</v>
      </c>
      <c r="C224" s="1" t="s">
        <v>12</v>
      </c>
      <c r="D224" s="1" t="s">
        <v>13</v>
      </c>
      <c r="E224" s="4">
        <v>17</v>
      </c>
      <c r="F224" s="4">
        <v>10</v>
      </c>
      <c r="G224" s="1" t="s">
        <v>43</v>
      </c>
      <c r="H224" s="1" t="s">
        <v>15</v>
      </c>
      <c r="I224" s="5" t="s">
        <v>469</v>
      </c>
      <c r="J224" s="4">
        <v>75</v>
      </c>
    </row>
    <row r="225" spans="1:10" x14ac:dyDescent="0.3">
      <c r="A225" s="1" t="s">
        <v>470</v>
      </c>
      <c r="B225" s="1" t="s">
        <v>35</v>
      </c>
      <c r="C225" s="1" t="s">
        <v>96</v>
      </c>
      <c r="D225" s="1" t="s">
        <v>31</v>
      </c>
      <c r="E225" s="4">
        <v>16</v>
      </c>
      <c r="F225" s="4">
        <v>11</v>
      </c>
      <c r="G225" s="1" t="s">
        <v>32</v>
      </c>
      <c r="H225" s="1" t="s">
        <v>61</v>
      </c>
      <c r="I225" s="5" t="s">
        <v>471</v>
      </c>
      <c r="J225" s="4">
        <v>65</v>
      </c>
    </row>
    <row r="226" spans="1:10" x14ac:dyDescent="0.3">
      <c r="A226" s="1" t="s">
        <v>472</v>
      </c>
      <c r="B226" s="1" t="s">
        <v>84</v>
      </c>
      <c r="C226" s="1" t="s">
        <v>79</v>
      </c>
      <c r="D226" s="1" t="s">
        <v>31</v>
      </c>
      <c r="E226" s="4">
        <v>15</v>
      </c>
      <c r="F226" s="4">
        <v>11</v>
      </c>
      <c r="G226" s="1" t="s">
        <v>14</v>
      </c>
      <c r="H226" s="1" t="s">
        <v>40</v>
      </c>
      <c r="I226" s="5" t="s">
        <v>317</v>
      </c>
      <c r="J226" s="4">
        <v>72</v>
      </c>
    </row>
    <row r="227" spans="1:10" x14ac:dyDescent="0.3">
      <c r="A227" s="1" t="s">
        <v>473</v>
      </c>
      <c r="B227" s="1" t="s">
        <v>18</v>
      </c>
      <c r="C227" s="1" t="s">
        <v>19</v>
      </c>
      <c r="D227" s="1" t="s">
        <v>31</v>
      </c>
      <c r="E227" s="4">
        <v>16</v>
      </c>
      <c r="F227" s="4">
        <v>11</v>
      </c>
      <c r="G227" s="1" t="s">
        <v>14</v>
      </c>
      <c r="H227" s="1" t="s">
        <v>61</v>
      </c>
      <c r="I227" s="5" t="s">
        <v>474</v>
      </c>
      <c r="J227" s="4">
        <v>75</v>
      </c>
    </row>
    <row r="228" spans="1:10" x14ac:dyDescent="0.3">
      <c r="A228" s="1" t="s">
        <v>475</v>
      </c>
      <c r="B228" s="1" t="s">
        <v>35</v>
      </c>
      <c r="C228" s="1" t="s">
        <v>79</v>
      </c>
      <c r="D228" s="1" t="s">
        <v>13</v>
      </c>
      <c r="E228" s="4">
        <v>17</v>
      </c>
      <c r="F228" s="4">
        <v>9</v>
      </c>
      <c r="G228" s="1" t="s">
        <v>32</v>
      </c>
      <c r="H228" s="1" t="s">
        <v>15</v>
      </c>
      <c r="I228" s="5" t="s">
        <v>248</v>
      </c>
      <c r="J228" s="4">
        <v>50</v>
      </c>
    </row>
    <row r="229" spans="1:10" x14ac:dyDescent="0.3">
      <c r="A229" s="1" t="s">
        <v>476</v>
      </c>
      <c r="B229" s="1" t="s">
        <v>29</v>
      </c>
      <c r="C229" s="1" t="s">
        <v>55</v>
      </c>
      <c r="D229" s="1" t="s">
        <v>13</v>
      </c>
      <c r="E229" s="4">
        <v>19</v>
      </c>
      <c r="F229" s="4">
        <v>10</v>
      </c>
      <c r="G229" s="1" t="s">
        <v>43</v>
      </c>
      <c r="H229" s="1" t="s">
        <v>26</v>
      </c>
      <c r="I229" s="5" t="s">
        <v>477</v>
      </c>
      <c r="J229" s="4">
        <v>88</v>
      </c>
    </row>
    <row r="230" spans="1:10" x14ac:dyDescent="0.3">
      <c r="A230" s="1" t="s">
        <v>478</v>
      </c>
      <c r="B230" s="1" t="s">
        <v>11</v>
      </c>
      <c r="C230" s="1" t="s">
        <v>36</v>
      </c>
      <c r="D230" s="1" t="s">
        <v>13</v>
      </c>
      <c r="E230" s="4">
        <v>17</v>
      </c>
      <c r="F230" s="4">
        <v>12</v>
      </c>
      <c r="G230" s="1" t="s">
        <v>14</v>
      </c>
      <c r="H230" s="1" t="s">
        <v>37</v>
      </c>
      <c r="I230" s="5" t="s">
        <v>479</v>
      </c>
      <c r="J230" s="4">
        <v>63</v>
      </c>
    </row>
    <row r="231" spans="1:10" x14ac:dyDescent="0.3">
      <c r="A231" s="1" t="s">
        <v>480</v>
      </c>
      <c r="B231" s="1" t="s">
        <v>35</v>
      </c>
      <c r="C231" s="1" t="s">
        <v>12</v>
      </c>
      <c r="D231" s="1" t="s">
        <v>31</v>
      </c>
      <c r="E231" s="4">
        <v>18</v>
      </c>
      <c r="F231" s="4">
        <v>10</v>
      </c>
      <c r="G231" s="1" t="s">
        <v>14</v>
      </c>
      <c r="H231" s="1" t="s">
        <v>37</v>
      </c>
      <c r="I231" s="5" t="s">
        <v>481</v>
      </c>
      <c r="J231" s="4">
        <v>36</v>
      </c>
    </row>
    <row r="232" spans="1:10" x14ac:dyDescent="0.3">
      <c r="A232" s="1" t="s">
        <v>482</v>
      </c>
      <c r="B232" s="1" t="s">
        <v>35</v>
      </c>
      <c r="C232" s="1" t="s">
        <v>24</v>
      </c>
      <c r="D232" s="1" t="s">
        <v>13</v>
      </c>
      <c r="E232" s="4">
        <v>18</v>
      </c>
      <c r="F232" s="4">
        <v>11</v>
      </c>
      <c r="G232" s="1" t="s">
        <v>14</v>
      </c>
      <c r="H232" s="1" t="s">
        <v>61</v>
      </c>
      <c r="I232" s="5" t="s">
        <v>483</v>
      </c>
      <c r="J232" s="4">
        <v>86</v>
      </c>
    </row>
    <row r="233" spans="1:10" x14ac:dyDescent="0.3">
      <c r="A233" s="1" t="s">
        <v>484</v>
      </c>
      <c r="B233" s="1" t="s">
        <v>29</v>
      </c>
      <c r="C233" s="1" t="s">
        <v>79</v>
      </c>
      <c r="D233" s="1" t="s">
        <v>31</v>
      </c>
      <c r="E233" s="4">
        <v>14</v>
      </c>
      <c r="F233" s="4">
        <v>11</v>
      </c>
      <c r="G233" s="1" t="s">
        <v>32</v>
      </c>
      <c r="H233" s="1" t="s">
        <v>40</v>
      </c>
      <c r="I233" s="5" t="s">
        <v>184</v>
      </c>
      <c r="J233" s="4">
        <v>42</v>
      </c>
    </row>
    <row r="234" spans="1:10" x14ac:dyDescent="0.3">
      <c r="A234" s="1" t="s">
        <v>485</v>
      </c>
      <c r="B234" s="1" t="s">
        <v>18</v>
      </c>
      <c r="C234" s="1" t="s">
        <v>12</v>
      </c>
      <c r="D234" s="1" t="s">
        <v>31</v>
      </c>
      <c r="E234" s="4">
        <v>16</v>
      </c>
      <c r="F234" s="4">
        <v>12</v>
      </c>
      <c r="G234" s="1" t="s">
        <v>14</v>
      </c>
      <c r="H234" s="1" t="s">
        <v>76</v>
      </c>
      <c r="I234" s="5" t="s">
        <v>486</v>
      </c>
      <c r="J234" s="4">
        <v>70</v>
      </c>
    </row>
    <row r="235" spans="1:10" x14ac:dyDescent="0.3">
      <c r="A235" s="1" t="s">
        <v>487</v>
      </c>
      <c r="B235" s="1" t="s">
        <v>18</v>
      </c>
      <c r="C235" s="1" t="s">
        <v>79</v>
      </c>
      <c r="D235" s="1" t="s">
        <v>13</v>
      </c>
      <c r="E235" s="4">
        <v>16</v>
      </c>
      <c r="F235" s="4">
        <v>11</v>
      </c>
      <c r="G235" s="1" t="s">
        <v>43</v>
      </c>
      <c r="H235" s="1" t="s">
        <v>61</v>
      </c>
      <c r="I235" s="5" t="s">
        <v>488</v>
      </c>
      <c r="J235" s="4">
        <v>86</v>
      </c>
    </row>
    <row r="236" spans="1:10" x14ac:dyDescent="0.3">
      <c r="A236" s="1" t="s">
        <v>489</v>
      </c>
      <c r="B236" s="1" t="s">
        <v>68</v>
      </c>
      <c r="C236" s="1" t="s">
        <v>58</v>
      </c>
      <c r="D236" s="1" t="s">
        <v>31</v>
      </c>
      <c r="E236" s="4">
        <v>20</v>
      </c>
      <c r="F236" s="4">
        <v>10</v>
      </c>
      <c r="G236" s="1" t="s">
        <v>32</v>
      </c>
      <c r="H236" s="1" t="s">
        <v>20</v>
      </c>
      <c r="I236" s="5" t="s">
        <v>370</v>
      </c>
      <c r="J236" s="4">
        <v>93</v>
      </c>
    </row>
    <row r="237" spans="1:10" x14ac:dyDescent="0.3">
      <c r="A237" s="1" t="s">
        <v>490</v>
      </c>
      <c r="B237" s="1" t="s">
        <v>73</v>
      </c>
      <c r="C237" s="1" t="s">
        <v>96</v>
      </c>
      <c r="D237" s="1" t="s">
        <v>13</v>
      </c>
      <c r="E237" s="4">
        <v>17</v>
      </c>
      <c r="F237" s="4">
        <v>10</v>
      </c>
      <c r="G237" s="1" t="s">
        <v>32</v>
      </c>
      <c r="H237" s="1" t="s">
        <v>61</v>
      </c>
      <c r="I237" s="5" t="s">
        <v>491</v>
      </c>
      <c r="J237" s="4">
        <v>60</v>
      </c>
    </row>
    <row r="238" spans="1:10" x14ac:dyDescent="0.3">
      <c r="A238" s="1" t="s">
        <v>492</v>
      </c>
      <c r="B238" s="1" t="s">
        <v>18</v>
      </c>
      <c r="C238" s="1" t="s">
        <v>85</v>
      </c>
      <c r="D238" s="1" t="s">
        <v>31</v>
      </c>
      <c r="E238" s="4">
        <v>19</v>
      </c>
      <c r="F238" s="4">
        <v>11</v>
      </c>
      <c r="G238" s="1" t="s">
        <v>43</v>
      </c>
      <c r="H238" s="1" t="s">
        <v>15</v>
      </c>
      <c r="I238" s="5" t="s">
        <v>394</v>
      </c>
      <c r="J238" s="4">
        <v>50</v>
      </c>
    </row>
    <row r="239" spans="1:10" x14ac:dyDescent="0.3">
      <c r="A239" s="1" t="s">
        <v>493</v>
      </c>
      <c r="B239" s="1" t="s">
        <v>51</v>
      </c>
      <c r="C239" s="1" t="s">
        <v>96</v>
      </c>
      <c r="D239" s="1" t="s">
        <v>31</v>
      </c>
      <c r="E239" s="4">
        <v>14</v>
      </c>
      <c r="F239" s="4">
        <v>12</v>
      </c>
      <c r="G239" s="1" t="s">
        <v>14</v>
      </c>
      <c r="H239" s="1" t="s">
        <v>26</v>
      </c>
      <c r="I239" s="5" t="s">
        <v>494</v>
      </c>
      <c r="J239" s="4">
        <v>47</v>
      </c>
    </row>
    <row r="240" spans="1:10" x14ac:dyDescent="0.3">
      <c r="A240" s="1" t="s">
        <v>495</v>
      </c>
      <c r="B240" s="1" t="s">
        <v>35</v>
      </c>
      <c r="C240" s="1" t="s">
        <v>12</v>
      </c>
      <c r="D240" s="1" t="s">
        <v>13</v>
      </c>
      <c r="E240" s="4">
        <v>15</v>
      </c>
      <c r="F240" s="4">
        <v>12</v>
      </c>
      <c r="G240" s="1" t="s">
        <v>43</v>
      </c>
      <c r="H240" s="1" t="s">
        <v>20</v>
      </c>
      <c r="I240" s="5" t="s">
        <v>496</v>
      </c>
      <c r="J240" s="4">
        <v>49</v>
      </c>
    </row>
    <row r="241" spans="1:10" x14ac:dyDescent="0.3">
      <c r="A241" s="1" t="s">
        <v>497</v>
      </c>
      <c r="B241" s="1" t="s">
        <v>51</v>
      </c>
      <c r="C241" s="1" t="s">
        <v>96</v>
      </c>
      <c r="D241" s="1" t="s">
        <v>13</v>
      </c>
      <c r="E241" s="4">
        <v>16</v>
      </c>
      <c r="F241" s="4">
        <v>9</v>
      </c>
      <c r="G241" s="1" t="s">
        <v>25</v>
      </c>
      <c r="H241" s="1" t="s">
        <v>26</v>
      </c>
      <c r="I241" s="5" t="s">
        <v>498</v>
      </c>
      <c r="J241" s="4">
        <v>42</v>
      </c>
    </row>
    <row r="242" spans="1:10" x14ac:dyDescent="0.3">
      <c r="A242" s="1" t="s">
        <v>499</v>
      </c>
      <c r="B242" s="1" t="s">
        <v>54</v>
      </c>
      <c r="C242" s="1" t="s">
        <v>19</v>
      </c>
      <c r="D242" s="1" t="s">
        <v>31</v>
      </c>
      <c r="E242" s="4">
        <v>20</v>
      </c>
      <c r="F242" s="4">
        <v>9</v>
      </c>
      <c r="G242" s="1" t="s">
        <v>32</v>
      </c>
      <c r="H242" s="1" t="s">
        <v>46</v>
      </c>
      <c r="I242" s="5" t="s">
        <v>500</v>
      </c>
      <c r="J242" s="4">
        <v>42</v>
      </c>
    </row>
    <row r="243" spans="1:10" x14ac:dyDescent="0.3">
      <c r="A243" s="1" t="s">
        <v>501</v>
      </c>
      <c r="B243" s="1" t="s">
        <v>84</v>
      </c>
      <c r="C243" s="1" t="s">
        <v>19</v>
      </c>
      <c r="D243" s="1" t="s">
        <v>13</v>
      </c>
      <c r="E243" s="4">
        <v>18</v>
      </c>
      <c r="F243" s="4">
        <v>10</v>
      </c>
      <c r="G243" s="1" t="s">
        <v>14</v>
      </c>
      <c r="H243" s="1" t="s">
        <v>61</v>
      </c>
      <c r="I243" s="5" t="s">
        <v>502</v>
      </c>
      <c r="J243" s="4">
        <v>76</v>
      </c>
    </row>
    <row r="244" spans="1:10" x14ac:dyDescent="0.3">
      <c r="A244" s="1" t="s">
        <v>503</v>
      </c>
      <c r="B244" s="1" t="s">
        <v>84</v>
      </c>
      <c r="C244" s="1" t="s">
        <v>19</v>
      </c>
      <c r="D244" s="1" t="s">
        <v>31</v>
      </c>
      <c r="E244" s="4">
        <v>15</v>
      </c>
      <c r="F244" s="4">
        <v>10</v>
      </c>
      <c r="G244" s="1" t="s">
        <v>43</v>
      </c>
      <c r="H244" s="1" t="s">
        <v>61</v>
      </c>
      <c r="I244" s="5" t="s">
        <v>504</v>
      </c>
      <c r="J244" s="4">
        <v>44</v>
      </c>
    </row>
    <row r="245" spans="1:10" x14ac:dyDescent="0.3">
      <c r="A245" s="1" t="s">
        <v>505</v>
      </c>
      <c r="B245" s="1" t="s">
        <v>11</v>
      </c>
      <c r="C245" s="1" t="s">
        <v>12</v>
      </c>
      <c r="D245" s="1" t="s">
        <v>31</v>
      </c>
      <c r="E245" s="4">
        <v>19</v>
      </c>
      <c r="F245" s="4">
        <v>10</v>
      </c>
      <c r="G245" s="1" t="s">
        <v>14</v>
      </c>
      <c r="H245" s="1" t="s">
        <v>40</v>
      </c>
      <c r="I245" s="5" t="s">
        <v>506</v>
      </c>
      <c r="J245" s="4">
        <v>77</v>
      </c>
    </row>
    <row r="246" spans="1:10" x14ac:dyDescent="0.3">
      <c r="A246" s="1" t="s">
        <v>507</v>
      </c>
      <c r="B246" s="1" t="s">
        <v>54</v>
      </c>
      <c r="C246" s="1" t="s">
        <v>12</v>
      </c>
      <c r="D246" s="1" t="s">
        <v>31</v>
      </c>
      <c r="E246" s="4">
        <v>16</v>
      </c>
      <c r="F246" s="4">
        <v>12</v>
      </c>
      <c r="G246" s="1" t="s">
        <v>43</v>
      </c>
      <c r="H246" s="1" t="s">
        <v>61</v>
      </c>
      <c r="I246" s="5" t="s">
        <v>483</v>
      </c>
      <c r="J246" s="4">
        <v>45</v>
      </c>
    </row>
    <row r="247" spans="1:10" x14ac:dyDescent="0.3">
      <c r="A247" s="1" t="s">
        <v>508</v>
      </c>
      <c r="B247" s="1" t="s">
        <v>73</v>
      </c>
      <c r="C247" s="1" t="s">
        <v>55</v>
      </c>
      <c r="D247" s="1" t="s">
        <v>13</v>
      </c>
      <c r="E247" s="4">
        <v>15</v>
      </c>
      <c r="F247" s="4">
        <v>11</v>
      </c>
      <c r="G247" s="1" t="s">
        <v>43</v>
      </c>
      <c r="H247" s="1" t="s">
        <v>46</v>
      </c>
      <c r="I247" s="5" t="s">
        <v>509</v>
      </c>
      <c r="J247" s="4">
        <v>54</v>
      </c>
    </row>
    <row r="248" spans="1:10" x14ac:dyDescent="0.3">
      <c r="A248" s="1" t="s">
        <v>510</v>
      </c>
      <c r="B248" s="1" t="s">
        <v>54</v>
      </c>
      <c r="C248" s="1" t="s">
        <v>79</v>
      </c>
      <c r="D248" s="1" t="s">
        <v>31</v>
      </c>
      <c r="E248" s="4">
        <v>15</v>
      </c>
      <c r="F248" s="4">
        <v>9</v>
      </c>
      <c r="G248" s="1" t="s">
        <v>14</v>
      </c>
      <c r="H248" s="1" t="s">
        <v>40</v>
      </c>
      <c r="I248" s="5" t="s">
        <v>479</v>
      </c>
      <c r="J248" s="4">
        <v>66</v>
      </c>
    </row>
    <row r="249" spans="1:10" x14ac:dyDescent="0.3">
      <c r="A249" s="1" t="s">
        <v>511</v>
      </c>
      <c r="B249" s="1" t="s">
        <v>35</v>
      </c>
      <c r="C249" s="1" t="s">
        <v>19</v>
      </c>
      <c r="D249" s="1" t="s">
        <v>31</v>
      </c>
      <c r="E249" s="4">
        <v>15</v>
      </c>
      <c r="F249" s="4">
        <v>9</v>
      </c>
      <c r="G249" s="1" t="s">
        <v>25</v>
      </c>
      <c r="H249" s="1" t="s">
        <v>15</v>
      </c>
      <c r="I249" s="5" t="s">
        <v>512</v>
      </c>
      <c r="J249" s="4">
        <v>95</v>
      </c>
    </row>
    <row r="250" spans="1:10" x14ac:dyDescent="0.3">
      <c r="A250" s="1" t="s">
        <v>513</v>
      </c>
      <c r="B250" s="1" t="s">
        <v>11</v>
      </c>
      <c r="C250" s="1" t="s">
        <v>19</v>
      </c>
      <c r="D250" s="1" t="s">
        <v>31</v>
      </c>
      <c r="E250" s="4">
        <v>14</v>
      </c>
      <c r="F250" s="4">
        <v>12</v>
      </c>
      <c r="G250" s="1" t="s">
        <v>32</v>
      </c>
      <c r="H250" s="1" t="s">
        <v>15</v>
      </c>
      <c r="I250" s="5" t="s">
        <v>381</v>
      </c>
      <c r="J250" s="4">
        <v>65</v>
      </c>
    </row>
    <row r="251" spans="1:10" x14ac:dyDescent="0.3">
      <c r="A251" s="1" t="s">
        <v>514</v>
      </c>
      <c r="B251" s="1" t="s">
        <v>11</v>
      </c>
      <c r="C251" s="1" t="s">
        <v>12</v>
      </c>
      <c r="D251" s="1" t="s">
        <v>31</v>
      </c>
      <c r="E251" s="4">
        <v>15</v>
      </c>
      <c r="F251" s="4">
        <v>11</v>
      </c>
      <c r="G251" s="1" t="s">
        <v>25</v>
      </c>
      <c r="H251" s="1" t="s">
        <v>20</v>
      </c>
      <c r="I251" s="5" t="s">
        <v>515</v>
      </c>
      <c r="J251" s="4">
        <v>61</v>
      </c>
    </row>
    <row r="252" spans="1:10" x14ac:dyDescent="0.3">
      <c r="A252" s="1" t="s">
        <v>516</v>
      </c>
      <c r="B252" s="1" t="s">
        <v>18</v>
      </c>
      <c r="C252" s="1" t="s">
        <v>96</v>
      </c>
      <c r="D252" s="1" t="s">
        <v>31</v>
      </c>
      <c r="E252" s="4">
        <v>14</v>
      </c>
      <c r="F252" s="4">
        <v>11</v>
      </c>
      <c r="G252" s="1" t="s">
        <v>32</v>
      </c>
      <c r="H252" s="1" t="s">
        <v>46</v>
      </c>
      <c r="I252" s="5" t="s">
        <v>517</v>
      </c>
      <c r="J252" s="4">
        <v>86</v>
      </c>
    </row>
    <row r="253" spans="1:10" x14ac:dyDescent="0.3">
      <c r="A253" s="1" t="s">
        <v>518</v>
      </c>
      <c r="B253" s="1" t="s">
        <v>51</v>
      </c>
      <c r="C253" s="1" t="s">
        <v>96</v>
      </c>
      <c r="D253" s="1" t="s">
        <v>31</v>
      </c>
      <c r="E253" s="4">
        <v>17</v>
      </c>
      <c r="F253" s="4">
        <v>11</v>
      </c>
      <c r="G253" s="1" t="s">
        <v>25</v>
      </c>
      <c r="H253" s="1" t="s">
        <v>61</v>
      </c>
      <c r="I253" s="5" t="s">
        <v>519</v>
      </c>
      <c r="J253" s="4">
        <v>52</v>
      </c>
    </row>
    <row r="254" spans="1:10" x14ac:dyDescent="0.3">
      <c r="A254" s="1" t="s">
        <v>520</v>
      </c>
      <c r="B254" s="1" t="s">
        <v>68</v>
      </c>
      <c r="C254" s="1" t="s">
        <v>12</v>
      </c>
      <c r="D254" s="1" t="s">
        <v>31</v>
      </c>
      <c r="E254" s="4">
        <v>20</v>
      </c>
      <c r="F254" s="4">
        <v>10</v>
      </c>
      <c r="G254" s="1" t="s">
        <v>32</v>
      </c>
      <c r="H254" s="1" t="s">
        <v>26</v>
      </c>
      <c r="I254" s="5" t="s">
        <v>521</v>
      </c>
      <c r="J254" s="4">
        <v>42</v>
      </c>
    </row>
    <row r="255" spans="1:10" x14ac:dyDescent="0.3">
      <c r="A255" s="1" t="s">
        <v>522</v>
      </c>
      <c r="B255" s="1" t="s">
        <v>54</v>
      </c>
      <c r="C255" s="1" t="s">
        <v>79</v>
      </c>
      <c r="D255" s="1" t="s">
        <v>31</v>
      </c>
      <c r="E255" s="4">
        <v>18</v>
      </c>
      <c r="F255" s="4">
        <v>10</v>
      </c>
      <c r="G255" s="1" t="s">
        <v>14</v>
      </c>
      <c r="H255" s="1" t="s">
        <v>61</v>
      </c>
      <c r="I255" s="5" t="s">
        <v>523</v>
      </c>
      <c r="J255" s="4">
        <v>82</v>
      </c>
    </row>
    <row r="256" spans="1:10" x14ac:dyDescent="0.3">
      <c r="A256" s="1" t="s">
        <v>524</v>
      </c>
      <c r="B256" s="1" t="s">
        <v>35</v>
      </c>
      <c r="C256" s="1" t="s">
        <v>85</v>
      </c>
      <c r="D256" s="1" t="s">
        <v>13</v>
      </c>
      <c r="E256" s="4">
        <v>20</v>
      </c>
      <c r="F256" s="4">
        <v>10</v>
      </c>
      <c r="G256" s="1" t="s">
        <v>14</v>
      </c>
      <c r="H256" s="1" t="s">
        <v>40</v>
      </c>
      <c r="I256" s="5" t="s">
        <v>525</v>
      </c>
      <c r="J256" s="4">
        <v>92</v>
      </c>
    </row>
    <row r="257" spans="1:10" x14ac:dyDescent="0.3">
      <c r="A257" s="1" t="s">
        <v>526</v>
      </c>
      <c r="B257" s="1" t="s">
        <v>18</v>
      </c>
      <c r="C257" s="1" t="s">
        <v>12</v>
      </c>
      <c r="D257" s="1" t="s">
        <v>31</v>
      </c>
      <c r="E257" s="4">
        <v>18</v>
      </c>
      <c r="F257" s="4">
        <v>9</v>
      </c>
      <c r="G257" s="1" t="s">
        <v>14</v>
      </c>
      <c r="H257" s="1" t="s">
        <v>15</v>
      </c>
      <c r="I257" s="5" t="s">
        <v>346</v>
      </c>
      <c r="J257" s="4">
        <v>59</v>
      </c>
    </row>
    <row r="258" spans="1:10" x14ac:dyDescent="0.3">
      <c r="A258" s="1" t="s">
        <v>527</v>
      </c>
      <c r="B258" s="1" t="s">
        <v>11</v>
      </c>
      <c r="C258" s="1" t="s">
        <v>85</v>
      </c>
      <c r="D258" s="1" t="s">
        <v>13</v>
      </c>
      <c r="E258" s="4">
        <v>20</v>
      </c>
      <c r="F258" s="4">
        <v>12</v>
      </c>
      <c r="G258" s="1" t="s">
        <v>25</v>
      </c>
      <c r="H258" s="1" t="s">
        <v>46</v>
      </c>
      <c r="I258" s="5" t="s">
        <v>451</v>
      </c>
      <c r="J258" s="4">
        <v>86</v>
      </c>
    </row>
    <row r="259" spans="1:10" x14ac:dyDescent="0.3">
      <c r="A259" s="1" t="s">
        <v>528</v>
      </c>
      <c r="B259" s="1" t="s">
        <v>51</v>
      </c>
      <c r="C259" s="1" t="s">
        <v>19</v>
      </c>
      <c r="D259" s="1" t="s">
        <v>13</v>
      </c>
      <c r="E259" s="4">
        <v>19</v>
      </c>
      <c r="F259" s="4">
        <v>9</v>
      </c>
      <c r="G259" s="1" t="s">
        <v>43</v>
      </c>
      <c r="H259" s="1" t="s">
        <v>46</v>
      </c>
      <c r="I259" s="5" t="s">
        <v>222</v>
      </c>
      <c r="J259" s="4">
        <v>46</v>
      </c>
    </row>
    <row r="260" spans="1:10" x14ac:dyDescent="0.3">
      <c r="A260" s="1" t="s">
        <v>529</v>
      </c>
      <c r="B260" s="1" t="s">
        <v>84</v>
      </c>
      <c r="C260" s="1" t="s">
        <v>24</v>
      </c>
      <c r="D260" s="1" t="s">
        <v>31</v>
      </c>
      <c r="E260" s="4">
        <v>20</v>
      </c>
      <c r="F260" s="4">
        <v>12</v>
      </c>
      <c r="G260" s="1" t="s">
        <v>25</v>
      </c>
      <c r="H260" s="1" t="s">
        <v>76</v>
      </c>
      <c r="I260" s="5" t="s">
        <v>186</v>
      </c>
      <c r="J260" s="4">
        <v>51</v>
      </c>
    </row>
    <row r="261" spans="1:10" x14ac:dyDescent="0.3">
      <c r="A261" s="1" t="s">
        <v>530</v>
      </c>
      <c r="B261" s="1" t="s">
        <v>54</v>
      </c>
      <c r="C261" s="1" t="s">
        <v>58</v>
      </c>
      <c r="D261" s="1" t="s">
        <v>13</v>
      </c>
      <c r="E261" s="4">
        <v>17</v>
      </c>
      <c r="F261" s="4">
        <v>10</v>
      </c>
      <c r="G261" s="1" t="s">
        <v>32</v>
      </c>
      <c r="H261" s="1" t="s">
        <v>15</v>
      </c>
      <c r="I261" s="5" t="s">
        <v>64</v>
      </c>
      <c r="J261" s="4">
        <v>46</v>
      </c>
    </row>
    <row r="262" spans="1:10" x14ac:dyDescent="0.3">
      <c r="A262" s="1" t="s">
        <v>531</v>
      </c>
      <c r="B262" s="1" t="s">
        <v>23</v>
      </c>
      <c r="C262" s="1" t="s">
        <v>36</v>
      </c>
      <c r="D262" s="1" t="s">
        <v>13</v>
      </c>
      <c r="E262" s="4">
        <v>20</v>
      </c>
      <c r="F262" s="4">
        <v>11</v>
      </c>
      <c r="G262" s="1" t="s">
        <v>43</v>
      </c>
      <c r="H262" s="1" t="s">
        <v>20</v>
      </c>
      <c r="I262" s="5" t="s">
        <v>178</v>
      </c>
      <c r="J262" s="4">
        <v>44</v>
      </c>
    </row>
    <row r="263" spans="1:10" x14ac:dyDescent="0.3">
      <c r="A263" s="1" t="s">
        <v>532</v>
      </c>
      <c r="B263" s="1" t="s">
        <v>51</v>
      </c>
      <c r="C263" s="1" t="s">
        <v>19</v>
      </c>
      <c r="D263" s="1" t="s">
        <v>31</v>
      </c>
      <c r="E263" s="4">
        <v>14</v>
      </c>
      <c r="F263" s="4">
        <v>11</v>
      </c>
      <c r="G263" s="1" t="s">
        <v>43</v>
      </c>
      <c r="H263" s="1" t="s">
        <v>20</v>
      </c>
      <c r="I263" s="5" t="s">
        <v>533</v>
      </c>
      <c r="J263" s="4">
        <v>93</v>
      </c>
    </row>
    <row r="264" spans="1:10" x14ac:dyDescent="0.3">
      <c r="A264" s="1" t="s">
        <v>534</v>
      </c>
      <c r="B264" s="1" t="s">
        <v>23</v>
      </c>
      <c r="C264" s="1" t="s">
        <v>19</v>
      </c>
      <c r="D264" s="1" t="s">
        <v>13</v>
      </c>
      <c r="E264" s="4">
        <v>20</v>
      </c>
      <c r="F264" s="4">
        <v>11</v>
      </c>
      <c r="G264" s="1" t="s">
        <v>32</v>
      </c>
      <c r="H264" s="1" t="s">
        <v>76</v>
      </c>
      <c r="I264" s="5" t="s">
        <v>358</v>
      </c>
      <c r="J264" s="4">
        <v>41</v>
      </c>
    </row>
    <row r="265" spans="1:10" x14ac:dyDescent="0.3">
      <c r="A265" s="1" t="s">
        <v>535</v>
      </c>
      <c r="B265" s="1" t="s">
        <v>84</v>
      </c>
      <c r="C265" s="1" t="s">
        <v>58</v>
      </c>
      <c r="D265" s="1" t="s">
        <v>13</v>
      </c>
      <c r="E265" s="4">
        <v>20</v>
      </c>
      <c r="F265" s="4">
        <v>9</v>
      </c>
      <c r="G265" s="1" t="s">
        <v>25</v>
      </c>
      <c r="H265" s="1" t="s">
        <v>46</v>
      </c>
      <c r="I265" s="5" t="s">
        <v>536</v>
      </c>
      <c r="J265" s="4">
        <v>58</v>
      </c>
    </row>
    <row r="266" spans="1:10" x14ac:dyDescent="0.3">
      <c r="A266" s="1" t="s">
        <v>537</v>
      </c>
      <c r="B266" s="1" t="s">
        <v>68</v>
      </c>
      <c r="C266" s="1" t="s">
        <v>36</v>
      </c>
      <c r="D266" s="1" t="s">
        <v>31</v>
      </c>
      <c r="E266" s="4">
        <v>16</v>
      </c>
      <c r="F266" s="4">
        <v>12</v>
      </c>
      <c r="G266" s="1" t="s">
        <v>25</v>
      </c>
      <c r="H266" s="1" t="s">
        <v>26</v>
      </c>
      <c r="I266" s="5" t="s">
        <v>538</v>
      </c>
      <c r="J266" s="4">
        <v>42</v>
      </c>
    </row>
    <row r="267" spans="1:10" x14ac:dyDescent="0.3">
      <c r="A267" s="1" t="s">
        <v>539</v>
      </c>
      <c r="B267" s="1" t="s">
        <v>73</v>
      </c>
      <c r="C267" s="1" t="s">
        <v>36</v>
      </c>
      <c r="D267" s="1" t="s">
        <v>31</v>
      </c>
      <c r="E267" s="4">
        <v>14</v>
      </c>
      <c r="F267" s="4">
        <v>12</v>
      </c>
      <c r="G267" s="1" t="s">
        <v>43</v>
      </c>
      <c r="H267" s="1" t="s">
        <v>61</v>
      </c>
      <c r="I267" s="5" t="s">
        <v>387</v>
      </c>
      <c r="J267" s="4">
        <v>37</v>
      </c>
    </row>
    <row r="268" spans="1:10" x14ac:dyDescent="0.3">
      <c r="A268" s="1" t="s">
        <v>540</v>
      </c>
      <c r="B268" s="1" t="s">
        <v>51</v>
      </c>
      <c r="C268" s="1" t="s">
        <v>85</v>
      </c>
      <c r="D268" s="1" t="s">
        <v>13</v>
      </c>
      <c r="E268" s="4">
        <v>18</v>
      </c>
      <c r="F268" s="4">
        <v>10</v>
      </c>
      <c r="G268" s="1" t="s">
        <v>14</v>
      </c>
      <c r="H268" s="1" t="s">
        <v>46</v>
      </c>
      <c r="I268" s="5" t="s">
        <v>541</v>
      </c>
      <c r="J268" s="4">
        <v>63</v>
      </c>
    </row>
    <row r="269" spans="1:10" x14ac:dyDescent="0.3">
      <c r="A269" s="1" t="s">
        <v>542</v>
      </c>
      <c r="B269" s="1" t="s">
        <v>84</v>
      </c>
      <c r="C269" s="1" t="s">
        <v>55</v>
      </c>
      <c r="D269" s="1" t="s">
        <v>31</v>
      </c>
      <c r="E269" s="4">
        <v>18</v>
      </c>
      <c r="F269" s="4">
        <v>12</v>
      </c>
      <c r="G269" s="1" t="s">
        <v>32</v>
      </c>
      <c r="H269" s="1" t="s">
        <v>40</v>
      </c>
      <c r="I269" s="5" t="s">
        <v>543</v>
      </c>
      <c r="J269" s="4">
        <v>51</v>
      </c>
    </row>
    <row r="270" spans="1:10" x14ac:dyDescent="0.3">
      <c r="A270" s="1" t="s">
        <v>544</v>
      </c>
      <c r="B270" s="1" t="s">
        <v>68</v>
      </c>
      <c r="C270" s="1" t="s">
        <v>19</v>
      </c>
      <c r="D270" s="1" t="s">
        <v>31</v>
      </c>
      <c r="E270" s="4">
        <v>16</v>
      </c>
      <c r="F270" s="4">
        <v>9</v>
      </c>
      <c r="G270" s="1" t="s">
        <v>14</v>
      </c>
      <c r="H270" s="1" t="s">
        <v>40</v>
      </c>
      <c r="I270" s="5" t="s">
        <v>545</v>
      </c>
      <c r="J270" s="4">
        <v>37</v>
      </c>
    </row>
    <row r="271" spans="1:10" x14ac:dyDescent="0.3">
      <c r="A271" s="1" t="s">
        <v>546</v>
      </c>
      <c r="B271" s="1" t="s">
        <v>51</v>
      </c>
      <c r="C271" s="1" t="s">
        <v>36</v>
      </c>
      <c r="D271" s="1" t="s">
        <v>31</v>
      </c>
      <c r="E271" s="4">
        <v>14</v>
      </c>
      <c r="F271" s="4">
        <v>9</v>
      </c>
      <c r="G271" s="1" t="s">
        <v>14</v>
      </c>
      <c r="H271" s="1" t="s">
        <v>46</v>
      </c>
      <c r="I271" s="5" t="s">
        <v>547</v>
      </c>
      <c r="J271" s="4">
        <v>81</v>
      </c>
    </row>
    <row r="272" spans="1:10" x14ac:dyDescent="0.3">
      <c r="A272" s="1" t="s">
        <v>548</v>
      </c>
      <c r="B272" s="1" t="s">
        <v>51</v>
      </c>
      <c r="C272" s="1" t="s">
        <v>24</v>
      </c>
      <c r="D272" s="1" t="s">
        <v>31</v>
      </c>
      <c r="E272" s="4">
        <v>15</v>
      </c>
      <c r="F272" s="4">
        <v>11</v>
      </c>
      <c r="G272" s="1" t="s">
        <v>32</v>
      </c>
      <c r="H272" s="1" t="s">
        <v>40</v>
      </c>
      <c r="I272" s="5" t="s">
        <v>549</v>
      </c>
      <c r="J272" s="4">
        <v>90</v>
      </c>
    </row>
    <row r="273" spans="1:10" x14ac:dyDescent="0.3">
      <c r="A273" s="1" t="s">
        <v>550</v>
      </c>
      <c r="B273" s="1" t="s">
        <v>73</v>
      </c>
      <c r="C273" s="1" t="s">
        <v>19</v>
      </c>
      <c r="D273" s="1" t="s">
        <v>13</v>
      </c>
      <c r="E273" s="4">
        <v>14</v>
      </c>
      <c r="F273" s="4">
        <v>11</v>
      </c>
      <c r="G273" s="1" t="s">
        <v>32</v>
      </c>
      <c r="H273" s="1" t="s">
        <v>26</v>
      </c>
      <c r="I273" s="5" t="s">
        <v>551</v>
      </c>
      <c r="J273" s="4">
        <v>90</v>
      </c>
    </row>
    <row r="274" spans="1:10" x14ac:dyDescent="0.3">
      <c r="A274" s="1" t="s">
        <v>552</v>
      </c>
      <c r="B274" s="1" t="s">
        <v>35</v>
      </c>
      <c r="C274" s="1" t="s">
        <v>30</v>
      </c>
      <c r="D274" s="1" t="s">
        <v>13</v>
      </c>
      <c r="E274" s="4">
        <v>19</v>
      </c>
      <c r="F274" s="4">
        <v>11</v>
      </c>
      <c r="G274" s="1" t="s">
        <v>14</v>
      </c>
      <c r="H274" s="1" t="s">
        <v>76</v>
      </c>
      <c r="I274" s="5" t="s">
        <v>553</v>
      </c>
      <c r="J274" s="4">
        <v>81</v>
      </c>
    </row>
    <row r="275" spans="1:10" x14ac:dyDescent="0.3">
      <c r="A275" s="1" t="s">
        <v>554</v>
      </c>
      <c r="B275" s="1" t="s">
        <v>29</v>
      </c>
      <c r="C275" s="1" t="s">
        <v>79</v>
      </c>
      <c r="D275" s="1" t="s">
        <v>13</v>
      </c>
      <c r="E275" s="4">
        <v>15</v>
      </c>
      <c r="F275" s="4">
        <v>9</v>
      </c>
      <c r="G275" s="1" t="s">
        <v>32</v>
      </c>
      <c r="H275" s="1" t="s">
        <v>76</v>
      </c>
      <c r="I275" s="5" t="s">
        <v>184</v>
      </c>
      <c r="J275" s="4">
        <v>53</v>
      </c>
    </row>
    <row r="276" spans="1:10" x14ac:dyDescent="0.3">
      <c r="A276" s="1" t="s">
        <v>555</v>
      </c>
      <c r="B276" s="1" t="s">
        <v>73</v>
      </c>
      <c r="C276" s="1" t="s">
        <v>55</v>
      </c>
      <c r="D276" s="1" t="s">
        <v>31</v>
      </c>
      <c r="E276" s="4">
        <v>16</v>
      </c>
      <c r="F276" s="4">
        <v>9</v>
      </c>
      <c r="G276" s="1" t="s">
        <v>14</v>
      </c>
      <c r="H276" s="1" t="s">
        <v>76</v>
      </c>
      <c r="I276" s="5" t="s">
        <v>556</v>
      </c>
      <c r="J276" s="4">
        <v>93</v>
      </c>
    </row>
    <row r="277" spans="1:10" x14ac:dyDescent="0.3">
      <c r="A277" s="1" t="s">
        <v>557</v>
      </c>
      <c r="B277" s="1" t="s">
        <v>23</v>
      </c>
      <c r="C277" s="1" t="s">
        <v>96</v>
      </c>
      <c r="D277" s="1" t="s">
        <v>13</v>
      </c>
      <c r="E277" s="4">
        <v>18</v>
      </c>
      <c r="F277" s="4">
        <v>11</v>
      </c>
      <c r="G277" s="1" t="s">
        <v>25</v>
      </c>
      <c r="H277" s="1" t="s">
        <v>76</v>
      </c>
      <c r="I277" s="5" t="s">
        <v>182</v>
      </c>
      <c r="J277" s="4">
        <v>77</v>
      </c>
    </row>
    <row r="278" spans="1:10" x14ac:dyDescent="0.3">
      <c r="A278" s="1" t="s">
        <v>558</v>
      </c>
      <c r="B278" s="1" t="s">
        <v>54</v>
      </c>
      <c r="C278" s="1" t="s">
        <v>30</v>
      </c>
      <c r="D278" s="1" t="s">
        <v>31</v>
      </c>
      <c r="E278" s="4">
        <v>19</v>
      </c>
      <c r="F278" s="4">
        <v>10</v>
      </c>
      <c r="G278" s="1" t="s">
        <v>43</v>
      </c>
      <c r="H278" s="1" t="s">
        <v>76</v>
      </c>
      <c r="I278" s="5" t="s">
        <v>559</v>
      </c>
      <c r="J278" s="4">
        <v>40</v>
      </c>
    </row>
    <row r="279" spans="1:10" x14ac:dyDescent="0.3">
      <c r="A279" s="1" t="s">
        <v>560</v>
      </c>
      <c r="B279" s="1" t="s">
        <v>68</v>
      </c>
      <c r="C279" s="1" t="s">
        <v>85</v>
      </c>
      <c r="D279" s="1" t="s">
        <v>31</v>
      </c>
      <c r="E279" s="4">
        <v>15</v>
      </c>
      <c r="F279" s="4">
        <v>10</v>
      </c>
      <c r="G279" s="1" t="s">
        <v>43</v>
      </c>
      <c r="H279" s="1" t="s">
        <v>26</v>
      </c>
      <c r="I279" s="5" t="s">
        <v>561</v>
      </c>
      <c r="J279" s="4">
        <v>63</v>
      </c>
    </row>
    <row r="280" spans="1:10" x14ac:dyDescent="0.3">
      <c r="A280" s="1" t="s">
        <v>562</v>
      </c>
      <c r="B280" s="1" t="s">
        <v>29</v>
      </c>
      <c r="C280" s="1" t="s">
        <v>79</v>
      </c>
      <c r="D280" s="1" t="s">
        <v>31</v>
      </c>
      <c r="E280" s="4">
        <v>15</v>
      </c>
      <c r="F280" s="4">
        <v>12</v>
      </c>
      <c r="G280" s="1" t="s">
        <v>32</v>
      </c>
      <c r="H280" s="1" t="s">
        <v>46</v>
      </c>
      <c r="I280" s="5" t="s">
        <v>121</v>
      </c>
      <c r="J280" s="4">
        <v>53</v>
      </c>
    </row>
    <row r="281" spans="1:10" x14ac:dyDescent="0.3">
      <c r="A281" s="1" t="s">
        <v>563</v>
      </c>
      <c r="B281" s="1" t="s">
        <v>35</v>
      </c>
      <c r="C281" s="1" t="s">
        <v>55</v>
      </c>
      <c r="D281" s="1" t="s">
        <v>31</v>
      </c>
      <c r="E281" s="4">
        <v>19</v>
      </c>
      <c r="F281" s="4">
        <v>10</v>
      </c>
      <c r="G281" s="1" t="s">
        <v>43</v>
      </c>
      <c r="H281" s="1" t="s">
        <v>46</v>
      </c>
      <c r="I281" s="5" t="s">
        <v>564</v>
      </c>
      <c r="J281" s="4">
        <v>72</v>
      </c>
    </row>
    <row r="282" spans="1:10" x14ac:dyDescent="0.3">
      <c r="A282" s="1" t="s">
        <v>565</v>
      </c>
      <c r="B282" s="1" t="s">
        <v>54</v>
      </c>
      <c r="C282" s="1" t="s">
        <v>79</v>
      </c>
      <c r="D282" s="1" t="s">
        <v>31</v>
      </c>
      <c r="E282" s="4">
        <v>20</v>
      </c>
      <c r="F282" s="4">
        <v>9</v>
      </c>
      <c r="G282" s="1" t="s">
        <v>43</v>
      </c>
      <c r="H282" s="1" t="s">
        <v>20</v>
      </c>
      <c r="I282" s="5" t="s">
        <v>566</v>
      </c>
      <c r="J282" s="4">
        <v>67</v>
      </c>
    </row>
    <row r="283" spans="1:10" x14ac:dyDescent="0.3">
      <c r="A283" s="1" t="s">
        <v>567</v>
      </c>
      <c r="B283" s="1" t="s">
        <v>54</v>
      </c>
      <c r="C283" s="1" t="s">
        <v>12</v>
      </c>
      <c r="D283" s="1" t="s">
        <v>31</v>
      </c>
      <c r="E283" s="4">
        <v>18</v>
      </c>
      <c r="F283" s="4">
        <v>12</v>
      </c>
      <c r="G283" s="1" t="s">
        <v>25</v>
      </c>
      <c r="H283" s="1" t="s">
        <v>26</v>
      </c>
      <c r="I283" s="5" t="s">
        <v>568</v>
      </c>
      <c r="J283" s="4">
        <v>96</v>
      </c>
    </row>
    <row r="284" spans="1:10" x14ac:dyDescent="0.3">
      <c r="A284" s="1" t="s">
        <v>569</v>
      </c>
      <c r="B284" s="1" t="s">
        <v>54</v>
      </c>
      <c r="C284" s="1" t="s">
        <v>12</v>
      </c>
      <c r="D284" s="1" t="s">
        <v>31</v>
      </c>
      <c r="E284" s="4">
        <v>17</v>
      </c>
      <c r="F284" s="4">
        <v>9</v>
      </c>
      <c r="G284" s="1" t="s">
        <v>25</v>
      </c>
      <c r="H284" s="1" t="s">
        <v>37</v>
      </c>
      <c r="I284" s="5" t="s">
        <v>570</v>
      </c>
      <c r="J284" s="4">
        <v>100</v>
      </c>
    </row>
    <row r="285" spans="1:10" x14ac:dyDescent="0.3">
      <c r="A285" s="1" t="s">
        <v>571</v>
      </c>
      <c r="B285" s="1" t="s">
        <v>68</v>
      </c>
      <c r="C285" s="1" t="s">
        <v>12</v>
      </c>
      <c r="D285" s="1" t="s">
        <v>13</v>
      </c>
      <c r="E285" s="4">
        <v>16</v>
      </c>
      <c r="F285" s="4">
        <v>10</v>
      </c>
      <c r="G285" s="1" t="s">
        <v>25</v>
      </c>
      <c r="H285" s="1" t="s">
        <v>26</v>
      </c>
      <c r="I285" s="5" t="s">
        <v>434</v>
      </c>
      <c r="J285" s="4">
        <v>63</v>
      </c>
    </row>
    <row r="286" spans="1:10" x14ac:dyDescent="0.3">
      <c r="A286" s="1" t="s">
        <v>572</v>
      </c>
      <c r="B286" s="1" t="s">
        <v>23</v>
      </c>
      <c r="C286" s="1" t="s">
        <v>19</v>
      </c>
      <c r="D286" s="1" t="s">
        <v>31</v>
      </c>
      <c r="E286" s="4">
        <v>19</v>
      </c>
      <c r="F286" s="4">
        <v>10</v>
      </c>
      <c r="G286" s="1" t="s">
        <v>32</v>
      </c>
      <c r="H286" s="1" t="s">
        <v>20</v>
      </c>
      <c r="I286" s="5" t="s">
        <v>400</v>
      </c>
      <c r="J286" s="4">
        <v>53</v>
      </c>
    </row>
    <row r="287" spans="1:10" x14ac:dyDescent="0.3">
      <c r="A287" s="1" t="s">
        <v>573</v>
      </c>
      <c r="B287" s="1" t="s">
        <v>54</v>
      </c>
      <c r="C287" s="1" t="s">
        <v>24</v>
      </c>
      <c r="D287" s="1" t="s">
        <v>13</v>
      </c>
      <c r="E287" s="4">
        <v>19</v>
      </c>
      <c r="F287" s="4">
        <v>9</v>
      </c>
      <c r="G287" s="1" t="s">
        <v>43</v>
      </c>
      <c r="H287" s="1" t="s">
        <v>46</v>
      </c>
      <c r="I287" s="5" t="s">
        <v>574</v>
      </c>
      <c r="J287" s="4">
        <v>94</v>
      </c>
    </row>
    <row r="288" spans="1:10" x14ac:dyDescent="0.3">
      <c r="A288" s="1" t="s">
        <v>575</v>
      </c>
      <c r="B288" s="1" t="s">
        <v>35</v>
      </c>
      <c r="C288" s="1" t="s">
        <v>30</v>
      </c>
      <c r="D288" s="1" t="s">
        <v>31</v>
      </c>
      <c r="E288" s="4">
        <v>14</v>
      </c>
      <c r="F288" s="4">
        <v>10</v>
      </c>
      <c r="G288" s="1" t="s">
        <v>32</v>
      </c>
      <c r="H288" s="1" t="s">
        <v>40</v>
      </c>
      <c r="I288" s="5" t="s">
        <v>576</v>
      </c>
      <c r="J288" s="4">
        <v>50</v>
      </c>
    </row>
    <row r="289" spans="1:10" x14ac:dyDescent="0.3">
      <c r="A289" s="1" t="s">
        <v>577</v>
      </c>
      <c r="B289" s="1" t="s">
        <v>84</v>
      </c>
      <c r="C289" s="1" t="s">
        <v>79</v>
      </c>
      <c r="D289" s="1" t="s">
        <v>31</v>
      </c>
      <c r="E289" s="4">
        <v>15</v>
      </c>
      <c r="F289" s="4">
        <v>11</v>
      </c>
      <c r="G289" s="1" t="s">
        <v>25</v>
      </c>
      <c r="H289" s="1" t="s">
        <v>40</v>
      </c>
      <c r="I289" s="5" t="s">
        <v>578</v>
      </c>
      <c r="J289" s="4">
        <v>72</v>
      </c>
    </row>
    <row r="290" spans="1:10" x14ac:dyDescent="0.3">
      <c r="A290" s="1" t="s">
        <v>579</v>
      </c>
      <c r="B290" s="1" t="s">
        <v>51</v>
      </c>
      <c r="C290" s="1" t="s">
        <v>55</v>
      </c>
      <c r="D290" s="1" t="s">
        <v>31</v>
      </c>
      <c r="E290" s="4">
        <v>20</v>
      </c>
      <c r="F290" s="4">
        <v>9</v>
      </c>
      <c r="G290" s="1" t="s">
        <v>25</v>
      </c>
      <c r="H290" s="1" t="s">
        <v>26</v>
      </c>
      <c r="I290" s="5" t="s">
        <v>212</v>
      </c>
      <c r="J290" s="4">
        <v>35</v>
      </c>
    </row>
    <row r="291" spans="1:10" x14ac:dyDescent="0.3">
      <c r="A291" s="1" t="s">
        <v>580</v>
      </c>
      <c r="B291" s="1" t="s">
        <v>29</v>
      </c>
      <c r="C291" s="1" t="s">
        <v>36</v>
      </c>
      <c r="D291" s="1" t="s">
        <v>13</v>
      </c>
      <c r="E291" s="4">
        <v>17</v>
      </c>
      <c r="F291" s="4">
        <v>10</v>
      </c>
      <c r="G291" s="1" t="s">
        <v>32</v>
      </c>
      <c r="H291" s="1" t="s">
        <v>15</v>
      </c>
      <c r="I291" s="5" t="s">
        <v>581</v>
      </c>
      <c r="J291" s="4">
        <v>37</v>
      </c>
    </row>
    <row r="292" spans="1:10" x14ac:dyDescent="0.3">
      <c r="A292" s="1" t="s">
        <v>582</v>
      </c>
      <c r="B292" s="1" t="s">
        <v>51</v>
      </c>
      <c r="C292" s="1" t="s">
        <v>55</v>
      </c>
      <c r="D292" s="1" t="s">
        <v>31</v>
      </c>
      <c r="E292" s="4">
        <v>14</v>
      </c>
      <c r="F292" s="4">
        <v>11</v>
      </c>
      <c r="G292" s="1" t="s">
        <v>25</v>
      </c>
      <c r="H292" s="1" t="s">
        <v>37</v>
      </c>
      <c r="I292" s="5" t="s">
        <v>583</v>
      </c>
      <c r="J292" s="4">
        <v>47</v>
      </c>
    </row>
    <row r="293" spans="1:10" x14ac:dyDescent="0.3">
      <c r="A293" s="1" t="s">
        <v>584</v>
      </c>
      <c r="B293" s="1" t="s">
        <v>68</v>
      </c>
      <c r="C293" s="1" t="s">
        <v>55</v>
      </c>
      <c r="D293" s="1" t="s">
        <v>31</v>
      </c>
      <c r="E293" s="4">
        <v>16</v>
      </c>
      <c r="F293" s="4">
        <v>9</v>
      </c>
      <c r="G293" s="1" t="s">
        <v>14</v>
      </c>
      <c r="H293" s="1" t="s">
        <v>61</v>
      </c>
      <c r="I293" s="5" t="s">
        <v>585</v>
      </c>
      <c r="J293" s="4">
        <v>59</v>
      </c>
    </row>
    <row r="294" spans="1:10" x14ac:dyDescent="0.3">
      <c r="A294" s="1" t="s">
        <v>586</v>
      </c>
      <c r="B294" s="1" t="s">
        <v>11</v>
      </c>
      <c r="C294" s="1" t="s">
        <v>24</v>
      </c>
      <c r="D294" s="1" t="s">
        <v>31</v>
      </c>
      <c r="E294" s="4">
        <v>17</v>
      </c>
      <c r="F294" s="4">
        <v>11</v>
      </c>
      <c r="G294" s="1" t="s">
        <v>43</v>
      </c>
      <c r="H294" s="1" t="s">
        <v>61</v>
      </c>
      <c r="I294" s="5" t="s">
        <v>587</v>
      </c>
      <c r="J294" s="4">
        <v>73</v>
      </c>
    </row>
    <row r="295" spans="1:10" x14ac:dyDescent="0.3">
      <c r="A295" s="1" t="s">
        <v>588</v>
      </c>
      <c r="B295" s="1" t="s">
        <v>68</v>
      </c>
      <c r="C295" s="1" t="s">
        <v>85</v>
      </c>
      <c r="D295" s="1" t="s">
        <v>31</v>
      </c>
      <c r="E295" s="4">
        <v>17</v>
      </c>
      <c r="F295" s="4">
        <v>9</v>
      </c>
      <c r="G295" s="1" t="s">
        <v>25</v>
      </c>
      <c r="H295" s="1" t="s">
        <v>61</v>
      </c>
      <c r="I295" s="5" t="s">
        <v>589</v>
      </c>
      <c r="J295" s="4">
        <v>45</v>
      </c>
    </row>
    <row r="296" spans="1:10" x14ac:dyDescent="0.3">
      <c r="A296" s="1" t="s">
        <v>590</v>
      </c>
      <c r="B296" s="1" t="s">
        <v>35</v>
      </c>
      <c r="C296" s="1" t="s">
        <v>12</v>
      </c>
      <c r="D296" s="1" t="s">
        <v>13</v>
      </c>
      <c r="E296" s="4">
        <v>14</v>
      </c>
      <c r="F296" s="4">
        <v>11</v>
      </c>
      <c r="G296" s="1" t="s">
        <v>25</v>
      </c>
      <c r="H296" s="1" t="s">
        <v>20</v>
      </c>
      <c r="I296" s="5" t="s">
        <v>591</v>
      </c>
      <c r="J296" s="4">
        <v>64</v>
      </c>
    </row>
    <row r="297" spans="1:10" x14ac:dyDescent="0.3">
      <c r="A297" s="1" t="s">
        <v>592</v>
      </c>
      <c r="B297" s="1" t="s">
        <v>51</v>
      </c>
      <c r="C297" s="1" t="s">
        <v>19</v>
      </c>
      <c r="D297" s="1" t="s">
        <v>31</v>
      </c>
      <c r="E297" s="4">
        <v>18</v>
      </c>
      <c r="F297" s="4">
        <v>10</v>
      </c>
      <c r="G297" s="1" t="s">
        <v>43</v>
      </c>
      <c r="H297" s="1" t="s">
        <v>76</v>
      </c>
      <c r="I297" s="5" t="s">
        <v>593</v>
      </c>
      <c r="J297" s="4">
        <v>98</v>
      </c>
    </row>
    <row r="298" spans="1:10" x14ac:dyDescent="0.3">
      <c r="A298" s="1" t="s">
        <v>594</v>
      </c>
      <c r="B298" s="1" t="s">
        <v>54</v>
      </c>
      <c r="C298" s="1" t="s">
        <v>55</v>
      </c>
      <c r="D298" s="1" t="s">
        <v>13</v>
      </c>
      <c r="E298" s="4">
        <v>20</v>
      </c>
      <c r="F298" s="4">
        <v>11</v>
      </c>
      <c r="G298" s="1" t="s">
        <v>43</v>
      </c>
      <c r="H298" s="1" t="s">
        <v>40</v>
      </c>
      <c r="I298" s="5" t="s">
        <v>595</v>
      </c>
      <c r="J298" s="4">
        <v>84</v>
      </c>
    </row>
    <row r="299" spans="1:10" x14ac:dyDescent="0.3">
      <c r="A299" s="1" t="s">
        <v>596</v>
      </c>
      <c r="B299" s="1" t="s">
        <v>11</v>
      </c>
      <c r="C299" s="1" t="s">
        <v>30</v>
      </c>
      <c r="D299" s="1" t="s">
        <v>13</v>
      </c>
      <c r="E299" s="4">
        <v>14</v>
      </c>
      <c r="F299" s="4">
        <v>9</v>
      </c>
      <c r="G299" s="1" t="s">
        <v>25</v>
      </c>
      <c r="H299" s="1" t="s">
        <v>76</v>
      </c>
      <c r="I299" s="5" t="s">
        <v>447</v>
      </c>
      <c r="J299" s="4">
        <v>62</v>
      </c>
    </row>
    <row r="300" spans="1:10" x14ac:dyDescent="0.3">
      <c r="A300" s="1" t="s">
        <v>597</v>
      </c>
      <c r="B300" s="1" t="s">
        <v>18</v>
      </c>
      <c r="C300" s="1" t="s">
        <v>85</v>
      </c>
      <c r="D300" s="1" t="s">
        <v>31</v>
      </c>
      <c r="E300" s="4">
        <v>18</v>
      </c>
      <c r="F300" s="4">
        <v>11</v>
      </c>
      <c r="G300" s="1" t="s">
        <v>43</v>
      </c>
      <c r="H300" s="1" t="s">
        <v>40</v>
      </c>
      <c r="I300" s="5" t="s">
        <v>598</v>
      </c>
      <c r="J300" s="4">
        <v>55</v>
      </c>
    </row>
    <row r="301" spans="1:10" x14ac:dyDescent="0.3">
      <c r="A301" s="1" t="s">
        <v>599</v>
      </c>
      <c r="B301" s="1" t="s">
        <v>84</v>
      </c>
      <c r="C301" s="1" t="s">
        <v>30</v>
      </c>
      <c r="D301" s="1" t="s">
        <v>13</v>
      </c>
      <c r="E301" s="4">
        <v>17</v>
      </c>
      <c r="F301" s="4">
        <v>11</v>
      </c>
      <c r="G301" s="1" t="s">
        <v>43</v>
      </c>
      <c r="H301" s="1" t="s">
        <v>15</v>
      </c>
      <c r="I301" s="5" t="s">
        <v>600</v>
      </c>
      <c r="J301" s="4">
        <v>73</v>
      </c>
    </row>
    <row r="302" spans="1:10" x14ac:dyDescent="0.3">
      <c r="A302" s="1" t="s">
        <v>601</v>
      </c>
      <c r="B302" s="1" t="s">
        <v>73</v>
      </c>
      <c r="C302" s="1" t="s">
        <v>55</v>
      </c>
      <c r="D302" s="1" t="s">
        <v>31</v>
      </c>
      <c r="E302" s="4">
        <v>17</v>
      </c>
      <c r="F302" s="4">
        <v>11</v>
      </c>
      <c r="G302" s="1" t="s">
        <v>43</v>
      </c>
      <c r="H302" s="1" t="s">
        <v>61</v>
      </c>
      <c r="I302" s="5" t="s">
        <v>502</v>
      </c>
      <c r="J302" s="4">
        <v>76</v>
      </c>
    </row>
    <row r="303" spans="1:10" x14ac:dyDescent="0.3">
      <c r="A303" s="1" t="s">
        <v>602</v>
      </c>
      <c r="B303" s="1" t="s">
        <v>23</v>
      </c>
      <c r="C303" s="1" t="s">
        <v>19</v>
      </c>
      <c r="D303" s="1" t="s">
        <v>13</v>
      </c>
      <c r="E303" s="4">
        <v>15</v>
      </c>
      <c r="F303" s="4">
        <v>12</v>
      </c>
      <c r="G303" s="1" t="s">
        <v>14</v>
      </c>
      <c r="H303" s="1" t="s">
        <v>61</v>
      </c>
      <c r="I303" s="5" t="s">
        <v>603</v>
      </c>
      <c r="J303" s="4">
        <v>54</v>
      </c>
    </row>
    <row r="304" spans="1:10" x14ac:dyDescent="0.3">
      <c r="A304" s="1" t="s">
        <v>604</v>
      </c>
      <c r="B304" s="1" t="s">
        <v>51</v>
      </c>
      <c r="C304" s="1" t="s">
        <v>85</v>
      </c>
      <c r="D304" s="1" t="s">
        <v>31</v>
      </c>
      <c r="E304" s="4">
        <v>20</v>
      </c>
      <c r="F304" s="4">
        <v>12</v>
      </c>
      <c r="G304" s="1" t="s">
        <v>25</v>
      </c>
      <c r="H304" s="1" t="s">
        <v>26</v>
      </c>
      <c r="I304" s="5" t="s">
        <v>299</v>
      </c>
      <c r="J304" s="4">
        <v>69</v>
      </c>
    </row>
    <row r="305" spans="1:10" x14ac:dyDescent="0.3">
      <c r="A305" s="1" t="s">
        <v>605</v>
      </c>
      <c r="B305" s="1" t="s">
        <v>54</v>
      </c>
      <c r="C305" s="1" t="s">
        <v>19</v>
      </c>
      <c r="D305" s="1" t="s">
        <v>31</v>
      </c>
      <c r="E305" s="4">
        <v>20</v>
      </c>
      <c r="F305" s="4">
        <v>10</v>
      </c>
      <c r="G305" s="1" t="s">
        <v>43</v>
      </c>
      <c r="H305" s="1" t="s">
        <v>37</v>
      </c>
      <c r="I305" s="5" t="s">
        <v>606</v>
      </c>
      <c r="J305" s="4">
        <v>99</v>
      </c>
    </row>
    <row r="306" spans="1:10" x14ac:dyDescent="0.3">
      <c r="A306" s="1" t="s">
        <v>607</v>
      </c>
      <c r="B306" s="1" t="s">
        <v>68</v>
      </c>
      <c r="C306" s="1" t="s">
        <v>55</v>
      </c>
      <c r="D306" s="1" t="s">
        <v>13</v>
      </c>
      <c r="E306" s="4">
        <v>19</v>
      </c>
      <c r="F306" s="4">
        <v>11</v>
      </c>
      <c r="G306" s="1" t="s">
        <v>25</v>
      </c>
      <c r="H306" s="1" t="s">
        <v>20</v>
      </c>
      <c r="I306" s="5" t="s">
        <v>608</v>
      </c>
      <c r="J306" s="4">
        <v>43</v>
      </c>
    </row>
    <row r="307" spans="1:10" x14ac:dyDescent="0.3">
      <c r="A307" s="1" t="s">
        <v>609</v>
      </c>
      <c r="B307" s="1" t="s">
        <v>68</v>
      </c>
      <c r="C307" s="1" t="s">
        <v>58</v>
      </c>
      <c r="D307" s="1" t="s">
        <v>13</v>
      </c>
      <c r="E307" s="4">
        <v>14</v>
      </c>
      <c r="F307" s="4">
        <v>10</v>
      </c>
      <c r="G307" s="1" t="s">
        <v>25</v>
      </c>
      <c r="H307" s="1" t="s">
        <v>37</v>
      </c>
      <c r="I307" s="5" t="s">
        <v>610</v>
      </c>
      <c r="J307" s="4">
        <v>90</v>
      </c>
    </row>
    <row r="308" spans="1:10" x14ac:dyDescent="0.3">
      <c r="A308" s="1" t="s">
        <v>611</v>
      </c>
      <c r="B308" s="1" t="s">
        <v>18</v>
      </c>
      <c r="C308" s="1" t="s">
        <v>24</v>
      </c>
      <c r="D308" s="1" t="s">
        <v>31</v>
      </c>
      <c r="E308" s="4">
        <v>19</v>
      </c>
      <c r="F308" s="4">
        <v>12</v>
      </c>
      <c r="G308" s="1" t="s">
        <v>43</v>
      </c>
      <c r="H308" s="1" t="s">
        <v>26</v>
      </c>
      <c r="I308" s="5" t="s">
        <v>612</v>
      </c>
      <c r="J308" s="4">
        <v>82</v>
      </c>
    </row>
    <row r="309" spans="1:10" x14ac:dyDescent="0.3">
      <c r="A309" s="1" t="s">
        <v>613</v>
      </c>
      <c r="B309" s="1" t="s">
        <v>68</v>
      </c>
      <c r="C309" s="1" t="s">
        <v>85</v>
      </c>
      <c r="D309" s="1" t="s">
        <v>31</v>
      </c>
      <c r="E309" s="4">
        <v>15</v>
      </c>
      <c r="F309" s="4">
        <v>9</v>
      </c>
      <c r="G309" s="1" t="s">
        <v>32</v>
      </c>
      <c r="H309" s="1" t="s">
        <v>37</v>
      </c>
      <c r="I309" s="5" t="s">
        <v>614</v>
      </c>
      <c r="J309" s="4">
        <v>39</v>
      </c>
    </row>
    <row r="310" spans="1:10" x14ac:dyDescent="0.3">
      <c r="A310" s="1" t="s">
        <v>615</v>
      </c>
      <c r="B310" s="1" t="s">
        <v>18</v>
      </c>
      <c r="C310" s="1" t="s">
        <v>12</v>
      </c>
      <c r="D310" s="1" t="s">
        <v>13</v>
      </c>
      <c r="E310" s="4">
        <v>17</v>
      </c>
      <c r="F310" s="4">
        <v>12</v>
      </c>
      <c r="G310" s="1" t="s">
        <v>14</v>
      </c>
      <c r="H310" s="1" t="s">
        <v>61</v>
      </c>
      <c r="I310" s="5" t="s">
        <v>616</v>
      </c>
      <c r="J310" s="4">
        <v>99</v>
      </c>
    </row>
    <row r="311" spans="1:10" x14ac:dyDescent="0.3">
      <c r="A311" s="1" t="s">
        <v>617</v>
      </c>
      <c r="B311" s="1" t="s">
        <v>35</v>
      </c>
      <c r="C311" s="1" t="s">
        <v>12</v>
      </c>
      <c r="D311" s="1" t="s">
        <v>13</v>
      </c>
      <c r="E311" s="4">
        <v>15</v>
      </c>
      <c r="F311" s="4">
        <v>9</v>
      </c>
      <c r="G311" s="1" t="s">
        <v>25</v>
      </c>
      <c r="H311" s="1" t="s">
        <v>46</v>
      </c>
      <c r="I311" s="5" t="s">
        <v>155</v>
      </c>
      <c r="J311" s="4">
        <v>85</v>
      </c>
    </row>
    <row r="312" spans="1:10" x14ac:dyDescent="0.3">
      <c r="A312" s="1" t="s">
        <v>618</v>
      </c>
      <c r="B312" s="1" t="s">
        <v>73</v>
      </c>
      <c r="C312" s="1" t="s">
        <v>85</v>
      </c>
      <c r="D312" s="1" t="s">
        <v>31</v>
      </c>
      <c r="E312" s="4">
        <v>14</v>
      </c>
      <c r="F312" s="4">
        <v>11</v>
      </c>
      <c r="G312" s="1" t="s">
        <v>25</v>
      </c>
      <c r="H312" s="1" t="s">
        <v>20</v>
      </c>
      <c r="I312" s="5" t="s">
        <v>619</v>
      </c>
      <c r="J312" s="4">
        <v>67</v>
      </c>
    </row>
    <row r="313" spans="1:10" x14ac:dyDescent="0.3">
      <c r="A313" s="1" t="s">
        <v>620</v>
      </c>
      <c r="B313" s="1" t="s">
        <v>84</v>
      </c>
      <c r="C313" s="1" t="s">
        <v>24</v>
      </c>
      <c r="D313" s="1" t="s">
        <v>31</v>
      </c>
      <c r="E313" s="4">
        <v>19</v>
      </c>
      <c r="F313" s="4">
        <v>12</v>
      </c>
      <c r="G313" s="1" t="s">
        <v>14</v>
      </c>
      <c r="H313" s="1" t="s">
        <v>61</v>
      </c>
      <c r="I313" s="5" t="s">
        <v>621</v>
      </c>
      <c r="J313" s="4">
        <v>77</v>
      </c>
    </row>
    <row r="314" spans="1:10" x14ac:dyDescent="0.3">
      <c r="A314" s="1" t="s">
        <v>622</v>
      </c>
      <c r="B314" s="1" t="s">
        <v>23</v>
      </c>
      <c r="C314" s="1" t="s">
        <v>96</v>
      </c>
      <c r="D314" s="1" t="s">
        <v>31</v>
      </c>
      <c r="E314" s="4">
        <v>17</v>
      </c>
      <c r="F314" s="4">
        <v>12</v>
      </c>
      <c r="G314" s="1" t="s">
        <v>43</v>
      </c>
      <c r="H314" s="1" t="s">
        <v>46</v>
      </c>
      <c r="I314" s="5" t="s">
        <v>170</v>
      </c>
      <c r="J314" s="4">
        <v>62</v>
      </c>
    </row>
    <row r="315" spans="1:10" x14ac:dyDescent="0.3">
      <c r="A315" s="1" t="s">
        <v>623</v>
      </c>
      <c r="B315" s="1" t="s">
        <v>29</v>
      </c>
      <c r="C315" s="1" t="s">
        <v>12</v>
      </c>
      <c r="D315" s="1" t="s">
        <v>31</v>
      </c>
      <c r="E315" s="4">
        <v>19</v>
      </c>
      <c r="F315" s="4">
        <v>11</v>
      </c>
      <c r="G315" s="1" t="s">
        <v>25</v>
      </c>
      <c r="H315" s="1" t="s">
        <v>76</v>
      </c>
      <c r="I315" s="5" t="s">
        <v>624</v>
      </c>
      <c r="J315" s="4">
        <v>49</v>
      </c>
    </row>
    <row r="316" spans="1:10" x14ac:dyDescent="0.3">
      <c r="A316" s="1" t="s">
        <v>625</v>
      </c>
      <c r="B316" s="1" t="s">
        <v>68</v>
      </c>
      <c r="C316" s="1" t="s">
        <v>96</v>
      </c>
      <c r="D316" s="1" t="s">
        <v>31</v>
      </c>
      <c r="E316" s="4">
        <v>19</v>
      </c>
      <c r="F316" s="4">
        <v>12</v>
      </c>
      <c r="G316" s="1" t="s">
        <v>32</v>
      </c>
      <c r="H316" s="1" t="s">
        <v>15</v>
      </c>
      <c r="I316" s="5" t="s">
        <v>626</v>
      </c>
      <c r="J316" s="4">
        <v>86</v>
      </c>
    </row>
    <row r="317" spans="1:10" x14ac:dyDescent="0.3">
      <c r="A317" s="1" t="s">
        <v>627</v>
      </c>
      <c r="B317" s="1" t="s">
        <v>35</v>
      </c>
      <c r="C317" s="1" t="s">
        <v>85</v>
      </c>
      <c r="D317" s="1" t="s">
        <v>31</v>
      </c>
      <c r="E317" s="4">
        <v>16</v>
      </c>
      <c r="F317" s="4">
        <v>9</v>
      </c>
      <c r="G317" s="1" t="s">
        <v>43</v>
      </c>
      <c r="H317" s="1" t="s">
        <v>20</v>
      </c>
      <c r="I317" s="5" t="s">
        <v>628</v>
      </c>
      <c r="J317" s="4">
        <v>84</v>
      </c>
    </row>
    <row r="318" spans="1:10" x14ac:dyDescent="0.3">
      <c r="A318" s="1" t="s">
        <v>629</v>
      </c>
      <c r="B318" s="1" t="s">
        <v>35</v>
      </c>
      <c r="C318" s="1" t="s">
        <v>58</v>
      </c>
      <c r="D318" s="1" t="s">
        <v>13</v>
      </c>
      <c r="E318" s="4">
        <v>18</v>
      </c>
      <c r="F318" s="4">
        <v>9</v>
      </c>
      <c r="G318" s="1" t="s">
        <v>25</v>
      </c>
      <c r="H318" s="1" t="s">
        <v>76</v>
      </c>
      <c r="I318" s="5" t="s">
        <v>105</v>
      </c>
      <c r="J318" s="4">
        <v>82</v>
      </c>
    </row>
    <row r="319" spans="1:10" x14ac:dyDescent="0.3">
      <c r="A319" s="1" t="s">
        <v>630</v>
      </c>
      <c r="B319" s="1" t="s">
        <v>84</v>
      </c>
      <c r="C319" s="1" t="s">
        <v>96</v>
      </c>
      <c r="D319" s="1" t="s">
        <v>31</v>
      </c>
      <c r="E319" s="4">
        <v>19</v>
      </c>
      <c r="F319" s="4">
        <v>10</v>
      </c>
      <c r="G319" s="1" t="s">
        <v>43</v>
      </c>
      <c r="H319" s="1" t="s">
        <v>20</v>
      </c>
      <c r="I319" s="5" t="s">
        <v>631</v>
      </c>
      <c r="J319" s="4">
        <v>63</v>
      </c>
    </row>
    <row r="320" spans="1:10" x14ac:dyDescent="0.3">
      <c r="A320" s="1" t="s">
        <v>632</v>
      </c>
      <c r="B320" s="1" t="s">
        <v>54</v>
      </c>
      <c r="C320" s="1" t="s">
        <v>55</v>
      </c>
      <c r="D320" s="1" t="s">
        <v>31</v>
      </c>
      <c r="E320" s="4">
        <v>19</v>
      </c>
      <c r="F320" s="4">
        <v>11</v>
      </c>
      <c r="G320" s="1" t="s">
        <v>25</v>
      </c>
      <c r="H320" s="1" t="s">
        <v>61</v>
      </c>
      <c r="I320" s="5" t="s">
        <v>633</v>
      </c>
      <c r="J320" s="4">
        <v>82</v>
      </c>
    </row>
    <row r="321" spans="1:10" x14ac:dyDescent="0.3">
      <c r="A321" s="1" t="s">
        <v>634</v>
      </c>
      <c r="B321" s="1" t="s">
        <v>54</v>
      </c>
      <c r="C321" s="1" t="s">
        <v>30</v>
      </c>
      <c r="D321" s="1" t="s">
        <v>31</v>
      </c>
      <c r="E321" s="4">
        <v>15</v>
      </c>
      <c r="F321" s="4">
        <v>9</v>
      </c>
      <c r="G321" s="1" t="s">
        <v>25</v>
      </c>
      <c r="H321" s="1" t="s">
        <v>40</v>
      </c>
      <c r="I321" s="5" t="s">
        <v>635</v>
      </c>
      <c r="J321" s="4">
        <v>53</v>
      </c>
    </row>
    <row r="322" spans="1:10" x14ac:dyDescent="0.3">
      <c r="A322" s="1" t="s">
        <v>636</v>
      </c>
      <c r="B322" s="1" t="s">
        <v>11</v>
      </c>
      <c r="C322" s="1" t="s">
        <v>79</v>
      </c>
      <c r="D322" s="1" t="s">
        <v>13</v>
      </c>
      <c r="E322" s="4">
        <v>19</v>
      </c>
      <c r="F322" s="4">
        <v>9</v>
      </c>
      <c r="G322" s="1" t="s">
        <v>32</v>
      </c>
      <c r="H322" s="1" t="s">
        <v>76</v>
      </c>
      <c r="I322" s="5" t="s">
        <v>637</v>
      </c>
      <c r="J322" s="4">
        <v>97</v>
      </c>
    </row>
    <row r="323" spans="1:10" x14ac:dyDescent="0.3">
      <c r="A323" s="1" t="s">
        <v>638</v>
      </c>
      <c r="B323" s="1" t="s">
        <v>54</v>
      </c>
      <c r="C323" s="1" t="s">
        <v>12</v>
      </c>
      <c r="D323" s="1" t="s">
        <v>31</v>
      </c>
      <c r="E323" s="4">
        <v>15</v>
      </c>
      <c r="F323" s="4">
        <v>12</v>
      </c>
      <c r="G323" s="1" t="s">
        <v>43</v>
      </c>
      <c r="H323" s="1" t="s">
        <v>76</v>
      </c>
      <c r="I323" s="5" t="s">
        <v>639</v>
      </c>
      <c r="J323" s="4">
        <v>51</v>
      </c>
    </row>
    <row r="324" spans="1:10" x14ac:dyDescent="0.3">
      <c r="A324" s="1" t="s">
        <v>640</v>
      </c>
      <c r="B324" s="1" t="s">
        <v>84</v>
      </c>
      <c r="C324" s="1" t="s">
        <v>79</v>
      </c>
      <c r="D324" s="1" t="s">
        <v>31</v>
      </c>
      <c r="E324" s="4">
        <v>14</v>
      </c>
      <c r="F324" s="4">
        <v>9</v>
      </c>
      <c r="G324" s="1" t="s">
        <v>14</v>
      </c>
      <c r="H324" s="1" t="s">
        <v>37</v>
      </c>
      <c r="I324" s="5" t="s">
        <v>641</v>
      </c>
      <c r="J324" s="4">
        <v>43</v>
      </c>
    </row>
    <row r="325" spans="1:10" x14ac:dyDescent="0.3">
      <c r="A325" s="1" t="s">
        <v>642</v>
      </c>
      <c r="B325" s="1" t="s">
        <v>18</v>
      </c>
      <c r="C325" s="1" t="s">
        <v>19</v>
      </c>
      <c r="D325" s="1" t="s">
        <v>13</v>
      </c>
      <c r="E325" s="4">
        <v>14</v>
      </c>
      <c r="F325" s="4">
        <v>9</v>
      </c>
      <c r="G325" s="1" t="s">
        <v>43</v>
      </c>
      <c r="H325" s="1" t="s">
        <v>20</v>
      </c>
      <c r="I325" s="5" t="s">
        <v>643</v>
      </c>
      <c r="J325" s="4">
        <v>57</v>
      </c>
    </row>
    <row r="326" spans="1:10" x14ac:dyDescent="0.3">
      <c r="A326" s="1" t="s">
        <v>644</v>
      </c>
      <c r="B326" s="1" t="s">
        <v>51</v>
      </c>
      <c r="C326" s="1" t="s">
        <v>36</v>
      </c>
      <c r="D326" s="1" t="s">
        <v>31</v>
      </c>
      <c r="E326" s="4">
        <v>16</v>
      </c>
      <c r="F326" s="4">
        <v>11</v>
      </c>
      <c r="G326" s="1" t="s">
        <v>43</v>
      </c>
      <c r="H326" s="1" t="s">
        <v>20</v>
      </c>
      <c r="I326" s="5" t="s">
        <v>645</v>
      </c>
      <c r="J326" s="4">
        <v>81</v>
      </c>
    </row>
    <row r="327" spans="1:10" x14ac:dyDescent="0.3">
      <c r="A327" s="1" t="s">
        <v>646</v>
      </c>
      <c r="B327" s="1" t="s">
        <v>84</v>
      </c>
      <c r="C327" s="1" t="s">
        <v>12</v>
      </c>
      <c r="D327" s="1" t="s">
        <v>31</v>
      </c>
      <c r="E327" s="4">
        <v>17</v>
      </c>
      <c r="F327" s="4">
        <v>12</v>
      </c>
      <c r="G327" s="1" t="s">
        <v>25</v>
      </c>
      <c r="H327" s="1" t="s">
        <v>76</v>
      </c>
      <c r="I327" s="5" t="s">
        <v>647</v>
      </c>
      <c r="J327" s="4">
        <v>83</v>
      </c>
    </row>
    <row r="328" spans="1:10" x14ac:dyDescent="0.3">
      <c r="A328" s="1" t="s">
        <v>648</v>
      </c>
      <c r="B328" s="1" t="s">
        <v>51</v>
      </c>
      <c r="C328" s="1" t="s">
        <v>79</v>
      </c>
      <c r="D328" s="1" t="s">
        <v>13</v>
      </c>
      <c r="E328" s="4">
        <v>14</v>
      </c>
      <c r="F328" s="4">
        <v>9</v>
      </c>
      <c r="G328" s="1" t="s">
        <v>25</v>
      </c>
      <c r="H328" s="1" t="s">
        <v>15</v>
      </c>
      <c r="I328" s="5" t="s">
        <v>649</v>
      </c>
      <c r="J328" s="4">
        <v>77</v>
      </c>
    </row>
    <row r="329" spans="1:10" x14ac:dyDescent="0.3">
      <c r="A329" s="1" t="s">
        <v>650</v>
      </c>
      <c r="B329" s="1" t="s">
        <v>23</v>
      </c>
      <c r="C329" s="1" t="s">
        <v>24</v>
      </c>
      <c r="D329" s="1" t="s">
        <v>13</v>
      </c>
      <c r="E329" s="4">
        <v>17</v>
      </c>
      <c r="F329" s="4">
        <v>12</v>
      </c>
      <c r="G329" s="1" t="s">
        <v>25</v>
      </c>
      <c r="H329" s="1" t="s">
        <v>46</v>
      </c>
      <c r="I329" s="5" t="s">
        <v>651</v>
      </c>
      <c r="J329" s="4">
        <v>45</v>
      </c>
    </row>
    <row r="330" spans="1:10" x14ac:dyDescent="0.3">
      <c r="A330" s="1" t="s">
        <v>652</v>
      </c>
      <c r="B330" s="1" t="s">
        <v>51</v>
      </c>
      <c r="C330" s="1" t="s">
        <v>55</v>
      </c>
      <c r="D330" s="1" t="s">
        <v>13</v>
      </c>
      <c r="E330" s="4">
        <v>16</v>
      </c>
      <c r="F330" s="4">
        <v>12</v>
      </c>
      <c r="G330" s="1" t="s">
        <v>32</v>
      </c>
      <c r="H330" s="1" t="s">
        <v>61</v>
      </c>
      <c r="I330" s="5" t="s">
        <v>653</v>
      </c>
      <c r="J330" s="4">
        <v>45</v>
      </c>
    </row>
    <row r="331" spans="1:10" x14ac:dyDescent="0.3">
      <c r="A331" s="1" t="s">
        <v>654</v>
      </c>
      <c r="B331" s="1" t="s">
        <v>18</v>
      </c>
      <c r="C331" s="1" t="s">
        <v>24</v>
      </c>
      <c r="D331" s="1" t="s">
        <v>31</v>
      </c>
      <c r="E331" s="4">
        <v>14</v>
      </c>
      <c r="F331" s="4">
        <v>12</v>
      </c>
      <c r="G331" s="1" t="s">
        <v>14</v>
      </c>
      <c r="H331" s="1" t="s">
        <v>46</v>
      </c>
      <c r="I331" s="5" t="s">
        <v>655</v>
      </c>
      <c r="J331" s="4">
        <v>42</v>
      </c>
    </row>
    <row r="332" spans="1:10" x14ac:dyDescent="0.3">
      <c r="A332" s="1" t="s">
        <v>656</v>
      </c>
      <c r="B332" s="1" t="s">
        <v>29</v>
      </c>
      <c r="C332" s="1" t="s">
        <v>30</v>
      </c>
      <c r="D332" s="1" t="s">
        <v>13</v>
      </c>
      <c r="E332" s="4">
        <v>19</v>
      </c>
      <c r="F332" s="4">
        <v>10</v>
      </c>
      <c r="G332" s="1" t="s">
        <v>43</v>
      </c>
      <c r="H332" s="1" t="s">
        <v>15</v>
      </c>
      <c r="I332" s="5" t="s">
        <v>657</v>
      </c>
      <c r="J332" s="4">
        <v>85</v>
      </c>
    </row>
    <row r="333" spans="1:10" x14ac:dyDescent="0.3">
      <c r="A333" s="1" t="s">
        <v>658</v>
      </c>
      <c r="B333" s="1" t="s">
        <v>11</v>
      </c>
      <c r="C333" s="1" t="s">
        <v>96</v>
      </c>
      <c r="D333" s="1" t="s">
        <v>31</v>
      </c>
      <c r="E333" s="4">
        <v>20</v>
      </c>
      <c r="F333" s="4">
        <v>10</v>
      </c>
      <c r="G333" s="1" t="s">
        <v>43</v>
      </c>
      <c r="H333" s="1" t="s">
        <v>37</v>
      </c>
      <c r="I333" s="5" t="s">
        <v>659</v>
      </c>
      <c r="J333" s="4">
        <v>62</v>
      </c>
    </row>
    <row r="334" spans="1:10" x14ac:dyDescent="0.3">
      <c r="A334" s="1" t="s">
        <v>660</v>
      </c>
      <c r="B334" s="1" t="s">
        <v>23</v>
      </c>
      <c r="C334" s="1" t="s">
        <v>12</v>
      </c>
      <c r="D334" s="1" t="s">
        <v>13</v>
      </c>
      <c r="E334" s="4">
        <v>16</v>
      </c>
      <c r="F334" s="4">
        <v>11</v>
      </c>
      <c r="G334" s="1" t="s">
        <v>25</v>
      </c>
      <c r="H334" s="1" t="s">
        <v>40</v>
      </c>
      <c r="I334" s="5" t="s">
        <v>41</v>
      </c>
      <c r="J334" s="4">
        <v>86</v>
      </c>
    </row>
    <row r="335" spans="1:10" x14ac:dyDescent="0.3">
      <c r="A335" s="1" t="s">
        <v>661</v>
      </c>
      <c r="B335" s="1" t="s">
        <v>54</v>
      </c>
      <c r="C335" s="1" t="s">
        <v>12</v>
      </c>
      <c r="D335" s="1" t="s">
        <v>31</v>
      </c>
      <c r="E335" s="4">
        <v>19</v>
      </c>
      <c r="F335" s="4">
        <v>10</v>
      </c>
      <c r="G335" s="1" t="s">
        <v>14</v>
      </c>
      <c r="H335" s="1" t="s">
        <v>76</v>
      </c>
      <c r="I335" s="5" t="s">
        <v>662</v>
      </c>
      <c r="J335" s="4">
        <v>54</v>
      </c>
    </row>
    <row r="336" spans="1:10" x14ac:dyDescent="0.3">
      <c r="A336" s="1" t="s">
        <v>663</v>
      </c>
      <c r="B336" s="1" t="s">
        <v>73</v>
      </c>
      <c r="C336" s="1" t="s">
        <v>36</v>
      </c>
      <c r="D336" s="1" t="s">
        <v>13</v>
      </c>
      <c r="E336" s="4">
        <v>20</v>
      </c>
      <c r="F336" s="4">
        <v>12</v>
      </c>
      <c r="G336" s="1" t="s">
        <v>25</v>
      </c>
      <c r="H336" s="1" t="s">
        <v>40</v>
      </c>
      <c r="I336" s="5" t="s">
        <v>664</v>
      </c>
      <c r="J336" s="4">
        <v>50</v>
      </c>
    </row>
    <row r="337" spans="1:10" x14ac:dyDescent="0.3">
      <c r="A337" s="1" t="s">
        <v>665</v>
      </c>
      <c r="B337" s="1" t="s">
        <v>51</v>
      </c>
      <c r="C337" s="1" t="s">
        <v>96</v>
      </c>
      <c r="D337" s="1" t="s">
        <v>13</v>
      </c>
      <c r="E337" s="4">
        <v>14</v>
      </c>
      <c r="F337" s="4">
        <v>10</v>
      </c>
      <c r="G337" s="1" t="s">
        <v>14</v>
      </c>
      <c r="H337" s="1" t="s">
        <v>37</v>
      </c>
      <c r="I337" s="5" t="s">
        <v>666</v>
      </c>
      <c r="J337" s="4">
        <v>68</v>
      </c>
    </row>
    <row r="338" spans="1:10" x14ac:dyDescent="0.3">
      <c r="A338" s="1" t="s">
        <v>667</v>
      </c>
      <c r="B338" s="1" t="s">
        <v>35</v>
      </c>
      <c r="C338" s="1" t="s">
        <v>12</v>
      </c>
      <c r="D338" s="1" t="s">
        <v>31</v>
      </c>
      <c r="E338" s="4">
        <v>15</v>
      </c>
      <c r="F338" s="4">
        <v>12</v>
      </c>
      <c r="G338" s="1" t="s">
        <v>14</v>
      </c>
      <c r="H338" s="1" t="s">
        <v>46</v>
      </c>
      <c r="I338" s="5" t="s">
        <v>668</v>
      </c>
      <c r="J338" s="4">
        <v>82</v>
      </c>
    </row>
    <row r="339" spans="1:10" x14ac:dyDescent="0.3">
      <c r="A339" s="1" t="s">
        <v>669</v>
      </c>
      <c r="B339" s="1" t="s">
        <v>11</v>
      </c>
      <c r="C339" s="1" t="s">
        <v>24</v>
      </c>
      <c r="D339" s="1" t="s">
        <v>13</v>
      </c>
      <c r="E339" s="4">
        <v>19</v>
      </c>
      <c r="F339" s="4">
        <v>9</v>
      </c>
      <c r="G339" s="1" t="s">
        <v>32</v>
      </c>
      <c r="H339" s="1" t="s">
        <v>40</v>
      </c>
      <c r="I339" s="5" t="s">
        <v>670</v>
      </c>
      <c r="J339" s="4">
        <v>51</v>
      </c>
    </row>
    <row r="340" spans="1:10" x14ac:dyDescent="0.3">
      <c r="A340" s="1" t="s">
        <v>671</v>
      </c>
      <c r="B340" s="1" t="s">
        <v>11</v>
      </c>
      <c r="C340" s="1" t="s">
        <v>36</v>
      </c>
      <c r="D340" s="1" t="s">
        <v>13</v>
      </c>
      <c r="E340" s="4">
        <v>14</v>
      </c>
      <c r="F340" s="4">
        <v>10</v>
      </c>
      <c r="G340" s="1" t="s">
        <v>32</v>
      </c>
      <c r="H340" s="1" t="s">
        <v>40</v>
      </c>
      <c r="I340" s="5" t="s">
        <v>672</v>
      </c>
      <c r="J340" s="4">
        <v>64</v>
      </c>
    </row>
    <row r="341" spans="1:10" x14ac:dyDescent="0.3">
      <c r="A341" s="1" t="s">
        <v>673</v>
      </c>
      <c r="B341" s="1" t="s">
        <v>11</v>
      </c>
      <c r="C341" s="1" t="s">
        <v>19</v>
      </c>
      <c r="D341" s="1" t="s">
        <v>31</v>
      </c>
      <c r="E341" s="4">
        <v>17</v>
      </c>
      <c r="F341" s="4">
        <v>10</v>
      </c>
      <c r="G341" s="1" t="s">
        <v>32</v>
      </c>
      <c r="H341" s="1" t="s">
        <v>46</v>
      </c>
      <c r="I341" s="5" t="s">
        <v>674</v>
      </c>
      <c r="J341" s="4">
        <v>85</v>
      </c>
    </row>
    <row r="342" spans="1:10" x14ac:dyDescent="0.3">
      <c r="A342" s="1" t="s">
        <v>675</v>
      </c>
      <c r="B342" s="1" t="s">
        <v>73</v>
      </c>
      <c r="C342" s="1" t="s">
        <v>24</v>
      </c>
      <c r="D342" s="1" t="s">
        <v>13</v>
      </c>
      <c r="E342" s="4">
        <v>19</v>
      </c>
      <c r="F342" s="4">
        <v>11</v>
      </c>
      <c r="G342" s="1" t="s">
        <v>14</v>
      </c>
      <c r="H342" s="1" t="s">
        <v>37</v>
      </c>
      <c r="I342" s="5" t="s">
        <v>676</v>
      </c>
      <c r="J342" s="4">
        <v>51</v>
      </c>
    </row>
    <row r="343" spans="1:10" x14ac:dyDescent="0.3">
      <c r="A343" s="1" t="s">
        <v>677</v>
      </c>
      <c r="B343" s="1" t="s">
        <v>23</v>
      </c>
      <c r="C343" s="1" t="s">
        <v>85</v>
      </c>
      <c r="D343" s="1" t="s">
        <v>13</v>
      </c>
      <c r="E343" s="4">
        <v>20</v>
      </c>
      <c r="F343" s="4">
        <v>10</v>
      </c>
      <c r="G343" s="1" t="s">
        <v>32</v>
      </c>
      <c r="H343" s="1" t="s">
        <v>40</v>
      </c>
      <c r="I343" s="5" t="s">
        <v>678</v>
      </c>
      <c r="J343" s="4">
        <v>56</v>
      </c>
    </row>
    <row r="344" spans="1:10" x14ac:dyDescent="0.3">
      <c r="A344" s="1" t="s">
        <v>679</v>
      </c>
      <c r="B344" s="1" t="s">
        <v>18</v>
      </c>
      <c r="C344" s="1" t="s">
        <v>96</v>
      </c>
      <c r="D344" s="1" t="s">
        <v>13</v>
      </c>
      <c r="E344" s="4">
        <v>14</v>
      </c>
      <c r="F344" s="4">
        <v>12</v>
      </c>
      <c r="G344" s="1" t="s">
        <v>32</v>
      </c>
      <c r="H344" s="1" t="s">
        <v>46</v>
      </c>
      <c r="I344" s="5" t="s">
        <v>680</v>
      </c>
      <c r="J344" s="4">
        <v>44</v>
      </c>
    </row>
    <row r="345" spans="1:10" x14ac:dyDescent="0.3">
      <c r="A345" s="1" t="s">
        <v>681</v>
      </c>
      <c r="B345" s="1" t="s">
        <v>35</v>
      </c>
      <c r="C345" s="1" t="s">
        <v>36</v>
      </c>
      <c r="D345" s="1" t="s">
        <v>13</v>
      </c>
      <c r="E345" s="4">
        <v>14</v>
      </c>
      <c r="F345" s="4">
        <v>9</v>
      </c>
      <c r="G345" s="1" t="s">
        <v>43</v>
      </c>
      <c r="H345" s="1" t="s">
        <v>46</v>
      </c>
      <c r="I345" s="5" t="s">
        <v>682</v>
      </c>
      <c r="J345" s="4">
        <v>67</v>
      </c>
    </row>
    <row r="346" spans="1:10" x14ac:dyDescent="0.3">
      <c r="A346" s="1" t="s">
        <v>683</v>
      </c>
      <c r="B346" s="1" t="s">
        <v>84</v>
      </c>
      <c r="C346" s="1" t="s">
        <v>55</v>
      </c>
      <c r="D346" s="1" t="s">
        <v>31</v>
      </c>
      <c r="E346" s="4">
        <v>16</v>
      </c>
      <c r="F346" s="4">
        <v>12</v>
      </c>
      <c r="G346" s="1" t="s">
        <v>14</v>
      </c>
      <c r="H346" s="1" t="s">
        <v>76</v>
      </c>
      <c r="I346" s="5" t="s">
        <v>125</v>
      </c>
      <c r="J346" s="4">
        <v>60</v>
      </c>
    </row>
    <row r="347" spans="1:10" x14ac:dyDescent="0.3">
      <c r="A347" s="1" t="s">
        <v>684</v>
      </c>
      <c r="B347" s="1" t="s">
        <v>54</v>
      </c>
      <c r="C347" s="1" t="s">
        <v>24</v>
      </c>
      <c r="D347" s="1" t="s">
        <v>31</v>
      </c>
      <c r="E347" s="4">
        <v>17</v>
      </c>
      <c r="F347" s="4">
        <v>10</v>
      </c>
      <c r="G347" s="1" t="s">
        <v>43</v>
      </c>
      <c r="H347" s="1" t="s">
        <v>46</v>
      </c>
      <c r="I347" s="5" t="s">
        <v>685</v>
      </c>
      <c r="J347" s="4">
        <v>74</v>
      </c>
    </row>
    <row r="348" spans="1:10" x14ac:dyDescent="0.3">
      <c r="A348" s="1" t="s">
        <v>686</v>
      </c>
      <c r="B348" s="1" t="s">
        <v>23</v>
      </c>
      <c r="C348" s="1" t="s">
        <v>96</v>
      </c>
      <c r="D348" s="1" t="s">
        <v>31</v>
      </c>
      <c r="E348" s="4">
        <v>16</v>
      </c>
      <c r="F348" s="4">
        <v>9</v>
      </c>
      <c r="G348" s="1" t="s">
        <v>25</v>
      </c>
      <c r="H348" s="1" t="s">
        <v>20</v>
      </c>
      <c r="I348" s="5" t="s">
        <v>277</v>
      </c>
      <c r="J348" s="4">
        <v>71</v>
      </c>
    </row>
    <row r="349" spans="1:10" x14ac:dyDescent="0.3">
      <c r="A349" s="1" t="s">
        <v>687</v>
      </c>
      <c r="B349" s="1" t="s">
        <v>84</v>
      </c>
      <c r="C349" s="1" t="s">
        <v>19</v>
      </c>
      <c r="D349" s="1" t="s">
        <v>13</v>
      </c>
      <c r="E349" s="4">
        <v>16</v>
      </c>
      <c r="F349" s="4">
        <v>10</v>
      </c>
      <c r="G349" s="1" t="s">
        <v>25</v>
      </c>
      <c r="H349" s="1" t="s">
        <v>46</v>
      </c>
      <c r="I349" s="5" t="s">
        <v>564</v>
      </c>
      <c r="J349" s="4">
        <v>52</v>
      </c>
    </row>
    <row r="350" spans="1:10" x14ac:dyDescent="0.3">
      <c r="A350" s="1" t="s">
        <v>688</v>
      </c>
      <c r="B350" s="1" t="s">
        <v>23</v>
      </c>
      <c r="C350" s="1" t="s">
        <v>96</v>
      </c>
      <c r="D350" s="1" t="s">
        <v>31</v>
      </c>
      <c r="E350" s="4">
        <v>19</v>
      </c>
      <c r="F350" s="4">
        <v>10</v>
      </c>
      <c r="G350" s="1" t="s">
        <v>25</v>
      </c>
      <c r="H350" s="1" t="s">
        <v>40</v>
      </c>
      <c r="I350" s="5" t="s">
        <v>195</v>
      </c>
      <c r="J350" s="4">
        <v>55</v>
      </c>
    </row>
    <row r="351" spans="1:10" x14ac:dyDescent="0.3">
      <c r="A351" s="1" t="s">
        <v>689</v>
      </c>
      <c r="B351" s="1" t="s">
        <v>68</v>
      </c>
      <c r="C351" s="1" t="s">
        <v>96</v>
      </c>
      <c r="D351" s="1" t="s">
        <v>13</v>
      </c>
      <c r="E351" s="4">
        <v>20</v>
      </c>
      <c r="F351" s="4">
        <v>12</v>
      </c>
      <c r="G351" s="1" t="s">
        <v>43</v>
      </c>
      <c r="H351" s="1" t="s">
        <v>20</v>
      </c>
      <c r="I351" s="5" t="s">
        <v>626</v>
      </c>
      <c r="J351" s="4">
        <v>48</v>
      </c>
    </row>
    <row r="352" spans="1:10" x14ac:dyDescent="0.3">
      <c r="A352" s="1" t="s">
        <v>690</v>
      </c>
      <c r="B352" s="1" t="s">
        <v>23</v>
      </c>
      <c r="C352" s="1" t="s">
        <v>85</v>
      </c>
      <c r="D352" s="1" t="s">
        <v>13</v>
      </c>
      <c r="E352" s="4">
        <v>19</v>
      </c>
      <c r="F352" s="4">
        <v>9</v>
      </c>
      <c r="G352" s="1" t="s">
        <v>14</v>
      </c>
      <c r="H352" s="1" t="s">
        <v>76</v>
      </c>
      <c r="I352" s="5" t="s">
        <v>635</v>
      </c>
      <c r="J352" s="4">
        <v>91</v>
      </c>
    </row>
    <row r="353" spans="1:10" x14ac:dyDescent="0.3">
      <c r="A353" s="1" t="s">
        <v>691</v>
      </c>
      <c r="B353" s="1" t="s">
        <v>84</v>
      </c>
      <c r="C353" s="1" t="s">
        <v>55</v>
      </c>
      <c r="D353" s="1" t="s">
        <v>13</v>
      </c>
      <c r="E353" s="4">
        <v>16</v>
      </c>
      <c r="F353" s="4">
        <v>10</v>
      </c>
      <c r="G353" s="1" t="s">
        <v>43</v>
      </c>
      <c r="H353" s="1" t="s">
        <v>46</v>
      </c>
      <c r="I353" s="5" t="s">
        <v>692</v>
      </c>
      <c r="J353" s="4">
        <v>91</v>
      </c>
    </row>
    <row r="354" spans="1:10" x14ac:dyDescent="0.3">
      <c r="A354" s="1" t="s">
        <v>693</v>
      </c>
      <c r="B354" s="1" t="s">
        <v>73</v>
      </c>
      <c r="C354" s="1" t="s">
        <v>58</v>
      </c>
      <c r="D354" s="1" t="s">
        <v>31</v>
      </c>
      <c r="E354" s="4">
        <v>16</v>
      </c>
      <c r="F354" s="4">
        <v>11</v>
      </c>
      <c r="G354" s="1" t="s">
        <v>25</v>
      </c>
      <c r="H354" s="1" t="s">
        <v>37</v>
      </c>
      <c r="I354" s="5" t="s">
        <v>694</v>
      </c>
      <c r="J354" s="4">
        <v>65</v>
      </c>
    </row>
    <row r="355" spans="1:10" x14ac:dyDescent="0.3">
      <c r="A355" s="1" t="s">
        <v>695</v>
      </c>
      <c r="B355" s="1" t="s">
        <v>51</v>
      </c>
      <c r="C355" s="1" t="s">
        <v>24</v>
      </c>
      <c r="D355" s="1" t="s">
        <v>13</v>
      </c>
      <c r="E355" s="4">
        <v>17</v>
      </c>
      <c r="F355" s="4">
        <v>9</v>
      </c>
      <c r="G355" s="1" t="s">
        <v>32</v>
      </c>
      <c r="H355" s="1" t="s">
        <v>15</v>
      </c>
      <c r="I355" s="5" t="s">
        <v>696</v>
      </c>
      <c r="J355" s="4">
        <v>69</v>
      </c>
    </row>
    <row r="356" spans="1:10" x14ac:dyDescent="0.3">
      <c r="A356" s="1" t="s">
        <v>697</v>
      </c>
      <c r="B356" s="1" t="s">
        <v>29</v>
      </c>
      <c r="C356" s="1" t="s">
        <v>30</v>
      </c>
      <c r="D356" s="1" t="s">
        <v>31</v>
      </c>
      <c r="E356" s="4">
        <v>19</v>
      </c>
      <c r="F356" s="4">
        <v>10</v>
      </c>
      <c r="G356" s="1" t="s">
        <v>25</v>
      </c>
      <c r="H356" s="1" t="s">
        <v>61</v>
      </c>
      <c r="I356" s="5" t="s">
        <v>698</v>
      </c>
      <c r="J356" s="4">
        <v>75</v>
      </c>
    </row>
    <row r="357" spans="1:10" x14ac:dyDescent="0.3">
      <c r="A357" s="1" t="s">
        <v>699</v>
      </c>
      <c r="B357" s="1" t="s">
        <v>11</v>
      </c>
      <c r="C357" s="1" t="s">
        <v>30</v>
      </c>
      <c r="D357" s="1" t="s">
        <v>31</v>
      </c>
      <c r="E357" s="4">
        <v>16</v>
      </c>
      <c r="F357" s="4">
        <v>11</v>
      </c>
      <c r="G357" s="1" t="s">
        <v>43</v>
      </c>
      <c r="H357" s="1" t="s">
        <v>40</v>
      </c>
      <c r="I357" s="5" t="s">
        <v>97</v>
      </c>
      <c r="J357" s="4">
        <v>72</v>
      </c>
    </row>
    <row r="358" spans="1:10" x14ac:dyDescent="0.3">
      <c r="A358" s="1" t="s">
        <v>700</v>
      </c>
      <c r="B358" s="1" t="s">
        <v>23</v>
      </c>
      <c r="C358" s="1" t="s">
        <v>55</v>
      </c>
      <c r="D358" s="1" t="s">
        <v>31</v>
      </c>
      <c r="E358" s="4">
        <v>20</v>
      </c>
      <c r="F358" s="4">
        <v>10</v>
      </c>
      <c r="G358" s="1" t="s">
        <v>14</v>
      </c>
      <c r="H358" s="1" t="s">
        <v>15</v>
      </c>
      <c r="I358" s="5" t="s">
        <v>678</v>
      </c>
      <c r="J358" s="4">
        <v>59</v>
      </c>
    </row>
    <row r="359" spans="1:10" x14ac:dyDescent="0.3">
      <c r="A359" s="1" t="s">
        <v>701</v>
      </c>
      <c r="B359" s="1" t="s">
        <v>54</v>
      </c>
      <c r="C359" s="1" t="s">
        <v>30</v>
      </c>
      <c r="D359" s="1" t="s">
        <v>31</v>
      </c>
      <c r="E359" s="4">
        <v>15</v>
      </c>
      <c r="F359" s="4">
        <v>11</v>
      </c>
      <c r="G359" s="1" t="s">
        <v>14</v>
      </c>
      <c r="H359" s="1" t="s">
        <v>76</v>
      </c>
      <c r="I359" s="5" t="s">
        <v>702</v>
      </c>
      <c r="J359" s="4">
        <v>42</v>
      </c>
    </row>
    <row r="360" spans="1:10" x14ac:dyDescent="0.3">
      <c r="A360" s="1" t="s">
        <v>703</v>
      </c>
      <c r="B360" s="1" t="s">
        <v>73</v>
      </c>
      <c r="C360" s="1" t="s">
        <v>30</v>
      </c>
      <c r="D360" s="1" t="s">
        <v>31</v>
      </c>
      <c r="E360" s="4">
        <v>17</v>
      </c>
      <c r="F360" s="4">
        <v>12</v>
      </c>
      <c r="G360" s="1" t="s">
        <v>32</v>
      </c>
      <c r="H360" s="1" t="s">
        <v>40</v>
      </c>
      <c r="I360" s="5" t="s">
        <v>704</v>
      </c>
      <c r="J360" s="4">
        <v>93</v>
      </c>
    </row>
    <row r="361" spans="1:10" x14ac:dyDescent="0.3">
      <c r="A361" s="1" t="s">
        <v>705</v>
      </c>
      <c r="B361" s="1" t="s">
        <v>84</v>
      </c>
      <c r="C361" s="1" t="s">
        <v>55</v>
      </c>
      <c r="D361" s="1" t="s">
        <v>31</v>
      </c>
      <c r="E361" s="4">
        <v>14</v>
      </c>
      <c r="F361" s="4">
        <v>12</v>
      </c>
      <c r="G361" s="1" t="s">
        <v>43</v>
      </c>
      <c r="H361" s="1" t="s">
        <v>76</v>
      </c>
      <c r="I361" s="5" t="s">
        <v>706</v>
      </c>
      <c r="J361" s="4">
        <v>63</v>
      </c>
    </row>
    <row r="362" spans="1:10" x14ac:dyDescent="0.3">
      <c r="A362" s="1" t="s">
        <v>707</v>
      </c>
      <c r="B362" s="1" t="s">
        <v>68</v>
      </c>
      <c r="C362" s="1" t="s">
        <v>96</v>
      </c>
      <c r="D362" s="1" t="s">
        <v>31</v>
      </c>
      <c r="E362" s="4">
        <v>20</v>
      </c>
      <c r="F362" s="4">
        <v>12</v>
      </c>
      <c r="G362" s="1" t="s">
        <v>43</v>
      </c>
      <c r="H362" s="1" t="s">
        <v>37</v>
      </c>
      <c r="I362" s="5" t="s">
        <v>708</v>
      </c>
      <c r="J362" s="4">
        <v>35</v>
      </c>
    </row>
    <row r="363" spans="1:10" x14ac:dyDescent="0.3">
      <c r="A363" s="1" t="s">
        <v>709</v>
      </c>
      <c r="B363" s="1" t="s">
        <v>54</v>
      </c>
      <c r="C363" s="1" t="s">
        <v>19</v>
      </c>
      <c r="D363" s="1" t="s">
        <v>31</v>
      </c>
      <c r="E363" s="4">
        <v>18</v>
      </c>
      <c r="F363" s="4">
        <v>10</v>
      </c>
      <c r="G363" s="1" t="s">
        <v>43</v>
      </c>
      <c r="H363" s="1" t="s">
        <v>37</v>
      </c>
      <c r="I363" s="5" t="s">
        <v>710</v>
      </c>
      <c r="J363" s="4">
        <v>89</v>
      </c>
    </row>
    <row r="364" spans="1:10" x14ac:dyDescent="0.3">
      <c r="A364" s="1" t="s">
        <v>711</v>
      </c>
      <c r="B364" s="1" t="s">
        <v>29</v>
      </c>
      <c r="C364" s="1" t="s">
        <v>79</v>
      </c>
      <c r="D364" s="1" t="s">
        <v>13</v>
      </c>
      <c r="E364" s="4">
        <v>14</v>
      </c>
      <c r="F364" s="4">
        <v>9</v>
      </c>
      <c r="G364" s="1" t="s">
        <v>32</v>
      </c>
      <c r="H364" s="1" t="s">
        <v>15</v>
      </c>
      <c r="I364" s="5" t="s">
        <v>712</v>
      </c>
      <c r="J364" s="4">
        <v>72</v>
      </c>
    </row>
    <row r="365" spans="1:10" x14ac:dyDescent="0.3">
      <c r="A365" s="1" t="s">
        <v>713</v>
      </c>
      <c r="B365" s="1" t="s">
        <v>29</v>
      </c>
      <c r="C365" s="1" t="s">
        <v>24</v>
      </c>
      <c r="D365" s="1" t="s">
        <v>31</v>
      </c>
      <c r="E365" s="4">
        <v>16</v>
      </c>
      <c r="F365" s="4">
        <v>12</v>
      </c>
      <c r="G365" s="1" t="s">
        <v>32</v>
      </c>
      <c r="H365" s="1" t="s">
        <v>26</v>
      </c>
      <c r="I365" s="5" t="s">
        <v>714</v>
      </c>
      <c r="J365" s="4">
        <v>57</v>
      </c>
    </row>
    <row r="366" spans="1:10" x14ac:dyDescent="0.3">
      <c r="A366" s="1" t="s">
        <v>715</v>
      </c>
      <c r="B366" s="1" t="s">
        <v>51</v>
      </c>
      <c r="C366" s="1" t="s">
        <v>79</v>
      </c>
      <c r="D366" s="1" t="s">
        <v>13</v>
      </c>
      <c r="E366" s="4">
        <v>19</v>
      </c>
      <c r="F366" s="4">
        <v>10</v>
      </c>
      <c r="G366" s="1" t="s">
        <v>32</v>
      </c>
      <c r="H366" s="1" t="s">
        <v>40</v>
      </c>
      <c r="I366" s="5" t="s">
        <v>702</v>
      </c>
      <c r="J366" s="4">
        <v>84</v>
      </c>
    </row>
    <row r="367" spans="1:10" x14ac:dyDescent="0.3">
      <c r="A367" s="1" t="s">
        <v>716</v>
      </c>
      <c r="B367" s="1" t="s">
        <v>23</v>
      </c>
      <c r="C367" s="1" t="s">
        <v>58</v>
      </c>
      <c r="D367" s="1" t="s">
        <v>31</v>
      </c>
      <c r="E367" s="4">
        <v>17</v>
      </c>
      <c r="F367" s="4">
        <v>9</v>
      </c>
      <c r="G367" s="1" t="s">
        <v>25</v>
      </c>
      <c r="H367" s="1" t="s">
        <v>15</v>
      </c>
      <c r="I367" s="5" t="s">
        <v>717</v>
      </c>
      <c r="J367" s="4">
        <v>51</v>
      </c>
    </row>
    <row r="368" spans="1:10" x14ac:dyDescent="0.3">
      <c r="A368" s="1" t="s">
        <v>718</v>
      </c>
      <c r="B368" s="1" t="s">
        <v>84</v>
      </c>
      <c r="C368" s="1" t="s">
        <v>12</v>
      </c>
      <c r="D368" s="1" t="s">
        <v>31</v>
      </c>
      <c r="E368" s="4">
        <v>20</v>
      </c>
      <c r="F368" s="4">
        <v>10</v>
      </c>
      <c r="G368" s="1" t="s">
        <v>25</v>
      </c>
      <c r="H368" s="1" t="s">
        <v>61</v>
      </c>
      <c r="I368" s="5" t="s">
        <v>639</v>
      </c>
      <c r="J368" s="4">
        <v>35</v>
      </c>
    </row>
    <row r="369" spans="1:10" x14ac:dyDescent="0.3">
      <c r="A369" s="1" t="s">
        <v>719</v>
      </c>
      <c r="B369" s="1" t="s">
        <v>18</v>
      </c>
      <c r="C369" s="1" t="s">
        <v>24</v>
      </c>
      <c r="D369" s="1" t="s">
        <v>31</v>
      </c>
      <c r="E369" s="4">
        <v>18</v>
      </c>
      <c r="F369" s="4">
        <v>11</v>
      </c>
      <c r="G369" s="1" t="s">
        <v>43</v>
      </c>
      <c r="H369" s="1" t="s">
        <v>40</v>
      </c>
      <c r="I369" s="5" t="s">
        <v>720</v>
      </c>
      <c r="J369" s="4">
        <v>83</v>
      </c>
    </row>
    <row r="370" spans="1:10" x14ac:dyDescent="0.3">
      <c r="A370" s="1" t="s">
        <v>721</v>
      </c>
      <c r="B370" s="1" t="s">
        <v>23</v>
      </c>
      <c r="C370" s="1" t="s">
        <v>19</v>
      </c>
      <c r="D370" s="1" t="s">
        <v>31</v>
      </c>
      <c r="E370" s="4">
        <v>18</v>
      </c>
      <c r="F370" s="4">
        <v>10</v>
      </c>
      <c r="G370" s="1" t="s">
        <v>14</v>
      </c>
      <c r="H370" s="1" t="s">
        <v>26</v>
      </c>
      <c r="I370" s="5" t="s">
        <v>722</v>
      </c>
      <c r="J370" s="4">
        <v>43</v>
      </c>
    </row>
    <row r="371" spans="1:10" x14ac:dyDescent="0.3">
      <c r="A371" s="1" t="s">
        <v>723</v>
      </c>
      <c r="B371" s="1" t="s">
        <v>68</v>
      </c>
      <c r="C371" s="1" t="s">
        <v>79</v>
      </c>
      <c r="D371" s="1" t="s">
        <v>31</v>
      </c>
      <c r="E371" s="4">
        <v>19</v>
      </c>
      <c r="F371" s="4">
        <v>12</v>
      </c>
      <c r="G371" s="1" t="s">
        <v>25</v>
      </c>
      <c r="H371" s="1" t="s">
        <v>40</v>
      </c>
      <c r="I371" s="5" t="s">
        <v>724</v>
      </c>
      <c r="J371" s="4">
        <v>65</v>
      </c>
    </row>
    <row r="372" spans="1:10" x14ac:dyDescent="0.3">
      <c r="A372" s="1" t="s">
        <v>725</v>
      </c>
      <c r="B372" s="1" t="s">
        <v>11</v>
      </c>
      <c r="C372" s="1" t="s">
        <v>55</v>
      </c>
      <c r="D372" s="1" t="s">
        <v>31</v>
      </c>
      <c r="E372" s="4">
        <v>15</v>
      </c>
      <c r="F372" s="4">
        <v>9</v>
      </c>
      <c r="G372" s="1" t="s">
        <v>25</v>
      </c>
      <c r="H372" s="1" t="s">
        <v>37</v>
      </c>
      <c r="I372" s="5" t="s">
        <v>726</v>
      </c>
      <c r="J372" s="4">
        <v>72</v>
      </c>
    </row>
    <row r="373" spans="1:10" x14ac:dyDescent="0.3">
      <c r="A373" s="1" t="s">
        <v>727</v>
      </c>
      <c r="B373" s="1" t="s">
        <v>68</v>
      </c>
      <c r="C373" s="1" t="s">
        <v>12</v>
      </c>
      <c r="D373" s="1" t="s">
        <v>13</v>
      </c>
      <c r="E373" s="4">
        <v>14</v>
      </c>
      <c r="F373" s="4">
        <v>9</v>
      </c>
      <c r="G373" s="1" t="s">
        <v>14</v>
      </c>
      <c r="H373" s="1" t="s">
        <v>20</v>
      </c>
      <c r="I373" s="5" t="s">
        <v>728</v>
      </c>
      <c r="J373" s="4">
        <v>68</v>
      </c>
    </row>
    <row r="374" spans="1:10" x14ac:dyDescent="0.3">
      <c r="A374" s="1" t="s">
        <v>729</v>
      </c>
      <c r="B374" s="1" t="s">
        <v>35</v>
      </c>
      <c r="C374" s="1" t="s">
        <v>79</v>
      </c>
      <c r="D374" s="1" t="s">
        <v>13</v>
      </c>
      <c r="E374" s="4">
        <v>15</v>
      </c>
      <c r="F374" s="4">
        <v>9</v>
      </c>
      <c r="G374" s="1" t="s">
        <v>43</v>
      </c>
      <c r="H374" s="1" t="s">
        <v>76</v>
      </c>
      <c r="I374" s="5" t="s">
        <v>730</v>
      </c>
      <c r="J374" s="4">
        <v>39</v>
      </c>
    </row>
    <row r="375" spans="1:10" x14ac:dyDescent="0.3">
      <c r="A375" s="1" t="s">
        <v>731</v>
      </c>
      <c r="B375" s="1" t="s">
        <v>84</v>
      </c>
      <c r="C375" s="1" t="s">
        <v>85</v>
      </c>
      <c r="D375" s="1" t="s">
        <v>31</v>
      </c>
      <c r="E375" s="4">
        <v>17</v>
      </c>
      <c r="F375" s="4">
        <v>9</v>
      </c>
      <c r="G375" s="1" t="s">
        <v>43</v>
      </c>
      <c r="H375" s="1" t="s">
        <v>76</v>
      </c>
      <c r="I375" s="5" t="s">
        <v>732</v>
      </c>
      <c r="J375" s="4">
        <v>97</v>
      </c>
    </row>
    <row r="376" spans="1:10" x14ac:dyDescent="0.3">
      <c r="A376" s="1" t="s">
        <v>733</v>
      </c>
      <c r="B376" s="1" t="s">
        <v>84</v>
      </c>
      <c r="C376" s="1" t="s">
        <v>85</v>
      </c>
      <c r="D376" s="1" t="s">
        <v>31</v>
      </c>
      <c r="E376" s="4">
        <v>17</v>
      </c>
      <c r="F376" s="4">
        <v>12</v>
      </c>
      <c r="G376" s="1" t="s">
        <v>43</v>
      </c>
      <c r="H376" s="1" t="s">
        <v>15</v>
      </c>
      <c r="I376" s="5" t="s">
        <v>734</v>
      </c>
      <c r="J376" s="4">
        <v>77</v>
      </c>
    </row>
    <row r="377" spans="1:10" x14ac:dyDescent="0.3">
      <c r="A377" s="1" t="s">
        <v>735</v>
      </c>
      <c r="B377" s="1" t="s">
        <v>68</v>
      </c>
      <c r="C377" s="1" t="s">
        <v>24</v>
      </c>
      <c r="D377" s="1" t="s">
        <v>31</v>
      </c>
      <c r="E377" s="4">
        <v>16</v>
      </c>
      <c r="F377" s="4">
        <v>12</v>
      </c>
      <c r="G377" s="1" t="s">
        <v>43</v>
      </c>
      <c r="H377" s="1" t="s">
        <v>26</v>
      </c>
      <c r="I377" s="5" t="s">
        <v>736</v>
      </c>
      <c r="J377" s="4">
        <v>85</v>
      </c>
    </row>
    <row r="378" spans="1:10" x14ac:dyDescent="0.3">
      <c r="A378" s="1" t="s">
        <v>737</v>
      </c>
      <c r="B378" s="1" t="s">
        <v>54</v>
      </c>
      <c r="C378" s="1" t="s">
        <v>96</v>
      </c>
      <c r="D378" s="1" t="s">
        <v>13</v>
      </c>
      <c r="E378" s="4">
        <v>19</v>
      </c>
      <c r="F378" s="4">
        <v>12</v>
      </c>
      <c r="G378" s="1" t="s">
        <v>25</v>
      </c>
      <c r="H378" s="1" t="s">
        <v>20</v>
      </c>
      <c r="I378" s="5" t="s">
        <v>738</v>
      </c>
      <c r="J378" s="4">
        <v>85</v>
      </c>
    </row>
    <row r="379" spans="1:10" x14ac:dyDescent="0.3">
      <c r="A379" s="1" t="s">
        <v>739</v>
      </c>
      <c r="B379" s="1" t="s">
        <v>18</v>
      </c>
      <c r="C379" s="1" t="s">
        <v>79</v>
      </c>
      <c r="D379" s="1" t="s">
        <v>31</v>
      </c>
      <c r="E379" s="4">
        <v>14</v>
      </c>
      <c r="F379" s="4">
        <v>10</v>
      </c>
      <c r="G379" s="1" t="s">
        <v>32</v>
      </c>
      <c r="H379" s="1" t="s">
        <v>20</v>
      </c>
      <c r="I379" s="5" t="s">
        <v>740</v>
      </c>
      <c r="J379" s="4">
        <v>99</v>
      </c>
    </row>
    <row r="380" spans="1:10" x14ac:dyDescent="0.3">
      <c r="A380" s="1" t="s">
        <v>741</v>
      </c>
      <c r="B380" s="1" t="s">
        <v>54</v>
      </c>
      <c r="C380" s="1" t="s">
        <v>24</v>
      </c>
      <c r="D380" s="1" t="s">
        <v>13</v>
      </c>
      <c r="E380" s="4">
        <v>14</v>
      </c>
      <c r="F380" s="4">
        <v>9</v>
      </c>
      <c r="G380" s="1" t="s">
        <v>14</v>
      </c>
      <c r="H380" s="1" t="s">
        <v>76</v>
      </c>
      <c r="I380" s="5" t="s">
        <v>742</v>
      </c>
      <c r="J380" s="4">
        <v>55</v>
      </c>
    </row>
    <row r="381" spans="1:10" x14ac:dyDescent="0.3">
      <c r="A381" s="1" t="s">
        <v>743</v>
      </c>
      <c r="B381" s="1" t="s">
        <v>84</v>
      </c>
      <c r="C381" s="1" t="s">
        <v>19</v>
      </c>
      <c r="D381" s="1" t="s">
        <v>13</v>
      </c>
      <c r="E381" s="4">
        <v>15</v>
      </c>
      <c r="F381" s="4">
        <v>10</v>
      </c>
      <c r="G381" s="1" t="s">
        <v>43</v>
      </c>
      <c r="H381" s="1" t="s">
        <v>26</v>
      </c>
      <c r="I381" s="5" t="s">
        <v>744</v>
      </c>
      <c r="J381" s="4">
        <v>60</v>
      </c>
    </row>
    <row r="382" spans="1:10" x14ac:dyDescent="0.3">
      <c r="A382" s="1" t="s">
        <v>745</v>
      </c>
      <c r="B382" s="1" t="s">
        <v>73</v>
      </c>
      <c r="C382" s="1" t="s">
        <v>36</v>
      </c>
      <c r="D382" s="1" t="s">
        <v>13</v>
      </c>
      <c r="E382" s="4">
        <v>16</v>
      </c>
      <c r="F382" s="4">
        <v>9</v>
      </c>
      <c r="G382" s="1" t="s">
        <v>32</v>
      </c>
      <c r="H382" s="1" t="s">
        <v>76</v>
      </c>
      <c r="I382" s="5" t="s">
        <v>746</v>
      </c>
      <c r="J382" s="4">
        <v>38</v>
      </c>
    </row>
    <row r="383" spans="1:10" x14ac:dyDescent="0.3">
      <c r="A383" s="1" t="s">
        <v>747</v>
      </c>
      <c r="B383" s="1" t="s">
        <v>51</v>
      </c>
      <c r="C383" s="1" t="s">
        <v>96</v>
      </c>
      <c r="D383" s="1" t="s">
        <v>13</v>
      </c>
      <c r="E383" s="4">
        <v>17</v>
      </c>
      <c r="F383" s="4">
        <v>12</v>
      </c>
      <c r="G383" s="1" t="s">
        <v>14</v>
      </c>
      <c r="H383" s="1" t="s">
        <v>26</v>
      </c>
      <c r="I383" s="5" t="s">
        <v>748</v>
      </c>
      <c r="J383" s="4">
        <v>67</v>
      </c>
    </row>
    <row r="384" spans="1:10" x14ac:dyDescent="0.3">
      <c r="A384" s="1" t="s">
        <v>749</v>
      </c>
      <c r="B384" s="1" t="s">
        <v>84</v>
      </c>
      <c r="C384" s="1" t="s">
        <v>30</v>
      </c>
      <c r="D384" s="1" t="s">
        <v>13</v>
      </c>
      <c r="E384" s="4">
        <v>15</v>
      </c>
      <c r="F384" s="4">
        <v>12</v>
      </c>
      <c r="G384" s="1" t="s">
        <v>25</v>
      </c>
      <c r="H384" s="1" t="s">
        <v>61</v>
      </c>
      <c r="I384" s="5" t="s">
        <v>750</v>
      </c>
      <c r="J384" s="4">
        <v>95</v>
      </c>
    </row>
    <row r="385" spans="1:10" x14ac:dyDescent="0.3">
      <c r="A385" s="1" t="s">
        <v>751</v>
      </c>
      <c r="B385" s="1" t="s">
        <v>73</v>
      </c>
      <c r="C385" s="1" t="s">
        <v>79</v>
      </c>
      <c r="D385" s="1" t="s">
        <v>31</v>
      </c>
      <c r="E385" s="4">
        <v>20</v>
      </c>
      <c r="F385" s="4">
        <v>12</v>
      </c>
      <c r="G385" s="1" t="s">
        <v>25</v>
      </c>
      <c r="H385" s="1" t="s">
        <v>76</v>
      </c>
      <c r="I385" s="5" t="s">
        <v>752</v>
      </c>
      <c r="J385" s="4">
        <v>91</v>
      </c>
    </row>
    <row r="386" spans="1:10" x14ac:dyDescent="0.3">
      <c r="A386" s="1" t="s">
        <v>753</v>
      </c>
      <c r="B386" s="1" t="s">
        <v>73</v>
      </c>
      <c r="C386" s="1" t="s">
        <v>24</v>
      </c>
      <c r="D386" s="1" t="s">
        <v>13</v>
      </c>
      <c r="E386" s="4">
        <v>18</v>
      </c>
      <c r="F386" s="4">
        <v>11</v>
      </c>
      <c r="G386" s="1" t="s">
        <v>32</v>
      </c>
      <c r="H386" s="1" t="s">
        <v>40</v>
      </c>
      <c r="I386" s="5" t="s">
        <v>313</v>
      </c>
      <c r="J386" s="4">
        <v>58</v>
      </c>
    </row>
    <row r="387" spans="1:10" x14ac:dyDescent="0.3">
      <c r="A387" s="1" t="s">
        <v>754</v>
      </c>
      <c r="B387" s="1" t="s">
        <v>54</v>
      </c>
      <c r="C387" s="1" t="s">
        <v>12</v>
      </c>
      <c r="D387" s="1" t="s">
        <v>13</v>
      </c>
      <c r="E387" s="4">
        <v>14</v>
      </c>
      <c r="F387" s="4">
        <v>12</v>
      </c>
      <c r="G387" s="1" t="s">
        <v>32</v>
      </c>
      <c r="H387" s="1" t="s">
        <v>20</v>
      </c>
      <c r="I387" s="5" t="s">
        <v>755</v>
      </c>
      <c r="J387" s="4">
        <v>98</v>
      </c>
    </row>
    <row r="388" spans="1:10" x14ac:dyDescent="0.3">
      <c r="A388" s="1" t="s">
        <v>756</v>
      </c>
      <c r="B388" s="1" t="s">
        <v>11</v>
      </c>
      <c r="C388" s="1" t="s">
        <v>30</v>
      </c>
      <c r="D388" s="1" t="s">
        <v>13</v>
      </c>
      <c r="E388" s="4">
        <v>15</v>
      </c>
      <c r="F388" s="4">
        <v>11</v>
      </c>
      <c r="G388" s="1" t="s">
        <v>14</v>
      </c>
      <c r="H388" s="1" t="s">
        <v>76</v>
      </c>
      <c r="I388" s="5" t="s">
        <v>757</v>
      </c>
      <c r="J388" s="4">
        <v>39</v>
      </c>
    </row>
    <row r="389" spans="1:10" x14ac:dyDescent="0.3">
      <c r="A389" s="1" t="s">
        <v>758</v>
      </c>
      <c r="B389" s="1" t="s">
        <v>73</v>
      </c>
      <c r="C389" s="1" t="s">
        <v>12</v>
      </c>
      <c r="D389" s="1" t="s">
        <v>31</v>
      </c>
      <c r="E389" s="4">
        <v>16</v>
      </c>
      <c r="F389" s="4">
        <v>11</v>
      </c>
      <c r="G389" s="1" t="s">
        <v>43</v>
      </c>
      <c r="H389" s="1" t="s">
        <v>40</v>
      </c>
      <c r="I389" s="5" t="s">
        <v>759</v>
      </c>
      <c r="J389" s="4">
        <v>70</v>
      </c>
    </row>
    <row r="390" spans="1:10" x14ac:dyDescent="0.3">
      <c r="A390" s="1" t="s">
        <v>760</v>
      </c>
      <c r="B390" s="1" t="s">
        <v>84</v>
      </c>
      <c r="C390" s="1" t="s">
        <v>96</v>
      </c>
      <c r="D390" s="1" t="s">
        <v>31</v>
      </c>
      <c r="E390" s="4">
        <v>16</v>
      </c>
      <c r="F390" s="4">
        <v>11</v>
      </c>
      <c r="G390" s="1" t="s">
        <v>32</v>
      </c>
      <c r="H390" s="1" t="s">
        <v>76</v>
      </c>
      <c r="I390" s="5" t="s">
        <v>761</v>
      </c>
      <c r="J390" s="4">
        <v>83</v>
      </c>
    </row>
    <row r="391" spans="1:10" x14ac:dyDescent="0.3">
      <c r="A391" s="1" t="s">
        <v>762</v>
      </c>
      <c r="B391" s="1" t="s">
        <v>68</v>
      </c>
      <c r="C391" s="1" t="s">
        <v>85</v>
      </c>
      <c r="D391" s="1" t="s">
        <v>31</v>
      </c>
      <c r="E391" s="4">
        <v>20</v>
      </c>
      <c r="F391" s="4">
        <v>12</v>
      </c>
      <c r="G391" s="1" t="s">
        <v>43</v>
      </c>
      <c r="H391" s="1" t="s">
        <v>20</v>
      </c>
      <c r="I391" s="5" t="s">
        <v>763</v>
      </c>
      <c r="J391" s="4">
        <v>82</v>
      </c>
    </row>
    <row r="392" spans="1:10" x14ac:dyDescent="0.3">
      <c r="A392" s="1" t="s">
        <v>764</v>
      </c>
      <c r="B392" s="1" t="s">
        <v>18</v>
      </c>
      <c r="C392" s="1" t="s">
        <v>55</v>
      </c>
      <c r="D392" s="1" t="s">
        <v>13</v>
      </c>
      <c r="E392" s="4">
        <v>16</v>
      </c>
      <c r="F392" s="4">
        <v>12</v>
      </c>
      <c r="G392" s="1" t="s">
        <v>14</v>
      </c>
      <c r="H392" s="1" t="s">
        <v>40</v>
      </c>
      <c r="I392" s="5" t="s">
        <v>765</v>
      </c>
      <c r="J392" s="4">
        <v>61</v>
      </c>
    </row>
    <row r="393" spans="1:10" x14ac:dyDescent="0.3">
      <c r="A393" s="1" t="s">
        <v>766</v>
      </c>
      <c r="B393" s="1" t="s">
        <v>35</v>
      </c>
      <c r="C393" s="1" t="s">
        <v>58</v>
      </c>
      <c r="D393" s="1" t="s">
        <v>13</v>
      </c>
      <c r="E393" s="4">
        <v>20</v>
      </c>
      <c r="F393" s="4">
        <v>11</v>
      </c>
      <c r="G393" s="1" t="s">
        <v>32</v>
      </c>
      <c r="H393" s="1" t="s">
        <v>46</v>
      </c>
      <c r="I393" s="5" t="s">
        <v>767</v>
      </c>
      <c r="J393" s="4">
        <v>54</v>
      </c>
    </row>
    <row r="394" spans="1:10" x14ac:dyDescent="0.3">
      <c r="A394" s="1" t="s">
        <v>768</v>
      </c>
      <c r="B394" s="1" t="s">
        <v>23</v>
      </c>
      <c r="C394" s="1" t="s">
        <v>24</v>
      </c>
      <c r="D394" s="1" t="s">
        <v>13</v>
      </c>
      <c r="E394" s="4">
        <v>17</v>
      </c>
      <c r="F394" s="4">
        <v>11</v>
      </c>
      <c r="G394" s="1" t="s">
        <v>25</v>
      </c>
      <c r="H394" s="1" t="s">
        <v>40</v>
      </c>
      <c r="I394" s="5" t="s">
        <v>258</v>
      </c>
      <c r="J394" s="4">
        <v>61</v>
      </c>
    </row>
    <row r="395" spans="1:10" x14ac:dyDescent="0.3">
      <c r="A395" s="1" t="s">
        <v>769</v>
      </c>
      <c r="B395" s="1" t="s">
        <v>35</v>
      </c>
      <c r="C395" s="1" t="s">
        <v>30</v>
      </c>
      <c r="D395" s="1" t="s">
        <v>13</v>
      </c>
      <c r="E395" s="4">
        <v>16</v>
      </c>
      <c r="F395" s="4">
        <v>11</v>
      </c>
      <c r="G395" s="1" t="s">
        <v>32</v>
      </c>
      <c r="H395" s="1" t="s">
        <v>46</v>
      </c>
      <c r="I395" s="5" t="s">
        <v>770</v>
      </c>
      <c r="J395" s="4">
        <v>85</v>
      </c>
    </row>
    <row r="396" spans="1:10" x14ac:dyDescent="0.3">
      <c r="A396" s="1" t="s">
        <v>771</v>
      </c>
      <c r="B396" s="1" t="s">
        <v>23</v>
      </c>
      <c r="C396" s="1" t="s">
        <v>24</v>
      </c>
      <c r="D396" s="1" t="s">
        <v>31</v>
      </c>
      <c r="E396" s="4">
        <v>18</v>
      </c>
      <c r="F396" s="4">
        <v>11</v>
      </c>
      <c r="G396" s="1" t="s">
        <v>25</v>
      </c>
      <c r="H396" s="1" t="s">
        <v>46</v>
      </c>
      <c r="I396" s="5" t="s">
        <v>772</v>
      </c>
      <c r="J396" s="4">
        <v>89</v>
      </c>
    </row>
    <row r="397" spans="1:10" x14ac:dyDescent="0.3">
      <c r="A397" s="1" t="s">
        <v>773</v>
      </c>
      <c r="B397" s="1" t="s">
        <v>68</v>
      </c>
      <c r="C397" s="1" t="s">
        <v>19</v>
      </c>
      <c r="D397" s="1" t="s">
        <v>13</v>
      </c>
      <c r="E397" s="4">
        <v>14</v>
      </c>
      <c r="F397" s="4">
        <v>11</v>
      </c>
      <c r="G397" s="1" t="s">
        <v>14</v>
      </c>
      <c r="H397" s="1" t="s">
        <v>20</v>
      </c>
      <c r="I397" s="5" t="s">
        <v>774</v>
      </c>
      <c r="J397" s="4">
        <v>72</v>
      </c>
    </row>
    <row r="398" spans="1:10" x14ac:dyDescent="0.3">
      <c r="A398" s="1" t="s">
        <v>775</v>
      </c>
      <c r="B398" s="1" t="s">
        <v>29</v>
      </c>
      <c r="C398" s="1" t="s">
        <v>85</v>
      </c>
      <c r="D398" s="1" t="s">
        <v>31</v>
      </c>
      <c r="E398" s="4">
        <v>20</v>
      </c>
      <c r="F398" s="4">
        <v>10</v>
      </c>
      <c r="G398" s="1" t="s">
        <v>14</v>
      </c>
      <c r="H398" s="1" t="s">
        <v>46</v>
      </c>
      <c r="I398" s="5" t="s">
        <v>366</v>
      </c>
      <c r="J398" s="4">
        <v>100</v>
      </c>
    </row>
    <row r="399" spans="1:10" x14ac:dyDescent="0.3">
      <c r="A399" s="1" t="s">
        <v>776</v>
      </c>
      <c r="B399" s="1" t="s">
        <v>11</v>
      </c>
      <c r="C399" s="1" t="s">
        <v>12</v>
      </c>
      <c r="D399" s="1" t="s">
        <v>31</v>
      </c>
      <c r="E399" s="4">
        <v>20</v>
      </c>
      <c r="F399" s="4">
        <v>9</v>
      </c>
      <c r="G399" s="1" t="s">
        <v>14</v>
      </c>
      <c r="H399" s="1" t="s">
        <v>76</v>
      </c>
      <c r="I399" s="5" t="s">
        <v>777</v>
      </c>
      <c r="J399" s="4">
        <v>84</v>
      </c>
    </row>
    <row r="400" spans="1:10" x14ac:dyDescent="0.3">
      <c r="A400" s="1" t="s">
        <v>778</v>
      </c>
      <c r="B400" s="1" t="s">
        <v>73</v>
      </c>
      <c r="C400" s="1" t="s">
        <v>19</v>
      </c>
      <c r="D400" s="1" t="s">
        <v>13</v>
      </c>
      <c r="E400" s="4">
        <v>17</v>
      </c>
      <c r="F400" s="4">
        <v>12</v>
      </c>
      <c r="G400" s="1" t="s">
        <v>14</v>
      </c>
      <c r="H400" s="1" t="s">
        <v>37</v>
      </c>
      <c r="I400" s="5" t="s">
        <v>779</v>
      </c>
      <c r="J400" s="4">
        <v>76</v>
      </c>
    </row>
    <row r="401" spans="1:10" x14ac:dyDescent="0.3">
      <c r="A401" s="1" t="s">
        <v>780</v>
      </c>
      <c r="B401" s="1" t="s">
        <v>35</v>
      </c>
      <c r="C401" s="1" t="s">
        <v>36</v>
      </c>
      <c r="D401" s="1" t="s">
        <v>31</v>
      </c>
      <c r="E401" s="4">
        <v>14</v>
      </c>
      <c r="F401" s="4">
        <v>9</v>
      </c>
      <c r="G401" s="1" t="s">
        <v>25</v>
      </c>
      <c r="H401" s="1" t="s">
        <v>40</v>
      </c>
      <c r="I401" s="5" t="s">
        <v>781</v>
      </c>
      <c r="J401" s="4">
        <v>36</v>
      </c>
    </row>
    <row r="402" spans="1:10" x14ac:dyDescent="0.3">
      <c r="A402" s="1" t="s">
        <v>782</v>
      </c>
      <c r="B402" s="1" t="s">
        <v>84</v>
      </c>
      <c r="C402" s="1" t="s">
        <v>12</v>
      </c>
      <c r="D402" s="1" t="s">
        <v>31</v>
      </c>
      <c r="E402" s="4">
        <v>14</v>
      </c>
      <c r="F402" s="4">
        <v>11</v>
      </c>
      <c r="G402" s="1" t="s">
        <v>14</v>
      </c>
      <c r="H402" s="1" t="s">
        <v>37</v>
      </c>
      <c r="I402" s="5" t="s">
        <v>252</v>
      </c>
      <c r="J402" s="4">
        <v>95</v>
      </c>
    </row>
    <row r="403" spans="1:10" x14ac:dyDescent="0.3">
      <c r="A403" s="1" t="s">
        <v>783</v>
      </c>
      <c r="B403" s="1" t="s">
        <v>54</v>
      </c>
      <c r="C403" s="1" t="s">
        <v>79</v>
      </c>
      <c r="D403" s="1" t="s">
        <v>31</v>
      </c>
      <c r="E403" s="4">
        <v>15</v>
      </c>
      <c r="F403" s="4">
        <v>11</v>
      </c>
      <c r="G403" s="1" t="s">
        <v>25</v>
      </c>
      <c r="H403" s="1" t="s">
        <v>61</v>
      </c>
      <c r="I403" s="5" t="s">
        <v>628</v>
      </c>
      <c r="J403" s="4">
        <v>39</v>
      </c>
    </row>
    <row r="404" spans="1:10" x14ac:dyDescent="0.3">
      <c r="A404" s="1" t="s">
        <v>784</v>
      </c>
      <c r="B404" s="1" t="s">
        <v>84</v>
      </c>
      <c r="C404" s="1" t="s">
        <v>12</v>
      </c>
      <c r="D404" s="1" t="s">
        <v>13</v>
      </c>
      <c r="E404" s="4">
        <v>17</v>
      </c>
      <c r="F404" s="4">
        <v>9</v>
      </c>
      <c r="G404" s="1" t="s">
        <v>43</v>
      </c>
      <c r="H404" s="1" t="s">
        <v>76</v>
      </c>
      <c r="I404" s="5" t="s">
        <v>685</v>
      </c>
      <c r="J404" s="4">
        <v>89</v>
      </c>
    </row>
    <row r="405" spans="1:10" x14ac:dyDescent="0.3">
      <c r="A405" s="1" t="s">
        <v>785</v>
      </c>
      <c r="B405" s="1" t="s">
        <v>35</v>
      </c>
      <c r="C405" s="1" t="s">
        <v>58</v>
      </c>
      <c r="D405" s="1" t="s">
        <v>13</v>
      </c>
      <c r="E405" s="4">
        <v>18</v>
      </c>
      <c r="F405" s="4">
        <v>12</v>
      </c>
      <c r="G405" s="1" t="s">
        <v>43</v>
      </c>
      <c r="H405" s="1" t="s">
        <v>20</v>
      </c>
      <c r="I405" s="5" t="s">
        <v>786</v>
      </c>
      <c r="J405" s="4">
        <v>93</v>
      </c>
    </row>
    <row r="406" spans="1:10" x14ac:dyDescent="0.3">
      <c r="A406" s="1" t="s">
        <v>787</v>
      </c>
      <c r="B406" s="1" t="s">
        <v>18</v>
      </c>
      <c r="C406" s="1" t="s">
        <v>36</v>
      </c>
      <c r="D406" s="1" t="s">
        <v>31</v>
      </c>
      <c r="E406" s="4">
        <v>16</v>
      </c>
      <c r="F406" s="4">
        <v>9</v>
      </c>
      <c r="G406" s="1" t="s">
        <v>14</v>
      </c>
      <c r="H406" s="1" t="s">
        <v>76</v>
      </c>
      <c r="I406" s="5" t="s">
        <v>788</v>
      </c>
      <c r="J406" s="4">
        <v>88</v>
      </c>
    </row>
    <row r="407" spans="1:10" x14ac:dyDescent="0.3">
      <c r="A407" s="1" t="s">
        <v>789</v>
      </c>
      <c r="B407" s="1" t="s">
        <v>54</v>
      </c>
      <c r="C407" s="1" t="s">
        <v>12</v>
      </c>
      <c r="D407" s="1" t="s">
        <v>31</v>
      </c>
      <c r="E407" s="4">
        <v>18</v>
      </c>
      <c r="F407" s="4">
        <v>10</v>
      </c>
      <c r="G407" s="1" t="s">
        <v>25</v>
      </c>
      <c r="H407" s="1" t="s">
        <v>15</v>
      </c>
      <c r="I407" s="5" t="s">
        <v>790</v>
      </c>
      <c r="J407" s="4">
        <v>95</v>
      </c>
    </row>
    <row r="408" spans="1:10" x14ac:dyDescent="0.3">
      <c r="A408" s="1" t="s">
        <v>791</v>
      </c>
      <c r="B408" s="1" t="s">
        <v>51</v>
      </c>
      <c r="C408" s="1" t="s">
        <v>85</v>
      </c>
      <c r="D408" s="1" t="s">
        <v>13</v>
      </c>
      <c r="E408" s="4">
        <v>14</v>
      </c>
      <c r="F408" s="4">
        <v>9</v>
      </c>
      <c r="G408" s="1" t="s">
        <v>43</v>
      </c>
      <c r="H408" s="1" t="s">
        <v>61</v>
      </c>
      <c r="I408" s="5" t="s">
        <v>792</v>
      </c>
      <c r="J408" s="4">
        <v>96</v>
      </c>
    </row>
    <row r="409" spans="1:10" x14ac:dyDescent="0.3">
      <c r="A409" s="1" t="s">
        <v>793</v>
      </c>
      <c r="B409" s="1" t="s">
        <v>35</v>
      </c>
      <c r="C409" s="1" t="s">
        <v>19</v>
      </c>
      <c r="D409" s="1" t="s">
        <v>31</v>
      </c>
      <c r="E409" s="4">
        <v>20</v>
      </c>
      <c r="F409" s="4">
        <v>11</v>
      </c>
      <c r="G409" s="1" t="s">
        <v>32</v>
      </c>
      <c r="H409" s="1" t="s">
        <v>20</v>
      </c>
      <c r="I409" s="5" t="s">
        <v>794</v>
      </c>
      <c r="J409" s="4">
        <v>74</v>
      </c>
    </row>
    <row r="410" spans="1:10" x14ac:dyDescent="0.3">
      <c r="A410" s="1" t="s">
        <v>795</v>
      </c>
      <c r="B410" s="1" t="s">
        <v>54</v>
      </c>
      <c r="C410" s="1" t="s">
        <v>30</v>
      </c>
      <c r="D410" s="1" t="s">
        <v>13</v>
      </c>
      <c r="E410" s="4">
        <v>18</v>
      </c>
      <c r="F410" s="4">
        <v>12</v>
      </c>
      <c r="G410" s="1" t="s">
        <v>32</v>
      </c>
      <c r="H410" s="1" t="s">
        <v>20</v>
      </c>
      <c r="I410" s="5" t="s">
        <v>796</v>
      </c>
      <c r="J410" s="4">
        <v>55</v>
      </c>
    </row>
    <row r="411" spans="1:10" x14ac:dyDescent="0.3">
      <c r="A411" s="1" t="s">
        <v>797</v>
      </c>
      <c r="B411" s="1" t="s">
        <v>23</v>
      </c>
      <c r="C411" s="1" t="s">
        <v>85</v>
      </c>
      <c r="D411" s="1" t="s">
        <v>13</v>
      </c>
      <c r="E411" s="4">
        <v>17</v>
      </c>
      <c r="F411" s="4">
        <v>12</v>
      </c>
      <c r="G411" s="1" t="s">
        <v>14</v>
      </c>
      <c r="H411" s="1" t="s">
        <v>76</v>
      </c>
      <c r="I411" s="5" t="s">
        <v>71</v>
      </c>
      <c r="J411" s="4">
        <v>77</v>
      </c>
    </row>
    <row r="412" spans="1:10" x14ac:dyDescent="0.3">
      <c r="A412" s="1" t="s">
        <v>798</v>
      </c>
      <c r="B412" s="1" t="s">
        <v>23</v>
      </c>
      <c r="C412" s="1" t="s">
        <v>19</v>
      </c>
      <c r="D412" s="1" t="s">
        <v>13</v>
      </c>
      <c r="E412" s="4">
        <v>17</v>
      </c>
      <c r="F412" s="4">
        <v>12</v>
      </c>
      <c r="G412" s="1" t="s">
        <v>14</v>
      </c>
      <c r="H412" s="1" t="s">
        <v>40</v>
      </c>
      <c r="I412" s="5" t="s">
        <v>159</v>
      </c>
      <c r="J412" s="4">
        <v>95</v>
      </c>
    </row>
    <row r="413" spans="1:10" x14ac:dyDescent="0.3">
      <c r="A413" s="1" t="s">
        <v>799</v>
      </c>
      <c r="B413" s="1" t="s">
        <v>54</v>
      </c>
      <c r="C413" s="1" t="s">
        <v>36</v>
      </c>
      <c r="D413" s="1" t="s">
        <v>31</v>
      </c>
      <c r="E413" s="4">
        <v>17</v>
      </c>
      <c r="F413" s="4">
        <v>12</v>
      </c>
      <c r="G413" s="1" t="s">
        <v>14</v>
      </c>
      <c r="H413" s="1" t="s">
        <v>46</v>
      </c>
      <c r="I413" s="5" t="s">
        <v>533</v>
      </c>
      <c r="J413" s="4">
        <v>59</v>
      </c>
    </row>
    <row r="414" spans="1:10" x14ac:dyDescent="0.3">
      <c r="A414" s="1" t="s">
        <v>800</v>
      </c>
      <c r="B414" s="1" t="s">
        <v>23</v>
      </c>
      <c r="C414" s="1" t="s">
        <v>79</v>
      </c>
      <c r="D414" s="1" t="s">
        <v>31</v>
      </c>
      <c r="E414" s="4">
        <v>18</v>
      </c>
      <c r="F414" s="4">
        <v>11</v>
      </c>
      <c r="G414" s="1" t="s">
        <v>32</v>
      </c>
      <c r="H414" s="1" t="s">
        <v>76</v>
      </c>
      <c r="I414" s="5" t="s">
        <v>801</v>
      </c>
      <c r="J414" s="4">
        <v>97</v>
      </c>
    </row>
    <row r="415" spans="1:10" x14ac:dyDescent="0.3">
      <c r="A415" s="1" t="s">
        <v>802</v>
      </c>
      <c r="B415" s="1" t="s">
        <v>29</v>
      </c>
      <c r="C415" s="1" t="s">
        <v>96</v>
      </c>
      <c r="D415" s="1" t="s">
        <v>13</v>
      </c>
      <c r="E415" s="4">
        <v>14</v>
      </c>
      <c r="F415" s="4">
        <v>10</v>
      </c>
      <c r="G415" s="1" t="s">
        <v>25</v>
      </c>
      <c r="H415" s="1" t="s">
        <v>61</v>
      </c>
      <c r="I415" s="5" t="s">
        <v>803</v>
      </c>
      <c r="J415" s="4">
        <v>89</v>
      </c>
    </row>
    <row r="416" spans="1:10" x14ac:dyDescent="0.3">
      <c r="A416" s="1" t="s">
        <v>804</v>
      </c>
      <c r="B416" s="1" t="s">
        <v>54</v>
      </c>
      <c r="C416" s="1" t="s">
        <v>79</v>
      </c>
      <c r="D416" s="1" t="s">
        <v>13</v>
      </c>
      <c r="E416" s="4">
        <v>19</v>
      </c>
      <c r="F416" s="4">
        <v>9</v>
      </c>
      <c r="G416" s="1" t="s">
        <v>25</v>
      </c>
      <c r="H416" s="1" t="s">
        <v>61</v>
      </c>
      <c r="I416" s="5" t="s">
        <v>56</v>
      </c>
      <c r="J416" s="4">
        <v>43</v>
      </c>
    </row>
    <row r="417" spans="1:10" x14ac:dyDescent="0.3">
      <c r="A417" s="1" t="s">
        <v>805</v>
      </c>
      <c r="B417" s="1" t="s">
        <v>29</v>
      </c>
      <c r="C417" s="1" t="s">
        <v>36</v>
      </c>
      <c r="D417" s="1" t="s">
        <v>31</v>
      </c>
      <c r="E417" s="4">
        <v>17</v>
      </c>
      <c r="F417" s="4">
        <v>10</v>
      </c>
      <c r="G417" s="1" t="s">
        <v>25</v>
      </c>
      <c r="H417" s="1" t="s">
        <v>15</v>
      </c>
      <c r="I417" s="5" t="s">
        <v>806</v>
      </c>
      <c r="J417" s="4">
        <v>59</v>
      </c>
    </row>
    <row r="418" spans="1:10" x14ac:dyDescent="0.3">
      <c r="A418" s="1" t="s">
        <v>807</v>
      </c>
      <c r="B418" s="1" t="s">
        <v>68</v>
      </c>
      <c r="C418" s="1" t="s">
        <v>79</v>
      </c>
      <c r="D418" s="1" t="s">
        <v>31</v>
      </c>
      <c r="E418" s="4">
        <v>16</v>
      </c>
      <c r="F418" s="4">
        <v>10</v>
      </c>
      <c r="G418" s="1" t="s">
        <v>43</v>
      </c>
      <c r="H418" s="1" t="s">
        <v>76</v>
      </c>
      <c r="I418" s="5" t="s">
        <v>305</v>
      </c>
      <c r="J418" s="4">
        <v>40</v>
      </c>
    </row>
    <row r="419" spans="1:10" x14ac:dyDescent="0.3">
      <c r="A419" s="1" t="s">
        <v>808</v>
      </c>
      <c r="B419" s="1" t="s">
        <v>54</v>
      </c>
      <c r="C419" s="1" t="s">
        <v>24</v>
      </c>
      <c r="D419" s="1" t="s">
        <v>13</v>
      </c>
      <c r="E419" s="4">
        <v>14</v>
      </c>
      <c r="F419" s="4">
        <v>9</v>
      </c>
      <c r="G419" s="1" t="s">
        <v>25</v>
      </c>
      <c r="H419" s="1" t="s">
        <v>46</v>
      </c>
      <c r="I419" s="5" t="s">
        <v>809</v>
      </c>
      <c r="J419" s="4">
        <v>92</v>
      </c>
    </row>
    <row r="420" spans="1:10" x14ac:dyDescent="0.3">
      <c r="A420" s="1" t="s">
        <v>810</v>
      </c>
      <c r="B420" s="1" t="s">
        <v>73</v>
      </c>
      <c r="C420" s="1" t="s">
        <v>12</v>
      </c>
      <c r="D420" s="1" t="s">
        <v>13</v>
      </c>
      <c r="E420" s="4">
        <v>14</v>
      </c>
      <c r="F420" s="4">
        <v>10</v>
      </c>
      <c r="G420" s="1" t="s">
        <v>14</v>
      </c>
      <c r="H420" s="1" t="s">
        <v>46</v>
      </c>
      <c r="I420" s="5" t="s">
        <v>385</v>
      </c>
      <c r="J420" s="4">
        <v>49</v>
      </c>
    </row>
    <row r="421" spans="1:10" x14ac:dyDescent="0.3">
      <c r="A421" s="1" t="s">
        <v>811</v>
      </c>
      <c r="B421" s="1" t="s">
        <v>29</v>
      </c>
      <c r="C421" s="1" t="s">
        <v>58</v>
      </c>
      <c r="D421" s="1" t="s">
        <v>13</v>
      </c>
      <c r="E421" s="4">
        <v>20</v>
      </c>
      <c r="F421" s="4">
        <v>11</v>
      </c>
      <c r="G421" s="1" t="s">
        <v>14</v>
      </c>
      <c r="H421" s="1" t="s">
        <v>61</v>
      </c>
      <c r="I421" s="5" t="s">
        <v>358</v>
      </c>
      <c r="J421" s="4">
        <v>44</v>
      </c>
    </row>
    <row r="422" spans="1:10" x14ac:dyDescent="0.3">
      <c r="A422" s="1" t="s">
        <v>812</v>
      </c>
      <c r="B422" s="1" t="s">
        <v>51</v>
      </c>
      <c r="C422" s="1" t="s">
        <v>55</v>
      </c>
      <c r="D422" s="1" t="s">
        <v>13</v>
      </c>
      <c r="E422" s="4">
        <v>15</v>
      </c>
      <c r="F422" s="4">
        <v>10</v>
      </c>
      <c r="G422" s="1" t="s">
        <v>43</v>
      </c>
      <c r="H422" s="1" t="s">
        <v>46</v>
      </c>
      <c r="I422" s="5" t="s">
        <v>82</v>
      </c>
      <c r="J422" s="4">
        <v>62</v>
      </c>
    </row>
    <row r="423" spans="1:10" x14ac:dyDescent="0.3">
      <c r="A423" s="1" t="s">
        <v>813</v>
      </c>
      <c r="B423" s="1" t="s">
        <v>73</v>
      </c>
      <c r="C423" s="1" t="s">
        <v>58</v>
      </c>
      <c r="D423" s="1" t="s">
        <v>13</v>
      </c>
      <c r="E423" s="4">
        <v>17</v>
      </c>
      <c r="F423" s="4">
        <v>12</v>
      </c>
      <c r="G423" s="1" t="s">
        <v>32</v>
      </c>
      <c r="H423" s="1" t="s">
        <v>46</v>
      </c>
      <c r="I423" s="5" t="s">
        <v>346</v>
      </c>
      <c r="J423" s="4">
        <v>60</v>
      </c>
    </row>
    <row r="424" spans="1:10" x14ac:dyDescent="0.3">
      <c r="A424" s="1" t="s">
        <v>814</v>
      </c>
      <c r="B424" s="1" t="s">
        <v>18</v>
      </c>
      <c r="C424" s="1" t="s">
        <v>24</v>
      </c>
      <c r="D424" s="1" t="s">
        <v>31</v>
      </c>
      <c r="E424" s="4">
        <v>17</v>
      </c>
      <c r="F424" s="4">
        <v>10</v>
      </c>
      <c r="G424" s="1" t="s">
        <v>14</v>
      </c>
      <c r="H424" s="1" t="s">
        <v>76</v>
      </c>
      <c r="I424" s="5" t="s">
        <v>815</v>
      </c>
      <c r="J424" s="4">
        <v>47</v>
      </c>
    </row>
    <row r="425" spans="1:10" x14ac:dyDescent="0.3">
      <c r="A425" s="1" t="s">
        <v>816</v>
      </c>
      <c r="B425" s="1" t="s">
        <v>23</v>
      </c>
      <c r="C425" s="1" t="s">
        <v>79</v>
      </c>
      <c r="D425" s="1" t="s">
        <v>31</v>
      </c>
      <c r="E425" s="4">
        <v>15</v>
      </c>
      <c r="F425" s="4">
        <v>9</v>
      </c>
      <c r="G425" s="1" t="s">
        <v>25</v>
      </c>
      <c r="H425" s="1" t="s">
        <v>76</v>
      </c>
      <c r="I425" s="5" t="s">
        <v>149</v>
      </c>
      <c r="J425" s="4">
        <v>79</v>
      </c>
    </row>
    <row r="426" spans="1:10" x14ac:dyDescent="0.3">
      <c r="A426" s="1" t="s">
        <v>817</v>
      </c>
      <c r="B426" s="1" t="s">
        <v>51</v>
      </c>
      <c r="C426" s="1" t="s">
        <v>55</v>
      </c>
      <c r="D426" s="1" t="s">
        <v>31</v>
      </c>
      <c r="E426" s="4">
        <v>19</v>
      </c>
      <c r="F426" s="4">
        <v>11</v>
      </c>
      <c r="G426" s="1" t="s">
        <v>14</v>
      </c>
      <c r="H426" s="1" t="s">
        <v>26</v>
      </c>
      <c r="I426" s="5" t="s">
        <v>818</v>
      </c>
      <c r="J426" s="4">
        <v>56</v>
      </c>
    </row>
    <row r="427" spans="1:10" x14ac:dyDescent="0.3">
      <c r="A427" s="1" t="s">
        <v>819</v>
      </c>
      <c r="B427" s="1" t="s">
        <v>18</v>
      </c>
      <c r="C427" s="1" t="s">
        <v>36</v>
      </c>
      <c r="D427" s="1" t="s">
        <v>31</v>
      </c>
      <c r="E427" s="4">
        <v>14</v>
      </c>
      <c r="F427" s="4">
        <v>10</v>
      </c>
      <c r="G427" s="1" t="s">
        <v>43</v>
      </c>
      <c r="H427" s="1" t="s">
        <v>76</v>
      </c>
      <c r="I427" s="5" t="s">
        <v>820</v>
      </c>
      <c r="J427" s="4">
        <v>56</v>
      </c>
    </row>
    <row r="428" spans="1:10" x14ac:dyDescent="0.3">
      <c r="A428" s="1" t="s">
        <v>821</v>
      </c>
      <c r="B428" s="1" t="s">
        <v>18</v>
      </c>
      <c r="C428" s="1" t="s">
        <v>79</v>
      </c>
      <c r="D428" s="1" t="s">
        <v>13</v>
      </c>
      <c r="E428" s="4">
        <v>20</v>
      </c>
      <c r="F428" s="4">
        <v>12</v>
      </c>
      <c r="G428" s="1" t="s">
        <v>32</v>
      </c>
      <c r="H428" s="1" t="s">
        <v>26</v>
      </c>
      <c r="I428" s="5" t="s">
        <v>822</v>
      </c>
      <c r="J428" s="4">
        <v>52</v>
      </c>
    </row>
    <row r="429" spans="1:10" x14ac:dyDescent="0.3">
      <c r="A429" s="1" t="s">
        <v>823</v>
      </c>
      <c r="B429" s="1" t="s">
        <v>11</v>
      </c>
      <c r="C429" s="1" t="s">
        <v>79</v>
      </c>
      <c r="D429" s="1" t="s">
        <v>31</v>
      </c>
      <c r="E429" s="4">
        <v>18</v>
      </c>
      <c r="F429" s="4">
        <v>12</v>
      </c>
      <c r="G429" s="1" t="s">
        <v>43</v>
      </c>
      <c r="H429" s="1" t="s">
        <v>37</v>
      </c>
      <c r="I429" s="5" t="s">
        <v>292</v>
      </c>
      <c r="J429" s="4">
        <v>94</v>
      </c>
    </row>
    <row r="430" spans="1:10" x14ac:dyDescent="0.3">
      <c r="A430" s="1" t="s">
        <v>824</v>
      </c>
      <c r="B430" s="1" t="s">
        <v>54</v>
      </c>
      <c r="C430" s="1" t="s">
        <v>19</v>
      </c>
      <c r="D430" s="1" t="s">
        <v>31</v>
      </c>
      <c r="E430" s="4">
        <v>20</v>
      </c>
      <c r="F430" s="4">
        <v>9</v>
      </c>
      <c r="G430" s="1" t="s">
        <v>14</v>
      </c>
      <c r="H430" s="1" t="s">
        <v>37</v>
      </c>
      <c r="I430" s="5" t="s">
        <v>825</v>
      </c>
      <c r="J430" s="4">
        <v>43</v>
      </c>
    </row>
    <row r="431" spans="1:10" x14ac:dyDescent="0.3">
      <c r="A431" s="1" t="s">
        <v>826</v>
      </c>
      <c r="B431" s="1" t="s">
        <v>51</v>
      </c>
      <c r="C431" s="1" t="s">
        <v>55</v>
      </c>
      <c r="D431" s="1" t="s">
        <v>31</v>
      </c>
      <c r="E431" s="4">
        <v>15</v>
      </c>
      <c r="F431" s="4">
        <v>10</v>
      </c>
      <c r="G431" s="1" t="s">
        <v>43</v>
      </c>
      <c r="H431" s="1" t="s">
        <v>37</v>
      </c>
      <c r="I431" s="5" t="s">
        <v>174</v>
      </c>
      <c r="J431" s="4">
        <v>42</v>
      </c>
    </row>
    <row r="432" spans="1:10" x14ac:dyDescent="0.3">
      <c r="A432" s="1" t="s">
        <v>827</v>
      </c>
      <c r="B432" s="1" t="s">
        <v>35</v>
      </c>
      <c r="C432" s="1" t="s">
        <v>12</v>
      </c>
      <c r="D432" s="1" t="s">
        <v>13</v>
      </c>
      <c r="E432" s="4">
        <v>14</v>
      </c>
      <c r="F432" s="4">
        <v>12</v>
      </c>
      <c r="G432" s="1" t="s">
        <v>25</v>
      </c>
      <c r="H432" s="1" t="s">
        <v>61</v>
      </c>
      <c r="I432" s="5" t="s">
        <v>570</v>
      </c>
      <c r="J432" s="4">
        <v>65</v>
      </c>
    </row>
    <row r="433" spans="1:10" x14ac:dyDescent="0.3">
      <c r="A433" s="1" t="s">
        <v>828</v>
      </c>
      <c r="B433" s="1" t="s">
        <v>29</v>
      </c>
      <c r="C433" s="1" t="s">
        <v>55</v>
      </c>
      <c r="D433" s="1" t="s">
        <v>13</v>
      </c>
      <c r="E433" s="4">
        <v>15</v>
      </c>
      <c r="F433" s="4">
        <v>9</v>
      </c>
      <c r="G433" s="1" t="s">
        <v>32</v>
      </c>
      <c r="H433" s="1" t="s">
        <v>40</v>
      </c>
      <c r="I433" s="5" t="s">
        <v>829</v>
      </c>
      <c r="J433" s="4">
        <v>64</v>
      </c>
    </row>
    <row r="434" spans="1:10" x14ac:dyDescent="0.3">
      <c r="A434" s="1" t="s">
        <v>830</v>
      </c>
      <c r="B434" s="1" t="s">
        <v>23</v>
      </c>
      <c r="C434" s="1" t="s">
        <v>58</v>
      </c>
      <c r="D434" s="1" t="s">
        <v>31</v>
      </c>
      <c r="E434" s="4">
        <v>17</v>
      </c>
      <c r="F434" s="4">
        <v>9</v>
      </c>
      <c r="G434" s="1" t="s">
        <v>43</v>
      </c>
      <c r="H434" s="1" t="s">
        <v>61</v>
      </c>
      <c r="I434" s="5" t="s">
        <v>820</v>
      </c>
      <c r="J434" s="4">
        <v>59</v>
      </c>
    </row>
    <row r="435" spans="1:10" x14ac:dyDescent="0.3">
      <c r="A435" s="1" t="s">
        <v>831</v>
      </c>
      <c r="B435" s="1" t="s">
        <v>54</v>
      </c>
      <c r="C435" s="1" t="s">
        <v>36</v>
      </c>
      <c r="D435" s="1" t="s">
        <v>31</v>
      </c>
      <c r="E435" s="4">
        <v>19</v>
      </c>
      <c r="F435" s="4">
        <v>9</v>
      </c>
      <c r="G435" s="1" t="s">
        <v>32</v>
      </c>
      <c r="H435" s="1" t="s">
        <v>15</v>
      </c>
      <c r="I435" s="5" t="s">
        <v>832</v>
      </c>
      <c r="J435" s="4">
        <v>35</v>
      </c>
    </row>
    <row r="436" spans="1:10" x14ac:dyDescent="0.3">
      <c r="A436" s="1" t="s">
        <v>833</v>
      </c>
      <c r="B436" s="1" t="s">
        <v>73</v>
      </c>
      <c r="C436" s="1" t="s">
        <v>96</v>
      </c>
      <c r="D436" s="1" t="s">
        <v>31</v>
      </c>
      <c r="E436" s="4">
        <v>15</v>
      </c>
      <c r="F436" s="4">
        <v>10</v>
      </c>
      <c r="G436" s="1" t="s">
        <v>43</v>
      </c>
      <c r="H436" s="1" t="s">
        <v>76</v>
      </c>
      <c r="I436" s="5" t="s">
        <v>834</v>
      </c>
      <c r="J436" s="4">
        <v>37</v>
      </c>
    </row>
    <row r="437" spans="1:10" x14ac:dyDescent="0.3">
      <c r="A437" s="1" t="s">
        <v>835</v>
      </c>
      <c r="B437" s="1" t="s">
        <v>18</v>
      </c>
      <c r="C437" s="1" t="s">
        <v>55</v>
      </c>
      <c r="D437" s="1" t="s">
        <v>31</v>
      </c>
      <c r="E437" s="4">
        <v>16</v>
      </c>
      <c r="F437" s="4">
        <v>10</v>
      </c>
      <c r="G437" s="1" t="s">
        <v>14</v>
      </c>
      <c r="H437" s="1" t="s">
        <v>61</v>
      </c>
      <c r="I437" s="5" t="s">
        <v>411</v>
      </c>
      <c r="J437" s="4">
        <v>52</v>
      </c>
    </row>
    <row r="438" spans="1:10" x14ac:dyDescent="0.3">
      <c r="A438" s="1" t="s">
        <v>836</v>
      </c>
      <c r="B438" s="1" t="s">
        <v>18</v>
      </c>
      <c r="C438" s="1" t="s">
        <v>58</v>
      </c>
      <c r="D438" s="1" t="s">
        <v>13</v>
      </c>
      <c r="E438" s="4">
        <v>16</v>
      </c>
      <c r="F438" s="4">
        <v>9</v>
      </c>
      <c r="G438" s="1" t="s">
        <v>14</v>
      </c>
      <c r="H438" s="1" t="s">
        <v>37</v>
      </c>
      <c r="I438" s="5" t="s">
        <v>837</v>
      </c>
      <c r="J438" s="4">
        <v>64</v>
      </c>
    </row>
    <row r="439" spans="1:10" x14ac:dyDescent="0.3">
      <c r="A439" s="1" t="s">
        <v>838</v>
      </c>
      <c r="B439" s="1" t="s">
        <v>29</v>
      </c>
      <c r="C439" s="1" t="s">
        <v>36</v>
      </c>
      <c r="D439" s="1" t="s">
        <v>31</v>
      </c>
      <c r="E439" s="4">
        <v>17</v>
      </c>
      <c r="F439" s="4">
        <v>10</v>
      </c>
      <c r="G439" s="1" t="s">
        <v>25</v>
      </c>
      <c r="H439" s="1" t="s">
        <v>15</v>
      </c>
      <c r="I439" s="5" t="s">
        <v>839</v>
      </c>
      <c r="J439" s="4">
        <v>35</v>
      </c>
    </row>
    <row r="440" spans="1:10" x14ac:dyDescent="0.3">
      <c r="A440" s="1" t="s">
        <v>840</v>
      </c>
      <c r="B440" s="1" t="s">
        <v>29</v>
      </c>
      <c r="C440" s="1" t="s">
        <v>12</v>
      </c>
      <c r="D440" s="1" t="s">
        <v>31</v>
      </c>
      <c r="E440" s="4">
        <v>20</v>
      </c>
      <c r="F440" s="4">
        <v>10</v>
      </c>
      <c r="G440" s="1" t="s">
        <v>43</v>
      </c>
      <c r="H440" s="1" t="s">
        <v>15</v>
      </c>
      <c r="I440" s="5" t="s">
        <v>841</v>
      </c>
      <c r="J440" s="4">
        <v>37</v>
      </c>
    </row>
    <row r="441" spans="1:10" x14ac:dyDescent="0.3">
      <c r="A441" s="1" t="s">
        <v>842</v>
      </c>
      <c r="B441" s="1" t="s">
        <v>23</v>
      </c>
      <c r="C441" s="1" t="s">
        <v>30</v>
      </c>
      <c r="D441" s="1" t="s">
        <v>13</v>
      </c>
      <c r="E441" s="4">
        <v>15</v>
      </c>
      <c r="F441" s="4">
        <v>9</v>
      </c>
      <c r="G441" s="1" t="s">
        <v>32</v>
      </c>
      <c r="H441" s="1" t="s">
        <v>37</v>
      </c>
      <c r="I441" s="5" t="s">
        <v>477</v>
      </c>
      <c r="J441" s="4">
        <v>51</v>
      </c>
    </row>
    <row r="442" spans="1:10" x14ac:dyDescent="0.3">
      <c r="A442" s="1" t="s">
        <v>843</v>
      </c>
      <c r="B442" s="1" t="s">
        <v>54</v>
      </c>
      <c r="C442" s="1" t="s">
        <v>12</v>
      </c>
      <c r="D442" s="1" t="s">
        <v>31</v>
      </c>
      <c r="E442" s="4">
        <v>17</v>
      </c>
      <c r="F442" s="4">
        <v>10</v>
      </c>
      <c r="G442" s="1" t="s">
        <v>25</v>
      </c>
      <c r="H442" s="1" t="s">
        <v>40</v>
      </c>
      <c r="I442" s="5" t="s">
        <v>844</v>
      </c>
      <c r="J442" s="4">
        <v>43</v>
      </c>
    </row>
    <row r="443" spans="1:10" x14ac:dyDescent="0.3">
      <c r="A443" s="1" t="s">
        <v>845</v>
      </c>
      <c r="B443" s="1" t="s">
        <v>11</v>
      </c>
      <c r="C443" s="1" t="s">
        <v>19</v>
      </c>
      <c r="D443" s="1" t="s">
        <v>31</v>
      </c>
      <c r="E443" s="4">
        <v>19</v>
      </c>
      <c r="F443" s="4">
        <v>11</v>
      </c>
      <c r="G443" s="1" t="s">
        <v>43</v>
      </c>
      <c r="H443" s="1" t="s">
        <v>76</v>
      </c>
      <c r="I443" s="5" t="s">
        <v>282</v>
      </c>
      <c r="J443" s="4">
        <v>44</v>
      </c>
    </row>
    <row r="444" spans="1:10" x14ac:dyDescent="0.3">
      <c r="A444" s="1" t="s">
        <v>846</v>
      </c>
      <c r="B444" s="1" t="s">
        <v>35</v>
      </c>
      <c r="C444" s="1" t="s">
        <v>79</v>
      </c>
      <c r="D444" s="1" t="s">
        <v>13</v>
      </c>
      <c r="E444" s="4">
        <v>17</v>
      </c>
      <c r="F444" s="4">
        <v>12</v>
      </c>
      <c r="G444" s="1" t="s">
        <v>25</v>
      </c>
      <c r="H444" s="1" t="s">
        <v>46</v>
      </c>
      <c r="I444" s="5" t="s">
        <v>847</v>
      </c>
      <c r="J444" s="4">
        <v>41</v>
      </c>
    </row>
    <row r="445" spans="1:10" x14ac:dyDescent="0.3">
      <c r="A445" s="1" t="s">
        <v>848</v>
      </c>
      <c r="B445" s="1" t="s">
        <v>18</v>
      </c>
      <c r="C445" s="1" t="s">
        <v>24</v>
      </c>
      <c r="D445" s="1" t="s">
        <v>31</v>
      </c>
      <c r="E445" s="4">
        <v>16</v>
      </c>
      <c r="F445" s="4">
        <v>10</v>
      </c>
      <c r="G445" s="1" t="s">
        <v>25</v>
      </c>
      <c r="H445" s="1" t="s">
        <v>61</v>
      </c>
      <c r="I445" s="5" t="s">
        <v>849</v>
      </c>
      <c r="J445" s="4">
        <v>78</v>
      </c>
    </row>
    <row r="446" spans="1:10" x14ac:dyDescent="0.3">
      <c r="A446" s="1" t="s">
        <v>850</v>
      </c>
      <c r="B446" s="1" t="s">
        <v>51</v>
      </c>
      <c r="C446" s="1" t="s">
        <v>96</v>
      </c>
      <c r="D446" s="1" t="s">
        <v>13</v>
      </c>
      <c r="E446" s="4">
        <v>14</v>
      </c>
      <c r="F446" s="4">
        <v>9</v>
      </c>
      <c r="G446" s="1" t="s">
        <v>25</v>
      </c>
      <c r="H446" s="1" t="s">
        <v>26</v>
      </c>
      <c r="I446" s="5" t="s">
        <v>851</v>
      </c>
      <c r="J446" s="4">
        <v>90</v>
      </c>
    </row>
    <row r="447" spans="1:10" x14ac:dyDescent="0.3">
      <c r="A447" s="1" t="s">
        <v>852</v>
      </c>
      <c r="B447" s="1" t="s">
        <v>29</v>
      </c>
      <c r="C447" s="1" t="s">
        <v>55</v>
      </c>
      <c r="D447" s="1" t="s">
        <v>13</v>
      </c>
      <c r="E447" s="4">
        <v>15</v>
      </c>
      <c r="F447" s="4">
        <v>9</v>
      </c>
      <c r="G447" s="1" t="s">
        <v>14</v>
      </c>
      <c r="H447" s="1" t="s">
        <v>20</v>
      </c>
      <c r="I447" s="5" t="s">
        <v>853</v>
      </c>
      <c r="J447" s="4">
        <v>74</v>
      </c>
    </row>
    <row r="448" spans="1:10" x14ac:dyDescent="0.3">
      <c r="A448" s="1" t="s">
        <v>854</v>
      </c>
      <c r="B448" s="1" t="s">
        <v>51</v>
      </c>
      <c r="C448" s="1" t="s">
        <v>55</v>
      </c>
      <c r="D448" s="1" t="s">
        <v>13</v>
      </c>
      <c r="E448" s="4">
        <v>15</v>
      </c>
      <c r="F448" s="4">
        <v>11</v>
      </c>
      <c r="G448" s="1" t="s">
        <v>14</v>
      </c>
      <c r="H448" s="1" t="s">
        <v>61</v>
      </c>
      <c r="I448" s="5" t="s">
        <v>855</v>
      </c>
      <c r="J448" s="4">
        <v>84</v>
      </c>
    </row>
    <row r="449" spans="1:10" x14ac:dyDescent="0.3">
      <c r="A449" s="1" t="s">
        <v>856</v>
      </c>
      <c r="B449" s="1" t="s">
        <v>29</v>
      </c>
      <c r="C449" s="1" t="s">
        <v>85</v>
      </c>
      <c r="D449" s="1" t="s">
        <v>13</v>
      </c>
      <c r="E449" s="4">
        <v>16</v>
      </c>
      <c r="F449" s="4">
        <v>9</v>
      </c>
      <c r="G449" s="1" t="s">
        <v>14</v>
      </c>
      <c r="H449" s="1" t="s">
        <v>61</v>
      </c>
      <c r="I449" s="5" t="s">
        <v>262</v>
      </c>
      <c r="J449" s="4">
        <v>78</v>
      </c>
    </row>
    <row r="450" spans="1:10" x14ac:dyDescent="0.3">
      <c r="A450" s="1" t="s">
        <v>857</v>
      </c>
      <c r="B450" s="1" t="s">
        <v>18</v>
      </c>
      <c r="C450" s="1" t="s">
        <v>96</v>
      </c>
      <c r="D450" s="1" t="s">
        <v>13</v>
      </c>
      <c r="E450" s="4">
        <v>20</v>
      </c>
      <c r="F450" s="4">
        <v>11</v>
      </c>
      <c r="G450" s="1" t="s">
        <v>32</v>
      </c>
      <c r="H450" s="1" t="s">
        <v>61</v>
      </c>
      <c r="I450" s="5" t="s">
        <v>570</v>
      </c>
      <c r="J450" s="4">
        <v>94</v>
      </c>
    </row>
    <row r="451" spans="1:10" x14ac:dyDescent="0.3">
      <c r="A451" s="1" t="s">
        <v>858</v>
      </c>
      <c r="B451" s="1" t="s">
        <v>35</v>
      </c>
      <c r="C451" s="1" t="s">
        <v>12</v>
      </c>
      <c r="D451" s="1" t="s">
        <v>31</v>
      </c>
      <c r="E451" s="4">
        <v>19</v>
      </c>
      <c r="F451" s="4">
        <v>9</v>
      </c>
      <c r="G451" s="1" t="s">
        <v>43</v>
      </c>
      <c r="H451" s="1" t="s">
        <v>26</v>
      </c>
      <c r="I451" s="5" t="s">
        <v>859</v>
      </c>
      <c r="J451" s="4">
        <v>88</v>
      </c>
    </row>
    <row r="452" spans="1:10" x14ac:dyDescent="0.3">
      <c r="A452" s="1" t="s">
        <v>860</v>
      </c>
      <c r="B452" s="1" t="s">
        <v>68</v>
      </c>
      <c r="C452" s="1" t="s">
        <v>12</v>
      </c>
      <c r="D452" s="1" t="s">
        <v>13</v>
      </c>
      <c r="E452" s="4">
        <v>16</v>
      </c>
      <c r="F452" s="4">
        <v>12</v>
      </c>
      <c r="G452" s="1" t="s">
        <v>14</v>
      </c>
      <c r="H452" s="1" t="s">
        <v>37</v>
      </c>
      <c r="I452" s="5" t="s">
        <v>861</v>
      </c>
      <c r="J452" s="4">
        <v>84</v>
      </c>
    </row>
    <row r="453" spans="1:10" x14ac:dyDescent="0.3">
      <c r="A453" s="1" t="s">
        <v>862</v>
      </c>
      <c r="B453" s="1" t="s">
        <v>51</v>
      </c>
      <c r="C453" s="1" t="s">
        <v>24</v>
      </c>
      <c r="D453" s="1" t="s">
        <v>13</v>
      </c>
      <c r="E453" s="4">
        <v>17</v>
      </c>
      <c r="F453" s="4">
        <v>9</v>
      </c>
      <c r="G453" s="1" t="s">
        <v>43</v>
      </c>
      <c r="H453" s="1" t="s">
        <v>15</v>
      </c>
      <c r="I453" s="5" t="s">
        <v>863</v>
      </c>
      <c r="J453" s="4">
        <v>86</v>
      </c>
    </row>
    <row r="454" spans="1:10" x14ac:dyDescent="0.3">
      <c r="A454" s="1" t="s">
        <v>864</v>
      </c>
      <c r="B454" s="1" t="s">
        <v>35</v>
      </c>
      <c r="C454" s="1" t="s">
        <v>58</v>
      </c>
      <c r="D454" s="1" t="s">
        <v>13</v>
      </c>
      <c r="E454" s="4">
        <v>17</v>
      </c>
      <c r="F454" s="4">
        <v>10</v>
      </c>
      <c r="G454" s="1" t="s">
        <v>14</v>
      </c>
      <c r="H454" s="1" t="s">
        <v>20</v>
      </c>
      <c r="I454" s="5" t="s">
        <v>865</v>
      </c>
      <c r="J454" s="4">
        <v>92</v>
      </c>
    </row>
    <row r="455" spans="1:10" x14ac:dyDescent="0.3">
      <c r="A455" s="1" t="s">
        <v>866</v>
      </c>
      <c r="B455" s="1" t="s">
        <v>18</v>
      </c>
      <c r="C455" s="1" t="s">
        <v>24</v>
      </c>
      <c r="D455" s="1" t="s">
        <v>13</v>
      </c>
      <c r="E455" s="4">
        <v>15</v>
      </c>
      <c r="F455" s="4">
        <v>11</v>
      </c>
      <c r="G455" s="1" t="s">
        <v>14</v>
      </c>
      <c r="H455" s="1" t="s">
        <v>61</v>
      </c>
      <c r="I455" s="5" t="s">
        <v>867</v>
      </c>
      <c r="J455" s="4">
        <v>97</v>
      </c>
    </row>
    <row r="456" spans="1:10" x14ac:dyDescent="0.3">
      <c r="A456" s="1" t="s">
        <v>868</v>
      </c>
      <c r="B456" s="1" t="s">
        <v>84</v>
      </c>
      <c r="C456" s="1" t="s">
        <v>30</v>
      </c>
      <c r="D456" s="1" t="s">
        <v>31</v>
      </c>
      <c r="E456" s="4">
        <v>15</v>
      </c>
      <c r="F456" s="4">
        <v>9</v>
      </c>
      <c r="G456" s="1" t="s">
        <v>43</v>
      </c>
      <c r="H456" s="1" t="s">
        <v>61</v>
      </c>
      <c r="I456" s="5" t="s">
        <v>151</v>
      </c>
      <c r="J456" s="4">
        <v>45</v>
      </c>
    </row>
    <row r="457" spans="1:10" x14ac:dyDescent="0.3">
      <c r="A457" s="1" t="s">
        <v>869</v>
      </c>
      <c r="B457" s="1" t="s">
        <v>73</v>
      </c>
      <c r="C457" s="1" t="s">
        <v>96</v>
      </c>
      <c r="D457" s="1" t="s">
        <v>31</v>
      </c>
      <c r="E457" s="4">
        <v>17</v>
      </c>
      <c r="F457" s="4">
        <v>9</v>
      </c>
      <c r="G457" s="1" t="s">
        <v>43</v>
      </c>
      <c r="H457" s="1" t="s">
        <v>26</v>
      </c>
      <c r="I457" s="5" t="s">
        <v>870</v>
      </c>
      <c r="J457" s="4">
        <v>53</v>
      </c>
    </row>
    <row r="458" spans="1:10" x14ac:dyDescent="0.3">
      <c r="A458" s="1" t="s">
        <v>871</v>
      </c>
      <c r="B458" s="1" t="s">
        <v>11</v>
      </c>
      <c r="C458" s="1" t="s">
        <v>12</v>
      </c>
      <c r="D458" s="1" t="s">
        <v>13</v>
      </c>
      <c r="E458" s="4">
        <v>20</v>
      </c>
      <c r="F458" s="4">
        <v>10</v>
      </c>
      <c r="G458" s="1" t="s">
        <v>25</v>
      </c>
      <c r="H458" s="1" t="s">
        <v>76</v>
      </c>
      <c r="I458" s="5" t="s">
        <v>872</v>
      </c>
      <c r="J458" s="4">
        <v>66</v>
      </c>
    </row>
    <row r="459" spans="1:10" x14ac:dyDescent="0.3">
      <c r="A459" s="1" t="s">
        <v>873</v>
      </c>
      <c r="B459" s="1" t="s">
        <v>18</v>
      </c>
      <c r="C459" s="1" t="s">
        <v>79</v>
      </c>
      <c r="D459" s="1" t="s">
        <v>31</v>
      </c>
      <c r="E459" s="4">
        <v>19</v>
      </c>
      <c r="F459" s="4">
        <v>12</v>
      </c>
      <c r="G459" s="1" t="s">
        <v>32</v>
      </c>
      <c r="H459" s="1" t="s">
        <v>76</v>
      </c>
      <c r="I459" s="5" t="s">
        <v>742</v>
      </c>
      <c r="J459" s="4">
        <v>83</v>
      </c>
    </row>
    <row r="460" spans="1:10" x14ac:dyDescent="0.3">
      <c r="A460" s="1" t="s">
        <v>874</v>
      </c>
      <c r="B460" s="1" t="s">
        <v>35</v>
      </c>
      <c r="C460" s="1" t="s">
        <v>36</v>
      </c>
      <c r="D460" s="1" t="s">
        <v>13</v>
      </c>
      <c r="E460" s="4">
        <v>16</v>
      </c>
      <c r="F460" s="4">
        <v>10</v>
      </c>
      <c r="G460" s="1" t="s">
        <v>14</v>
      </c>
      <c r="H460" s="1" t="s">
        <v>61</v>
      </c>
      <c r="I460" s="5" t="s">
        <v>875</v>
      </c>
      <c r="J460" s="4">
        <v>35</v>
      </c>
    </row>
    <row r="461" spans="1:10" x14ac:dyDescent="0.3">
      <c r="A461" s="1" t="s">
        <v>876</v>
      </c>
      <c r="B461" s="1" t="s">
        <v>18</v>
      </c>
      <c r="C461" s="1" t="s">
        <v>24</v>
      </c>
      <c r="D461" s="1" t="s">
        <v>31</v>
      </c>
      <c r="E461" s="4">
        <v>16</v>
      </c>
      <c r="F461" s="4">
        <v>9</v>
      </c>
      <c r="G461" s="1" t="s">
        <v>43</v>
      </c>
      <c r="H461" s="1" t="s">
        <v>26</v>
      </c>
      <c r="I461" s="5" t="s">
        <v>515</v>
      </c>
      <c r="J461" s="4">
        <v>48</v>
      </c>
    </row>
    <row r="462" spans="1:10" x14ac:dyDescent="0.3">
      <c r="A462" s="1" t="s">
        <v>877</v>
      </c>
      <c r="B462" s="1" t="s">
        <v>73</v>
      </c>
      <c r="C462" s="1" t="s">
        <v>85</v>
      </c>
      <c r="D462" s="1" t="s">
        <v>13</v>
      </c>
      <c r="E462" s="4">
        <v>19</v>
      </c>
      <c r="F462" s="4">
        <v>10</v>
      </c>
      <c r="G462" s="1" t="s">
        <v>25</v>
      </c>
      <c r="H462" s="1" t="s">
        <v>26</v>
      </c>
      <c r="I462" s="5" t="s">
        <v>878</v>
      </c>
      <c r="J462" s="4">
        <v>81</v>
      </c>
    </row>
    <row r="463" spans="1:10" x14ac:dyDescent="0.3">
      <c r="A463" s="1" t="s">
        <v>879</v>
      </c>
      <c r="B463" s="1" t="s">
        <v>18</v>
      </c>
      <c r="C463" s="1" t="s">
        <v>85</v>
      </c>
      <c r="D463" s="1" t="s">
        <v>13</v>
      </c>
      <c r="E463" s="4">
        <v>15</v>
      </c>
      <c r="F463" s="4">
        <v>11</v>
      </c>
      <c r="G463" s="1" t="s">
        <v>32</v>
      </c>
      <c r="H463" s="1" t="s">
        <v>37</v>
      </c>
      <c r="I463" s="5" t="s">
        <v>880</v>
      </c>
      <c r="J463" s="4">
        <v>86</v>
      </c>
    </row>
    <row r="464" spans="1:10" x14ac:dyDescent="0.3">
      <c r="A464" s="1" t="s">
        <v>881</v>
      </c>
      <c r="B464" s="1" t="s">
        <v>73</v>
      </c>
      <c r="C464" s="1" t="s">
        <v>24</v>
      </c>
      <c r="D464" s="1" t="s">
        <v>31</v>
      </c>
      <c r="E464" s="4">
        <v>14</v>
      </c>
      <c r="F464" s="4">
        <v>12</v>
      </c>
      <c r="G464" s="1" t="s">
        <v>25</v>
      </c>
      <c r="H464" s="1" t="s">
        <v>46</v>
      </c>
      <c r="I464" s="5" t="s">
        <v>882</v>
      </c>
      <c r="J464" s="4">
        <v>58</v>
      </c>
    </row>
    <row r="465" spans="1:10" x14ac:dyDescent="0.3">
      <c r="A465" s="1" t="s">
        <v>883</v>
      </c>
      <c r="B465" s="1" t="s">
        <v>23</v>
      </c>
      <c r="C465" s="1" t="s">
        <v>85</v>
      </c>
      <c r="D465" s="1" t="s">
        <v>13</v>
      </c>
      <c r="E465" s="4">
        <v>19</v>
      </c>
      <c r="F465" s="4">
        <v>9</v>
      </c>
      <c r="G465" s="1" t="s">
        <v>43</v>
      </c>
      <c r="H465" s="1" t="s">
        <v>20</v>
      </c>
      <c r="I465" s="5" t="s">
        <v>884</v>
      </c>
      <c r="J465" s="4">
        <v>69</v>
      </c>
    </row>
    <row r="466" spans="1:10" x14ac:dyDescent="0.3">
      <c r="A466" s="1" t="s">
        <v>885</v>
      </c>
      <c r="B466" s="1" t="s">
        <v>51</v>
      </c>
      <c r="C466" s="1" t="s">
        <v>55</v>
      </c>
      <c r="D466" s="1" t="s">
        <v>13</v>
      </c>
      <c r="E466" s="4">
        <v>16</v>
      </c>
      <c r="F466" s="4">
        <v>11</v>
      </c>
      <c r="G466" s="1" t="s">
        <v>32</v>
      </c>
      <c r="H466" s="1" t="s">
        <v>76</v>
      </c>
      <c r="I466" s="5" t="s">
        <v>886</v>
      </c>
      <c r="J466" s="4">
        <v>65</v>
      </c>
    </row>
    <row r="467" spans="1:10" x14ac:dyDescent="0.3">
      <c r="A467" s="1" t="s">
        <v>887</v>
      </c>
      <c r="B467" s="1" t="s">
        <v>11</v>
      </c>
      <c r="C467" s="1" t="s">
        <v>30</v>
      </c>
      <c r="D467" s="1" t="s">
        <v>31</v>
      </c>
      <c r="E467" s="4">
        <v>17</v>
      </c>
      <c r="F467" s="4">
        <v>9</v>
      </c>
      <c r="G467" s="1" t="s">
        <v>14</v>
      </c>
      <c r="H467" s="1" t="s">
        <v>76</v>
      </c>
      <c r="I467" s="5" t="s">
        <v>653</v>
      </c>
      <c r="J467" s="4">
        <v>53</v>
      </c>
    </row>
    <row r="468" spans="1:10" x14ac:dyDescent="0.3">
      <c r="A468" s="1" t="s">
        <v>888</v>
      </c>
      <c r="B468" s="1" t="s">
        <v>23</v>
      </c>
      <c r="C468" s="1" t="s">
        <v>58</v>
      </c>
      <c r="D468" s="1" t="s">
        <v>31</v>
      </c>
      <c r="E468" s="4">
        <v>18</v>
      </c>
      <c r="F468" s="4">
        <v>10</v>
      </c>
      <c r="G468" s="1" t="s">
        <v>14</v>
      </c>
      <c r="H468" s="1" t="s">
        <v>20</v>
      </c>
      <c r="I468" s="5" t="s">
        <v>153</v>
      </c>
      <c r="J468" s="4">
        <v>92</v>
      </c>
    </row>
    <row r="469" spans="1:10" x14ac:dyDescent="0.3">
      <c r="A469" s="1" t="s">
        <v>889</v>
      </c>
      <c r="B469" s="1" t="s">
        <v>68</v>
      </c>
      <c r="C469" s="1" t="s">
        <v>19</v>
      </c>
      <c r="D469" s="1" t="s">
        <v>31</v>
      </c>
      <c r="E469" s="4">
        <v>18</v>
      </c>
      <c r="F469" s="4">
        <v>12</v>
      </c>
      <c r="G469" s="1" t="s">
        <v>32</v>
      </c>
      <c r="H469" s="1" t="s">
        <v>46</v>
      </c>
      <c r="I469" s="5" t="s">
        <v>890</v>
      </c>
      <c r="J469" s="4">
        <v>88</v>
      </c>
    </row>
    <row r="470" spans="1:10" x14ac:dyDescent="0.3">
      <c r="A470" s="1" t="s">
        <v>891</v>
      </c>
      <c r="B470" s="1" t="s">
        <v>68</v>
      </c>
      <c r="C470" s="1" t="s">
        <v>79</v>
      </c>
      <c r="D470" s="1" t="s">
        <v>31</v>
      </c>
      <c r="E470" s="4">
        <v>17</v>
      </c>
      <c r="F470" s="4">
        <v>10</v>
      </c>
      <c r="G470" s="1" t="s">
        <v>32</v>
      </c>
      <c r="H470" s="1" t="s">
        <v>61</v>
      </c>
      <c r="I470" s="5" t="s">
        <v>892</v>
      </c>
      <c r="J470" s="4">
        <v>56</v>
      </c>
    </row>
    <row r="471" spans="1:10" x14ac:dyDescent="0.3">
      <c r="A471" s="1" t="s">
        <v>893</v>
      </c>
      <c r="B471" s="1" t="s">
        <v>29</v>
      </c>
      <c r="C471" s="1" t="s">
        <v>30</v>
      </c>
      <c r="D471" s="1" t="s">
        <v>13</v>
      </c>
      <c r="E471" s="4">
        <v>17</v>
      </c>
      <c r="F471" s="4">
        <v>9</v>
      </c>
      <c r="G471" s="1" t="s">
        <v>14</v>
      </c>
      <c r="H471" s="1" t="s">
        <v>46</v>
      </c>
      <c r="I471" s="5" t="s">
        <v>423</v>
      </c>
      <c r="J471" s="4">
        <v>46</v>
      </c>
    </row>
    <row r="472" spans="1:10" x14ac:dyDescent="0.3">
      <c r="A472" s="1" t="s">
        <v>894</v>
      </c>
      <c r="B472" s="1" t="s">
        <v>23</v>
      </c>
      <c r="C472" s="1" t="s">
        <v>79</v>
      </c>
      <c r="D472" s="1" t="s">
        <v>31</v>
      </c>
      <c r="E472" s="4">
        <v>20</v>
      </c>
      <c r="F472" s="4">
        <v>9</v>
      </c>
      <c r="G472" s="1" t="s">
        <v>14</v>
      </c>
      <c r="H472" s="1" t="s">
        <v>26</v>
      </c>
      <c r="I472" s="5" t="s">
        <v>895</v>
      </c>
      <c r="J472" s="4">
        <v>36</v>
      </c>
    </row>
    <row r="473" spans="1:10" x14ac:dyDescent="0.3">
      <c r="A473" s="1" t="s">
        <v>896</v>
      </c>
      <c r="B473" s="1" t="s">
        <v>11</v>
      </c>
      <c r="C473" s="1" t="s">
        <v>36</v>
      </c>
      <c r="D473" s="1" t="s">
        <v>13</v>
      </c>
      <c r="E473" s="4">
        <v>15</v>
      </c>
      <c r="F473" s="4">
        <v>11</v>
      </c>
      <c r="G473" s="1" t="s">
        <v>14</v>
      </c>
      <c r="H473" s="1" t="s">
        <v>26</v>
      </c>
      <c r="I473" s="5" t="s">
        <v>897</v>
      </c>
      <c r="J473" s="4">
        <v>95</v>
      </c>
    </row>
    <row r="474" spans="1:10" x14ac:dyDescent="0.3">
      <c r="A474" s="1" t="s">
        <v>898</v>
      </c>
      <c r="B474" s="1" t="s">
        <v>18</v>
      </c>
      <c r="C474" s="1" t="s">
        <v>19</v>
      </c>
      <c r="D474" s="1" t="s">
        <v>13</v>
      </c>
      <c r="E474" s="4">
        <v>17</v>
      </c>
      <c r="F474" s="4">
        <v>10</v>
      </c>
      <c r="G474" s="1" t="s">
        <v>25</v>
      </c>
      <c r="H474" s="1" t="s">
        <v>61</v>
      </c>
      <c r="I474" s="5" t="s">
        <v>471</v>
      </c>
      <c r="J474" s="4">
        <v>58</v>
      </c>
    </row>
    <row r="475" spans="1:10" x14ac:dyDescent="0.3">
      <c r="A475" s="1" t="s">
        <v>899</v>
      </c>
      <c r="B475" s="1" t="s">
        <v>11</v>
      </c>
      <c r="C475" s="1" t="s">
        <v>79</v>
      </c>
      <c r="D475" s="1" t="s">
        <v>13</v>
      </c>
      <c r="E475" s="4">
        <v>15</v>
      </c>
      <c r="F475" s="4">
        <v>10</v>
      </c>
      <c r="G475" s="1" t="s">
        <v>14</v>
      </c>
      <c r="H475" s="1" t="s">
        <v>37</v>
      </c>
      <c r="I475" s="5" t="s">
        <v>900</v>
      </c>
      <c r="J475" s="4">
        <v>88</v>
      </c>
    </row>
    <row r="476" spans="1:10" x14ac:dyDescent="0.3">
      <c r="A476" s="1" t="s">
        <v>901</v>
      </c>
      <c r="B476" s="1" t="s">
        <v>68</v>
      </c>
      <c r="C476" s="1" t="s">
        <v>19</v>
      </c>
      <c r="D476" s="1" t="s">
        <v>31</v>
      </c>
      <c r="E476" s="4">
        <v>18</v>
      </c>
      <c r="F476" s="4">
        <v>11</v>
      </c>
      <c r="G476" s="1" t="s">
        <v>14</v>
      </c>
      <c r="H476" s="1" t="s">
        <v>40</v>
      </c>
      <c r="I476" s="5" t="s">
        <v>139</v>
      </c>
      <c r="J476" s="4">
        <v>75</v>
      </c>
    </row>
    <row r="477" spans="1:10" x14ac:dyDescent="0.3">
      <c r="A477" s="1" t="s">
        <v>902</v>
      </c>
      <c r="B477" s="1" t="s">
        <v>35</v>
      </c>
      <c r="C477" s="1" t="s">
        <v>12</v>
      </c>
      <c r="D477" s="1" t="s">
        <v>31</v>
      </c>
      <c r="E477" s="4">
        <v>14</v>
      </c>
      <c r="F477" s="4">
        <v>11</v>
      </c>
      <c r="G477" s="1" t="s">
        <v>14</v>
      </c>
      <c r="H477" s="1" t="s">
        <v>37</v>
      </c>
      <c r="I477" s="5" t="s">
        <v>271</v>
      </c>
      <c r="J477" s="4">
        <v>59</v>
      </c>
    </row>
    <row r="478" spans="1:10" x14ac:dyDescent="0.3">
      <c r="A478" s="1" t="s">
        <v>903</v>
      </c>
      <c r="B478" s="1" t="s">
        <v>54</v>
      </c>
      <c r="C478" s="1" t="s">
        <v>30</v>
      </c>
      <c r="D478" s="1" t="s">
        <v>31</v>
      </c>
      <c r="E478" s="4">
        <v>20</v>
      </c>
      <c r="F478" s="4">
        <v>12</v>
      </c>
      <c r="G478" s="1" t="s">
        <v>43</v>
      </c>
      <c r="H478" s="1" t="s">
        <v>40</v>
      </c>
      <c r="I478" s="5" t="s">
        <v>904</v>
      </c>
      <c r="J478" s="4">
        <v>55</v>
      </c>
    </row>
    <row r="479" spans="1:10" x14ac:dyDescent="0.3">
      <c r="A479" s="1" t="s">
        <v>905</v>
      </c>
      <c r="B479" s="1" t="s">
        <v>54</v>
      </c>
      <c r="C479" s="1" t="s">
        <v>30</v>
      </c>
      <c r="D479" s="1" t="s">
        <v>13</v>
      </c>
      <c r="E479" s="4">
        <v>16</v>
      </c>
      <c r="F479" s="4">
        <v>12</v>
      </c>
      <c r="G479" s="1" t="s">
        <v>43</v>
      </c>
      <c r="H479" s="1" t="s">
        <v>40</v>
      </c>
      <c r="I479" s="5" t="s">
        <v>556</v>
      </c>
      <c r="J479" s="4">
        <v>81</v>
      </c>
    </row>
    <row r="480" spans="1:10" x14ac:dyDescent="0.3">
      <c r="A480" s="1" t="s">
        <v>906</v>
      </c>
      <c r="B480" s="1" t="s">
        <v>73</v>
      </c>
      <c r="C480" s="1" t="s">
        <v>36</v>
      </c>
      <c r="D480" s="1" t="s">
        <v>13</v>
      </c>
      <c r="E480" s="4">
        <v>17</v>
      </c>
      <c r="F480" s="4">
        <v>12</v>
      </c>
      <c r="G480" s="1" t="s">
        <v>25</v>
      </c>
      <c r="H480" s="1" t="s">
        <v>76</v>
      </c>
      <c r="I480" s="5" t="s">
        <v>907</v>
      </c>
      <c r="J480" s="4">
        <v>75</v>
      </c>
    </row>
    <row r="481" spans="1:10" x14ac:dyDescent="0.3">
      <c r="A481" s="1" t="s">
        <v>908</v>
      </c>
      <c r="B481" s="1" t="s">
        <v>11</v>
      </c>
      <c r="C481" s="1" t="s">
        <v>79</v>
      </c>
      <c r="D481" s="1" t="s">
        <v>31</v>
      </c>
      <c r="E481" s="4">
        <v>14</v>
      </c>
      <c r="F481" s="4">
        <v>10</v>
      </c>
      <c r="G481" s="1" t="s">
        <v>14</v>
      </c>
      <c r="H481" s="1" t="s">
        <v>46</v>
      </c>
      <c r="I481" s="5" t="s">
        <v>909</v>
      </c>
      <c r="J481" s="4">
        <v>55</v>
      </c>
    </row>
    <row r="482" spans="1:10" x14ac:dyDescent="0.3">
      <c r="A482" s="1" t="s">
        <v>910</v>
      </c>
      <c r="B482" s="1" t="s">
        <v>84</v>
      </c>
      <c r="C482" s="1" t="s">
        <v>12</v>
      </c>
      <c r="D482" s="1" t="s">
        <v>31</v>
      </c>
      <c r="E482" s="4">
        <v>18</v>
      </c>
      <c r="F482" s="4">
        <v>11</v>
      </c>
      <c r="G482" s="1" t="s">
        <v>25</v>
      </c>
      <c r="H482" s="1" t="s">
        <v>15</v>
      </c>
      <c r="I482" s="5" t="s">
        <v>911</v>
      </c>
      <c r="J482" s="4">
        <v>87</v>
      </c>
    </row>
    <row r="483" spans="1:10" x14ac:dyDescent="0.3">
      <c r="A483" s="1" t="s">
        <v>912</v>
      </c>
      <c r="B483" s="1" t="s">
        <v>23</v>
      </c>
      <c r="C483" s="1" t="s">
        <v>79</v>
      </c>
      <c r="D483" s="1" t="s">
        <v>31</v>
      </c>
      <c r="E483" s="4">
        <v>17</v>
      </c>
      <c r="F483" s="4">
        <v>12</v>
      </c>
      <c r="G483" s="1" t="s">
        <v>32</v>
      </c>
      <c r="H483" s="1" t="s">
        <v>46</v>
      </c>
      <c r="I483" s="5" t="s">
        <v>400</v>
      </c>
      <c r="J483" s="4">
        <v>70</v>
      </c>
    </row>
    <row r="484" spans="1:10" x14ac:dyDescent="0.3">
      <c r="A484" s="1" t="s">
        <v>913</v>
      </c>
      <c r="B484" s="1" t="s">
        <v>68</v>
      </c>
      <c r="C484" s="1" t="s">
        <v>58</v>
      </c>
      <c r="D484" s="1" t="s">
        <v>13</v>
      </c>
      <c r="E484" s="4">
        <v>14</v>
      </c>
      <c r="F484" s="4">
        <v>10</v>
      </c>
      <c r="G484" s="1" t="s">
        <v>14</v>
      </c>
      <c r="H484" s="1" t="s">
        <v>15</v>
      </c>
      <c r="I484" s="5" t="s">
        <v>914</v>
      </c>
      <c r="J484" s="4">
        <v>69</v>
      </c>
    </row>
    <row r="485" spans="1:10" x14ac:dyDescent="0.3">
      <c r="A485" s="1" t="s">
        <v>915</v>
      </c>
      <c r="B485" s="1" t="s">
        <v>23</v>
      </c>
      <c r="C485" s="1" t="s">
        <v>58</v>
      </c>
      <c r="D485" s="1" t="s">
        <v>31</v>
      </c>
      <c r="E485" s="4">
        <v>17</v>
      </c>
      <c r="F485" s="4">
        <v>9</v>
      </c>
      <c r="G485" s="1" t="s">
        <v>25</v>
      </c>
      <c r="H485" s="1" t="s">
        <v>46</v>
      </c>
      <c r="I485" s="5" t="s">
        <v>916</v>
      </c>
      <c r="J485" s="4">
        <v>85</v>
      </c>
    </row>
    <row r="486" spans="1:10" x14ac:dyDescent="0.3">
      <c r="A486" s="1" t="s">
        <v>917</v>
      </c>
      <c r="B486" s="1" t="s">
        <v>11</v>
      </c>
      <c r="C486" s="1" t="s">
        <v>96</v>
      </c>
      <c r="D486" s="1" t="s">
        <v>31</v>
      </c>
      <c r="E486" s="4">
        <v>19</v>
      </c>
      <c r="F486" s="4">
        <v>11</v>
      </c>
      <c r="G486" s="1" t="s">
        <v>43</v>
      </c>
      <c r="H486" s="1" t="s">
        <v>26</v>
      </c>
      <c r="I486" s="5" t="s">
        <v>918</v>
      </c>
      <c r="J486" s="4">
        <v>87</v>
      </c>
    </row>
    <row r="487" spans="1:10" x14ac:dyDescent="0.3">
      <c r="A487" s="1" t="s">
        <v>919</v>
      </c>
      <c r="B487" s="1" t="s">
        <v>23</v>
      </c>
      <c r="C487" s="1" t="s">
        <v>19</v>
      </c>
      <c r="D487" s="1" t="s">
        <v>13</v>
      </c>
      <c r="E487" s="4">
        <v>14</v>
      </c>
      <c r="F487" s="4">
        <v>12</v>
      </c>
      <c r="G487" s="1" t="s">
        <v>14</v>
      </c>
      <c r="H487" s="1" t="s">
        <v>15</v>
      </c>
      <c r="I487" s="5" t="s">
        <v>920</v>
      </c>
      <c r="J487" s="4">
        <v>92</v>
      </c>
    </row>
    <row r="488" spans="1:10" x14ac:dyDescent="0.3">
      <c r="A488" s="1" t="s">
        <v>921</v>
      </c>
      <c r="B488" s="1" t="s">
        <v>18</v>
      </c>
      <c r="C488" s="1" t="s">
        <v>24</v>
      </c>
      <c r="D488" s="1" t="s">
        <v>13</v>
      </c>
      <c r="E488" s="4">
        <v>19</v>
      </c>
      <c r="F488" s="4">
        <v>10</v>
      </c>
      <c r="G488" s="1" t="s">
        <v>14</v>
      </c>
      <c r="H488" s="1" t="s">
        <v>20</v>
      </c>
      <c r="I488" s="5" t="s">
        <v>922</v>
      </c>
      <c r="J488" s="4">
        <v>58</v>
      </c>
    </row>
    <row r="489" spans="1:10" x14ac:dyDescent="0.3">
      <c r="A489" s="1" t="s">
        <v>923</v>
      </c>
      <c r="B489" s="1" t="s">
        <v>68</v>
      </c>
      <c r="C489" s="1" t="s">
        <v>55</v>
      </c>
      <c r="D489" s="1" t="s">
        <v>31</v>
      </c>
      <c r="E489" s="4">
        <v>16</v>
      </c>
      <c r="F489" s="4">
        <v>12</v>
      </c>
      <c r="G489" s="1" t="s">
        <v>43</v>
      </c>
      <c r="H489" s="1" t="s">
        <v>37</v>
      </c>
      <c r="I489" s="5" t="s">
        <v>924</v>
      </c>
      <c r="J489" s="4">
        <v>77</v>
      </c>
    </row>
    <row r="490" spans="1:10" x14ac:dyDescent="0.3">
      <c r="A490" s="1" t="s">
        <v>925</v>
      </c>
      <c r="B490" s="1" t="s">
        <v>68</v>
      </c>
      <c r="C490" s="1" t="s">
        <v>30</v>
      </c>
      <c r="D490" s="1" t="s">
        <v>31</v>
      </c>
      <c r="E490" s="4">
        <v>18</v>
      </c>
      <c r="F490" s="4">
        <v>9</v>
      </c>
      <c r="G490" s="1" t="s">
        <v>32</v>
      </c>
      <c r="H490" s="1" t="s">
        <v>20</v>
      </c>
      <c r="I490" s="5" t="s">
        <v>732</v>
      </c>
      <c r="J490" s="4">
        <v>86</v>
      </c>
    </row>
    <row r="491" spans="1:10" x14ac:dyDescent="0.3">
      <c r="A491" s="1" t="s">
        <v>926</v>
      </c>
      <c r="B491" s="1" t="s">
        <v>73</v>
      </c>
      <c r="C491" s="1" t="s">
        <v>85</v>
      </c>
      <c r="D491" s="1" t="s">
        <v>13</v>
      </c>
      <c r="E491" s="4">
        <v>14</v>
      </c>
      <c r="F491" s="4">
        <v>9</v>
      </c>
      <c r="G491" s="1" t="s">
        <v>32</v>
      </c>
      <c r="H491" s="1" t="s">
        <v>20</v>
      </c>
      <c r="I491" s="5" t="s">
        <v>927</v>
      </c>
      <c r="J491" s="4">
        <v>94</v>
      </c>
    </row>
    <row r="492" spans="1:10" x14ac:dyDescent="0.3">
      <c r="A492" s="1" t="s">
        <v>928</v>
      </c>
      <c r="B492" s="1" t="s">
        <v>23</v>
      </c>
      <c r="C492" s="1" t="s">
        <v>55</v>
      </c>
      <c r="D492" s="1" t="s">
        <v>13</v>
      </c>
      <c r="E492" s="4">
        <v>20</v>
      </c>
      <c r="F492" s="4">
        <v>11</v>
      </c>
      <c r="G492" s="1" t="s">
        <v>14</v>
      </c>
      <c r="H492" s="1" t="s">
        <v>15</v>
      </c>
      <c r="I492" s="5" t="s">
        <v>608</v>
      </c>
      <c r="J492" s="4">
        <v>49</v>
      </c>
    </row>
    <row r="493" spans="1:10" x14ac:dyDescent="0.3">
      <c r="A493" s="1" t="s">
        <v>929</v>
      </c>
      <c r="B493" s="1" t="s">
        <v>35</v>
      </c>
      <c r="C493" s="1" t="s">
        <v>30</v>
      </c>
      <c r="D493" s="1" t="s">
        <v>13</v>
      </c>
      <c r="E493" s="4">
        <v>15</v>
      </c>
      <c r="F493" s="4">
        <v>12</v>
      </c>
      <c r="G493" s="1" t="s">
        <v>32</v>
      </c>
      <c r="H493" s="1" t="s">
        <v>26</v>
      </c>
      <c r="I493" s="5" t="s">
        <v>262</v>
      </c>
      <c r="J493" s="4">
        <v>55</v>
      </c>
    </row>
    <row r="494" spans="1:10" x14ac:dyDescent="0.3">
      <c r="A494" s="1" t="s">
        <v>930</v>
      </c>
      <c r="B494" s="1" t="s">
        <v>35</v>
      </c>
      <c r="C494" s="1" t="s">
        <v>96</v>
      </c>
      <c r="D494" s="1" t="s">
        <v>31</v>
      </c>
      <c r="E494" s="4">
        <v>20</v>
      </c>
      <c r="F494" s="4">
        <v>9</v>
      </c>
      <c r="G494" s="1" t="s">
        <v>25</v>
      </c>
      <c r="H494" s="1" t="s">
        <v>61</v>
      </c>
      <c r="I494" s="5" t="s">
        <v>342</v>
      </c>
      <c r="J494" s="4">
        <v>62</v>
      </c>
    </row>
    <row r="495" spans="1:10" x14ac:dyDescent="0.3">
      <c r="A495" s="1" t="s">
        <v>931</v>
      </c>
      <c r="B495" s="1" t="s">
        <v>23</v>
      </c>
      <c r="C495" s="1" t="s">
        <v>36</v>
      </c>
      <c r="D495" s="1" t="s">
        <v>13</v>
      </c>
      <c r="E495" s="4">
        <v>20</v>
      </c>
      <c r="F495" s="4">
        <v>9</v>
      </c>
      <c r="G495" s="1" t="s">
        <v>43</v>
      </c>
      <c r="H495" s="1" t="s">
        <v>40</v>
      </c>
      <c r="I495" s="5" t="s">
        <v>932</v>
      </c>
      <c r="J495" s="4">
        <v>85</v>
      </c>
    </row>
    <row r="496" spans="1:10" x14ac:dyDescent="0.3">
      <c r="A496" s="1" t="s">
        <v>933</v>
      </c>
      <c r="B496" s="1" t="s">
        <v>51</v>
      </c>
      <c r="C496" s="1" t="s">
        <v>96</v>
      </c>
      <c r="D496" s="1" t="s">
        <v>13</v>
      </c>
      <c r="E496" s="4">
        <v>20</v>
      </c>
      <c r="F496" s="4">
        <v>11</v>
      </c>
      <c r="G496" s="1" t="s">
        <v>25</v>
      </c>
      <c r="H496" s="1" t="s">
        <v>15</v>
      </c>
      <c r="I496" s="5" t="s">
        <v>494</v>
      </c>
      <c r="J496" s="4">
        <v>42</v>
      </c>
    </row>
    <row r="497" spans="1:10" x14ac:dyDescent="0.3">
      <c r="A497" s="1" t="s">
        <v>934</v>
      </c>
      <c r="B497" s="1" t="s">
        <v>51</v>
      </c>
      <c r="C497" s="1" t="s">
        <v>58</v>
      </c>
      <c r="D497" s="1" t="s">
        <v>31</v>
      </c>
      <c r="E497" s="4">
        <v>18</v>
      </c>
      <c r="F497" s="4">
        <v>11</v>
      </c>
      <c r="G497" s="1" t="s">
        <v>14</v>
      </c>
      <c r="H497" s="1" t="s">
        <v>37</v>
      </c>
      <c r="I497" s="5" t="s">
        <v>806</v>
      </c>
      <c r="J497" s="4">
        <v>88</v>
      </c>
    </row>
    <row r="498" spans="1:10" x14ac:dyDescent="0.3">
      <c r="A498" s="1" t="s">
        <v>935</v>
      </c>
      <c r="B498" s="1" t="s">
        <v>18</v>
      </c>
      <c r="C498" s="1" t="s">
        <v>12</v>
      </c>
      <c r="D498" s="1" t="s">
        <v>13</v>
      </c>
      <c r="E498" s="4">
        <v>20</v>
      </c>
      <c r="F498" s="4">
        <v>11</v>
      </c>
      <c r="G498" s="1" t="s">
        <v>43</v>
      </c>
      <c r="H498" s="1" t="s">
        <v>46</v>
      </c>
      <c r="I498" s="5" t="s">
        <v>936</v>
      </c>
      <c r="J498" s="4">
        <v>94</v>
      </c>
    </row>
    <row r="499" spans="1:10" x14ac:dyDescent="0.3">
      <c r="A499" s="1" t="s">
        <v>937</v>
      </c>
      <c r="B499" s="1" t="s">
        <v>73</v>
      </c>
      <c r="C499" s="1" t="s">
        <v>85</v>
      </c>
      <c r="D499" s="1" t="s">
        <v>31</v>
      </c>
      <c r="E499" s="4">
        <v>16</v>
      </c>
      <c r="F499" s="4">
        <v>10</v>
      </c>
      <c r="G499" s="1" t="s">
        <v>25</v>
      </c>
      <c r="H499" s="1" t="s">
        <v>76</v>
      </c>
      <c r="I499" s="5" t="s">
        <v>305</v>
      </c>
      <c r="J499" s="4">
        <v>90</v>
      </c>
    </row>
    <row r="500" spans="1:10" x14ac:dyDescent="0.3">
      <c r="A500" s="1" t="s">
        <v>938</v>
      </c>
      <c r="B500" s="1" t="s">
        <v>18</v>
      </c>
      <c r="C500" s="1" t="s">
        <v>58</v>
      </c>
      <c r="D500" s="1" t="s">
        <v>13</v>
      </c>
      <c r="E500" s="4">
        <v>16</v>
      </c>
      <c r="F500" s="4">
        <v>12</v>
      </c>
      <c r="G500" s="1" t="s">
        <v>25</v>
      </c>
      <c r="H500" s="1" t="s">
        <v>26</v>
      </c>
      <c r="I500" s="5" t="s">
        <v>939</v>
      </c>
      <c r="J500" s="4">
        <v>41</v>
      </c>
    </row>
    <row r="501" spans="1:10" x14ac:dyDescent="0.3">
      <c r="A501" s="1" t="s">
        <v>940</v>
      </c>
      <c r="B501" s="1" t="s">
        <v>51</v>
      </c>
      <c r="C501" s="1" t="s">
        <v>96</v>
      </c>
      <c r="D501" s="1" t="s">
        <v>31</v>
      </c>
      <c r="E501" s="4">
        <v>18</v>
      </c>
      <c r="F501" s="4">
        <v>9</v>
      </c>
      <c r="G501" s="1" t="s">
        <v>43</v>
      </c>
      <c r="H501" s="1" t="s">
        <v>76</v>
      </c>
      <c r="I501" s="5" t="s">
        <v>506</v>
      </c>
      <c r="J501" s="4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2FFD-5BBC-438B-8A66-C8E296BB19E1}">
  <dimension ref="A1:C57"/>
  <sheetViews>
    <sheetView topLeftCell="A34" workbookViewId="0">
      <selection activeCell="A58" sqref="A58"/>
    </sheetView>
  </sheetViews>
  <sheetFormatPr defaultRowHeight="14.4" x14ac:dyDescent="0.3"/>
  <cols>
    <col min="2" max="2" width="36.109375" bestFit="1" customWidth="1"/>
  </cols>
  <sheetData>
    <row r="1" spans="1:3" ht="15.6" x14ac:dyDescent="0.3">
      <c r="A1" s="7" t="s">
        <v>941</v>
      </c>
    </row>
    <row r="3" spans="1:3" x14ac:dyDescent="0.3">
      <c r="B3" t="s">
        <v>942</v>
      </c>
      <c r="C3">
        <f>COUNTA(Student!A2:A501)</f>
        <v>500</v>
      </c>
    </row>
    <row r="5" spans="1:3" x14ac:dyDescent="0.3">
      <c r="A5" s="6" t="s">
        <v>943</v>
      </c>
    </row>
    <row r="6" spans="1:3" x14ac:dyDescent="0.3">
      <c r="A6" s="6"/>
    </row>
    <row r="7" spans="1:3" x14ac:dyDescent="0.3">
      <c r="A7" s="6"/>
      <c r="B7" t="s">
        <v>959</v>
      </c>
      <c r="C7" s="8">
        <f>MAX(Student!J2:J501)</f>
        <v>100</v>
      </c>
    </row>
    <row r="8" spans="1:3" x14ac:dyDescent="0.3">
      <c r="A8" s="6"/>
    </row>
    <row r="9" spans="1:3" x14ac:dyDescent="0.3">
      <c r="A9" s="6" t="s">
        <v>944</v>
      </c>
    </row>
    <row r="10" spans="1:3" x14ac:dyDescent="0.3">
      <c r="A10" s="6"/>
    </row>
    <row r="11" spans="1:3" x14ac:dyDescent="0.3">
      <c r="A11" s="6"/>
      <c r="B11" t="s">
        <v>960</v>
      </c>
      <c r="C11" s="8">
        <f>MIN(Student!J2:J501)</f>
        <v>35</v>
      </c>
    </row>
    <row r="12" spans="1:3" x14ac:dyDescent="0.3">
      <c r="A12" s="6"/>
    </row>
    <row r="13" spans="1:3" x14ac:dyDescent="0.3">
      <c r="A13" s="6" t="s">
        <v>945</v>
      </c>
    </row>
    <row r="14" spans="1:3" x14ac:dyDescent="0.3">
      <c r="A14" s="6"/>
    </row>
    <row r="15" spans="1:3" x14ac:dyDescent="0.3">
      <c r="A15" s="6"/>
      <c r="B15" t="s">
        <v>961</v>
      </c>
      <c r="C15" s="8">
        <f>AVERAGE(Student!J2:J501)</f>
        <v>66.507999999999996</v>
      </c>
    </row>
    <row r="16" spans="1:3" x14ac:dyDescent="0.3">
      <c r="A16" s="6"/>
    </row>
    <row r="17" spans="1:3" x14ac:dyDescent="0.3">
      <c r="A17" s="6" t="s">
        <v>946</v>
      </c>
    </row>
    <row r="18" spans="1:3" x14ac:dyDescent="0.3">
      <c r="A18" s="6"/>
    </row>
    <row r="19" spans="1:3" x14ac:dyDescent="0.3">
      <c r="A19" s="6"/>
      <c r="B19" t="s">
        <v>962</v>
      </c>
      <c r="C19">
        <f>COUNTIF(Student!D2:D501,"male")</f>
        <v>229</v>
      </c>
    </row>
    <row r="20" spans="1:3" x14ac:dyDescent="0.3">
      <c r="A20" s="6"/>
      <c r="B20" t="s">
        <v>963</v>
      </c>
      <c r="C20">
        <f>COUNTIF(Student!D2:D501,"female")</f>
        <v>271</v>
      </c>
    </row>
    <row r="21" spans="1:3" x14ac:dyDescent="0.3">
      <c r="A21" s="6"/>
    </row>
    <row r="22" spans="1:3" x14ac:dyDescent="0.3">
      <c r="A22" s="6" t="s">
        <v>947</v>
      </c>
    </row>
    <row r="23" spans="1:3" x14ac:dyDescent="0.3">
      <c r="A23" s="6"/>
    </row>
    <row r="24" spans="1:3" x14ac:dyDescent="0.3">
      <c r="A24" s="6"/>
      <c r="B24" t="s">
        <v>964</v>
      </c>
      <c r="C24" s="8">
        <f>AVERAGE(Student!E2:E501)</f>
        <v>16.975999999999999</v>
      </c>
    </row>
    <row r="25" spans="1:3" x14ac:dyDescent="0.3">
      <c r="A25" s="6"/>
    </row>
    <row r="26" spans="1:3" x14ac:dyDescent="0.3">
      <c r="A26" s="6" t="s">
        <v>969</v>
      </c>
    </row>
    <row r="27" spans="1:3" x14ac:dyDescent="0.3">
      <c r="A27" s="6"/>
    </row>
    <row r="28" spans="1:3" x14ac:dyDescent="0.3">
      <c r="A28" s="6"/>
      <c r="B28" t="s">
        <v>978</v>
      </c>
      <c r="C28">
        <f>COUNTIF(Student!H2:H501,"Kolkata")</f>
        <v>57</v>
      </c>
    </row>
    <row r="29" spans="1:3" x14ac:dyDescent="0.3">
      <c r="A29" s="6"/>
    </row>
    <row r="30" spans="1:3" x14ac:dyDescent="0.3">
      <c r="A30" s="6" t="s">
        <v>970</v>
      </c>
    </row>
    <row r="31" spans="1:3" x14ac:dyDescent="0.3">
      <c r="A31" s="6"/>
    </row>
    <row r="32" spans="1:3" x14ac:dyDescent="0.3">
      <c r="A32" s="6"/>
      <c r="B32" t="s">
        <v>979</v>
      </c>
      <c r="C32">
        <f>COUNTIF(Student!J2:J501,"&gt;80")</f>
        <v>150</v>
      </c>
    </row>
    <row r="33" spans="1:3" x14ac:dyDescent="0.3">
      <c r="A33" s="6"/>
    </row>
    <row r="34" spans="1:3" x14ac:dyDescent="0.3">
      <c r="A34" s="6" t="s">
        <v>971</v>
      </c>
    </row>
    <row r="35" spans="1:3" x14ac:dyDescent="0.3">
      <c r="A35" s="6"/>
    </row>
    <row r="36" spans="1:3" x14ac:dyDescent="0.3">
      <c r="A36" s="6"/>
      <c r="B36" t="s">
        <v>980</v>
      </c>
      <c r="C36">
        <f>COUNTIFS(Student!D2:D501,"Female",Student!F2:F501,"12")</f>
        <v>72</v>
      </c>
    </row>
    <row r="37" spans="1:3" x14ac:dyDescent="0.3">
      <c r="A37" s="6"/>
    </row>
    <row r="38" spans="1:3" x14ac:dyDescent="0.3">
      <c r="A38" s="6" t="s">
        <v>972</v>
      </c>
    </row>
    <row r="39" spans="1:3" x14ac:dyDescent="0.3">
      <c r="A39" s="6"/>
    </row>
    <row r="40" spans="1:3" x14ac:dyDescent="0.3">
      <c r="A40" s="6"/>
      <c r="B40" t="s">
        <v>981</v>
      </c>
      <c r="C40">
        <f>COUNTIFS(Student!D2:D501,"Male",Student!H2:H501,"Delhi",Student!J2:J501,"&gt;70")</f>
        <v>17</v>
      </c>
    </row>
    <row r="41" spans="1:3" x14ac:dyDescent="0.3">
      <c r="A41" s="6"/>
    </row>
    <row r="42" spans="1:3" x14ac:dyDescent="0.3">
      <c r="A42" s="6" t="s">
        <v>973</v>
      </c>
    </row>
    <row r="43" spans="1:3" x14ac:dyDescent="0.3">
      <c r="A43" s="6"/>
    </row>
    <row r="44" spans="1:3" x14ac:dyDescent="0.3">
      <c r="A44" s="6"/>
      <c r="B44" t="s">
        <v>982</v>
      </c>
      <c r="C44" s="10">
        <f>AVERAGEIF(Student!H2:H501,"Kolkata",Student!J2:J501)</f>
        <v>65.05263157894737</v>
      </c>
    </row>
    <row r="45" spans="1:3" x14ac:dyDescent="0.3">
      <c r="A45" s="6"/>
    </row>
    <row r="46" spans="1:3" x14ac:dyDescent="0.3">
      <c r="A46" s="6" t="s">
        <v>974</v>
      </c>
    </row>
    <row r="47" spans="1:3" x14ac:dyDescent="0.3">
      <c r="A47" s="6"/>
    </row>
    <row r="48" spans="1:3" x14ac:dyDescent="0.3">
      <c r="A48" s="6"/>
      <c r="B48" t="s">
        <v>983</v>
      </c>
      <c r="C48" s="10">
        <f>AVERAGEIF(Student!D2:D501,"Female",Student!J2:J501)</f>
        <v>66.12177121771218</v>
      </c>
    </row>
    <row r="49" spans="1:3" x14ac:dyDescent="0.3">
      <c r="A49" s="6"/>
    </row>
    <row r="50" spans="1:3" x14ac:dyDescent="0.3">
      <c r="A50" s="6" t="s">
        <v>975</v>
      </c>
    </row>
    <row r="51" spans="1:3" x14ac:dyDescent="0.3">
      <c r="A51" s="6"/>
    </row>
    <row r="52" spans="1:3" x14ac:dyDescent="0.3">
      <c r="A52" s="6"/>
      <c r="B52" t="s">
        <v>984</v>
      </c>
      <c r="C52">
        <f>SUMIF(Student!F2:F501,"10",Student!J2:J501)</f>
        <v>7624</v>
      </c>
    </row>
    <row r="53" spans="1:3" x14ac:dyDescent="0.3">
      <c r="A53" s="6"/>
    </row>
    <row r="54" spans="1:3" x14ac:dyDescent="0.3">
      <c r="A54" s="6" t="s">
        <v>976</v>
      </c>
    </row>
    <row r="55" spans="1:3" x14ac:dyDescent="0.3">
      <c r="A55" s="6"/>
    </row>
    <row r="56" spans="1:3" x14ac:dyDescent="0.3">
      <c r="A56" s="6"/>
      <c r="B56" t="s">
        <v>985</v>
      </c>
      <c r="C56" s="10">
        <f>AVERAGEIF(Student!H2:H501,"Mumbai",Student!E2:E501)</f>
        <v>17.159420289855074</v>
      </c>
    </row>
    <row r="57" spans="1:3" x14ac:dyDescent="0.3">
      <c r="A5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A09D-DC9F-47A6-80ED-FA32DCA9F867}">
  <dimension ref="A1:O501"/>
  <sheetViews>
    <sheetView workbookViewId="0">
      <selection activeCell="L2" sqref="L2:L501"/>
    </sheetView>
  </sheetViews>
  <sheetFormatPr defaultRowHeight="14.4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966</v>
      </c>
      <c r="L1" s="9" t="s">
        <v>968</v>
      </c>
      <c r="N1" s="6" t="s">
        <v>958</v>
      </c>
    </row>
    <row r="2" spans="1:15" x14ac:dyDescent="0.3">
      <c r="A2" s="1" t="s">
        <v>10</v>
      </c>
      <c r="B2" s="1" t="s">
        <v>11</v>
      </c>
      <c r="C2" s="1" t="s">
        <v>12</v>
      </c>
      <c r="D2" s="1" t="s">
        <v>13</v>
      </c>
      <c r="E2" s="4">
        <v>16</v>
      </c>
      <c r="F2" s="4">
        <v>10</v>
      </c>
      <c r="G2" s="1" t="s">
        <v>14</v>
      </c>
      <c r="H2" s="1" t="s">
        <v>15</v>
      </c>
      <c r="I2" s="5" t="s">
        <v>16</v>
      </c>
      <c r="J2" s="4">
        <v>37</v>
      </c>
      <c r="K2" t="str">
        <f>IF(J2&gt;=40,"pass","fail")</f>
        <v>fail</v>
      </c>
      <c r="L2" t="str">
        <f>IF(J2&gt;=90,"A+",IF(J2&gt;=80,"A",IF(J2&gt;=70,"B",IF(J2&gt;=60,"C",IF(J2&gt;=50,"D",IF(J2&gt;=40,"E","F"))))))</f>
        <v>F</v>
      </c>
      <c r="N2">
        <v>17</v>
      </c>
      <c r="O2" t="s">
        <v>967</v>
      </c>
    </row>
    <row r="3" spans="1:15" x14ac:dyDescent="0.3">
      <c r="A3" s="1" t="s">
        <v>17</v>
      </c>
      <c r="B3" s="1" t="s">
        <v>18</v>
      </c>
      <c r="C3" s="1" t="s">
        <v>19</v>
      </c>
      <c r="D3" s="1" t="s">
        <v>13</v>
      </c>
      <c r="E3" s="4">
        <v>15</v>
      </c>
      <c r="F3" s="4">
        <v>12</v>
      </c>
      <c r="G3" s="1" t="s">
        <v>14</v>
      </c>
      <c r="H3" s="1" t="s">
        <v>20</v>
      </c>
      <c r="I3" s="5" t="s">
        <v>21</v>
      </c>
      <c r="J3" s="4">
        <v>98</v>
      </c>
      <c r="K3" t="str">
        <f t="shared" ref="K3:K66" si="0">IF(J3&gt;=40,"pass","fail")</f>
        <v>pass</v>
      </c>
      <c r="L3" t="str">
        <f t="shared" ref="L3:L66" si="1">IF(J3&gt;=90,"A+",IF(J3&gt;=80,"A",IF(J3&gt;=70,"B",IF(J3&gt;=60,"C",IF(J3&gt;=50,"D",IF(J3&gt;=40,"E","F"))))))</f>
        <v>A+</v>
      </c>
    </row>
    <row r="4" spans="1:15" x14ac:dyDescent="0.3">
      <c r="A4" s="1" t="s">
        <v>22</v>
      </c>
      <c r="B4" s="1" t="s">
        <v>23</v>
      </c>
      <c r="C4" s="1" t="s">
        <v>24</v>
      </c>
      <c r="D4" s="1" t="s">
        <v>13</v>
      </c>
      <c r="E4" s="4">
        <v>14</v>
      </c>
      <c r="F4" s="4">
        <v>12</v>
      </c>
      <c r="G4" s="1" t="s">
        <v>25</v>
      </c>
      <c r="H4" s="1" t="s">
        <v>26</v>
      </c>
      <c r="I4" s="5" t="s">
        <v>27</v>
      </c>
      <c r="J4" s="4">
        <v>38</v>
      </c>
      <c r="K4" t="str">
        <f t="shared" si="0"/>
        <v>fail</v>
      </c>
      <c r="L4" t="str">
        <f t="shared" si="1"/>
        <v>F</v>
      </c>
    </row>
    <row r="5" spans="1:15" x14ac:dyDescent="0.3">
      <c r="A5" s="1" t="s">
        <v>28</v>
      </c>
      <c r="B5" s="1" t="s">
        <v>29</v>
      </c>
      <c r="C5" s="1" t="s">
        <v>30</v>
      </c>
      <c r="D5" s="1" t="s">
        <v>31</v>
      </c>
      <c r="E5" s="4">
        <v>20</v>
      </c>
      <c r="F5" s="4">
        <v>9</v>
      </c>
      <c r="G5" s="1" t="s">
        <v>32</v>
      </c>
      <c r="H5" s="1" t="s">
        <v>26</v>
      </c>
      <c r="I5" s="5" t="s">
        <v>33</v>
      </c>
      <c r="J5" s="4">
        <v>84</v>
      </c>
      <c r="K5" t="str">
        <f t="shared" si="0"/>
        <v>pass</v>
      </c>
      <c r="L5" t="str">
        <f t="shared" si="1"/>
        <v>A</v>
      </c>
    </row>
    <row r="6" spans="1:15" x14ac:dyDescent="0.3">
      <c r="A6" s="1" t="s">
        <v>34</v>
      </c>
      <c r="B6" s="1" t="s">
        <v>35</v>
      </c>
      <c r="C6" s="1" t="s">
        <v>36</v>
      </c>
      <c r="D6" s="1" t="s">
        <v>31</v>
      </c>
      <c r="E6" s="4">
        <v>17</v>
      </c>
      <c r="F6" s="4">
        <v>10</v>
      </c>
      <c r="G6" s="1" t="s">
        <v>32</v>
      </c>
      <c r="H6" s="1" t="s">
        <v>37</v>
      </c>
      <c r="I6" s="5" t="s">
        <v>38</v>
      </c>
      <c r="J6" s="4">
        <v>45</v>
      </c>
      <c r="K6" t="str">
        <f t="shared" si="0"/>
        <v>pass</v>
      </c>
      <c r="L6" t="str">
        <f t="shared" si="1"/>
        <v>E</v>
      </c>
    </row>
    <row r="7" spans="1:15" x14ac:dyDescent="0.3">
      <c r="A7" s="1" t="s">
        <v>39</v>
      </c>
      <c r="B7" s="1" t="s">
        <v>11</v>
      </c>
      <c r="C7" s="1" t="s">
        <v>12</v>
      </c>
      <c r="D7" s="1" t="s">
        <v>31</v>
      </c>
      <c r="E7" s="4">
        <v>19</v>
      </c>
      <c r="F7" s="4">
        <v>10</v>
      </c>
      <c r="G7" s="1" t="s">
        <v>14</v>
      </c>
      <c r="H7" s="1" t="s">
        <v>40</v>
      </c>
      <c r="I7" s="5" t="s">
        <v>41</v>
      </c>
      <c r="J7" s="4">
        <v>36</v>
      </c>
      <c r="K7" t="str">
        <f t="shared" si="0"/>
        <v>fail</v>
      </c>
      <c r="L7" t="str">
        <f t="shared" si="1"/>
        <v>F</v>
      </c>
    </row>
    <row r="8" spans="1:15" x14ac:dyDescent="0.3">
      <c r="A8" s="1" t="s">
        <v>42</v>
      </c>
      <c r="B8" s="1" t="s">
        <v>29</v>
      </c>
      <c r="C8" s="1" t="s">
        <v>24</v>
      </c>
      <c r="D8" s="1" t="s">
        <v>31</v>
      </c>
      <c r="E8" s="4">
        <v>20</v>
      </c>
      <c r="F8" s="4">
        <v>9</v>
      </c>
      <c r="G8" s="1" t="s">
        <v>43</v>
      </c>
      <c r="H8" s="1" t="s">
        <v>40</v>
      </c>
      <c r="I8" s="5" t="s">
        <v>44</v>
      </c>
      <c r="J8" s="4">
        <v>88</v>
      </c>
      <c r="K8" t="str">
        <f t="shared" si="0"/>
        <v>pass</v>
      </c>
      <c r="L8" t="str">
        <f t="shared" si="1"/>
        <v>A</v>
      </c>
    </row>
    <row r="9" spans="1:15" x14ac:dyDescent="0.3">
      <c r="A9" s="1" t="s">
        <v>45</v>
      </c>
      <c r="B9" s="1" t="s">
        <v>35</v>
      </c>
      <c r="C9" s="1" t="s">
        <v>12</v>
      </c>
      <c r="D9" s="1" t="s">
        <v>13</v>
      </c>
      <c r="E9" s="4">
        <v>19</v>
      </c>
      <c r="F9" s="4">
        <v>12</v>
      </c>
      <c r="G9" s="1" t="s">
        <v>32</v>
      </c>
      <c r="H9" s="1" t="s">
        <v>46</v>
      </c>
      <c r="I9" s="5" t="s">
        <v>47</v>
      </c>
      <c r="J9" s="4">
        <v>60</v>
      </c>
      <c r="K9" t="str">
        <f t="shared" si="0"/>
        <v>pass</v>
      </c>
      <c r="L9" t="str">
        <f t="shared" si="1"/>
        <v>C</v>
      </c>
    </row>
    <row r="10" spans="1:15" x14ac:dyDescent="0.3">
      <c r="A10" s="1" t="s">
        <v>48</v>
      </c>
      <c r="B10" s="1" t="s">
        <v>18</v>
      </c>
      <c r="C10" s="1" t="s">
        <v>30</v>
      </c>
      <c r="D10" s="1" t="s">
        <v>31</v>
      </c>
      <c r="E10" s="4">
        <v>19</v>
      </c>
      <c r="F10" s="4">
        <v>12</v>
      </c>
      <c r="G10" s="1" t="s">
        <v>14</v>
      </c>
      <c r="H10" s="1" t="s">
        <v>46</v>
      </c>
      <c r="I10" s="5" t="s">
        <v>49</v>
      </c>
      <c r="J10" s="4">
        <v>92</v>
      </c>
      <c r="K10" t="str">
        <f t="shared" si="0"/>
        <v>pass</v>
      </c>
      <c r="L10" t="str">
        <f t="shared" si="1"/>
        <v>A+</v>
      </c>
    </row>
    <row r="11" spans="1:15" x14ac:dyDescent="0.3">
      <c r="A11" s="1" t="s">
        <v>50</v>
      </c>
      <c r="B11" s="1" t="s">
        <v>51</v>
      </c>
      <c r="C11" s="1" t="s">
        <v>24</v>
      </c>
      <c r="D11" s="1" t="s">
        <v>31</v>
      </c>
      <c r="E11" s="4">
        <v>15</v>
      </c>
      <c r="F11" s="4">
        <v>9</v>
      </c>
      <c r="G11" s="1" t="s">
        <v>43</v>
      </c>
      <c r="H11" s="1" t="s">
        <v>15</v>
      </c>
      <c r="I11" s="5" t="s">
        <v>52</v>
      </c>
      <c r="J11" s="4">
        <v>90</v>
      </c>
      <c r="K11" t="str">
        <f t="shared" si="0"/>
        <v>pass</v>
      </c>
      <c r="L11" t="str">
        <f t="shared" si="1"/>
        <v>A+</v>
      </c>
    </row>
    <row r="12" spans="1:15" x14ac:dyDescent="0.3">
      <c r="A12" s="1" t="s">
        <v>53</v>
      </c>
      <c r="B12" s="1" t="s">
        <v>54</v>
      </c>
      <c r="C12" s="1" t="s">
        <v>55</v>
      </c>
      <c r="D12" s="1" t="s">
        <v>31</v>
      </c>
      <c r="E12" s="4">
        <v>20</v>
      </c>
      <c r="F12" s="4">
        <v>10</v>
      </c>
      <c r="G12" s="1" t="s">
        <v>25</v>
      </c>
      <c r="H12" s="1" t="s">
        <v>40</v>
      </c>
      <c r="I12" s="5" t="s">
        <v>56</v>
      </c>
      <c r="J12" s="4">
        <v>59</v>
      </c>
      <c r="K12" t="str">
        <f t="shared" si="0"/>
        <v>pass</v>
      </c>
      <c r="L12" t="str">
        <f t="shared" si="1"/>
        <v>D</v>
      </c>
    </row>
    <row r="13" spans="1:15" x14ac:dyDescent="0.3">
      <c r="A13" s="1" t="s">
        <v>57</v>
      </c>
      <c r="B13" s="1" t="s">
        <v>51</v>
      </c>
      <c r="C13" s="1" t="s">
        <v>58</v>
      </c>
      <c r="D13" s="1" t="s">
        <v>13</v>
      </c>
      <c r="E13" s="4">
        <v>14</v>
      </c>
      <c r="F13" s="4">
        <v>12</v>
      </c>
      <c r="G13" s="1" t="s">
        <v>32</v>
      </c>
      <c r="H13" s="1" t="s">
        <v>40</v>
      </c>
      <c r="I13" s="5" t="s">
        <v>59</v>
      </c>
      <c r="J13" s="4">
        <v>43</v>
      </c>
      <c r="K13" t="str">
        <f t="shared" si="0"/>
        <v>pass</v>
      </c>
      <c r="L13" t="str">
        <f t="shared" si="1"/>
        <v>E</v>
      </c>
    </row>
    <row r="14" spans="1:15" x14ac:dyDescent="0.3">
      <c r="A14" s="1" t="s">
        <v>60</v>
      </c>
      <c r="B14" s="1" t="s">
        <v>35</v>
      </c>
      <c r="C14" s="1" t="s">
        <v>55</v>
      </c>
      <c r="D14" s="1" t="s">
        <v>13</v>
      </c>
      <c r="E14" s="4">
        <v>15</v>
      </c>
      <c r="F14" s="4">
        <v>12</v>
      </c>
      <c r="G14" s="1" t="s">
        <v>14</v>
      </c>
      <c r="H14" s="1" t="s">
        <v>61</v>
      </c>
      <c r="I14" s="5" t="s">
        <v>62</v>
      </c>
      <c r="J14" s="4">
        <v>51</v>
      </c>
      <c r="K14" t="str">
        <f t="shared" si="0"/>
        <v>pass</v>
      </c>
      <c r="L14" t="str">
        <f t="shared" si="1"/>
        <v>D</v>
      </c>
    </row>
    <row r="15" spans="1:15" x14ac:dyDescent="0.3">
      <c r="A15" s="1" t="s">
        <v>63</v>
      </c>
      <c r="B15" s="1" t="s">
        <v>11</v>
      </c>
      <c r="C15" s="1" t="s">
        <v>55</v>
      </c>
      <c r="D15" s="1" t="s">
        <v>13</v>
      </c>
      <c r="E15" s="4">
        <v>16</v>
      </c>
      <c r="F15" s="4">
        <v>10</v>
      </c>
      <c r="G15" s="1" t="s">
        <v>25</v>
      </c>
      <c r="H15" s="1" t="s">
        <v>26</v>
      </c>
      <c r="I15" s="5" t="s">
        <v>64</v>
      </c>
      <c r="J15" s="4">
        <v>42</v>
      </c>
      <c r="K15" t="str">
        <f t="shared" si="0"/>
        <v>pass</v>
      </c>
      <c r="L15" t="str">
        <f t="shared" si="1"/>
        <v>E</v>
      </c>
    </row>
    <row r="16" spans="1:15" x14ac:dyDescent="0.3">
      <c r="A16" s="1" t="s">
        <v>65</v>
      </c>
      <c r="B16" s="1" t="s">
        <v>23</v>
      </c>
      <c r="C16" s="1" t="s">
        <v>30</v>
      </c>
      <c r="D16" s="1" t="s">
        <v>13</v>
      </c>
      <c r="E16" s="4">
        <v>20</v>
      </c>
      <c r="F16" s="4">
        <v>12</v>
      </c>
      <c r="G16" s="1" t="s">
        <v>14</v>
      </c>
      <c r="H16" s="1" t="s">
        <v>40</v>
      </c>
      <c r="I16" s="5" t="s">
        <v>66</v>
      </c>
      <c r="J16" s="4">
        <v>62</v>
      </c>
      <c r="K16" t="str">
        <f t="shared" si="0"/>
        <v>pass</v>
      </c>
      <c r="L16" t="str">
        <f t="shared" si="1"/>
        <v>C</v>
      </c>
    </row>
    <row r="17" spans="1:12" x14ac:dyDescent="0.3">
      <c r="A17" s="1" t="s">
        <v>67</v>
      </c>
      <c r="B17" s="1" t="s">
        <v>68</v>
      </c>
      <c r="C17" s="1" t="s">
        <v>19</v>
      </c>
      <c r="D17" s="1" t="s">
        <v>13</v>
      </c>
      <c r="E17" s="4">
        <v>20</v>
      </c>
      <c r="F17" s="4">
        <v>9</v>
      </c>
      <c r="G17" s="1" t="s">
        <v>14</v>
      </c>
      <c r="H17" s="1" t="s">
        <v>20</v>
      </c>
      <c r="I17" s="5" t="s">
        <v>69</v>
      </c>
      <c r="J17" s="4">
        <v>55</v>
      </c>
      <c r="K17" t="str">
        <f t="shared" si="0"/>
        <v>pass</v>
      </c>
      <c r="L17" t="str">
        <f t="shared" si="1"/>
        <v>D</v>
      </c>
    </row>
    <row r="18" spans="1:12" x14ac:dyDescent="0.3">
      <c r="A18" s="1" t="s">
        <v>70</v>
      </c>
      <c r="B18" s="1" t="s">
        <v>51</v>
      </c>
      <c r="C18" s="1" t="s">
        <v>36</v>
      </c>
      <c r="D18" s="1" t="s">
        <v>13</v>
      </c>
      <c r="E18" s="4">
        <v>14</v>
      </c>
      <c r="F18" s="4">
        <v>12</v>
      </c>
      <c r="G18" s="1" t="s">
        <v>25</v>
      </c>
      <c r="H18" s="1" t="s">
        <v>37</v>
      </c>
      <c r="I18" s="5" t="s">
        <v>71</v>
      </c>
      <c r="J18" s="4">
        <v>42</v>
      </c>
      <c r="K18" t="str">
        <f t="shared" si="0"/>
        <v>pass</v>
      </c>
      <c r="L18" t="str">
        <f t="shared" si="1"/>
        <v>E</v>
      </c>
    </row>
    <row r="19" spans="1:12" x14ac:dyDescent="0.3">
      <c r="A19" s="1" t="s">
        <v>72</v>
      </c>
      <c r="B19" s="1" t="s">
        <v>73</v>
      </c>
      <c r="C19" s="1" t="s">
        <v>58</v>
      </c>
      <c r="D19" s="1" t="s">
        <v>31</v>
      </c>
      <c r="E19" s="4">
        <v>19</v>
      </c>
      <c r="F19" s="4">
        <v>9</v>
      </c>
      <c r="G19" s="1" t="s">
        <v>32</v>
      </c>
      <c r="H19" s="1" t="s">
        <v>46</v>
      </c>
      <c r="I19" s="5" t="s">
        <v>74</v>
      </c>
      <c r="J19" s="4">
        <v>76</v>
      </c>
      <c r="K19" t="str">
        <f t="shared" si="0"/>
        <v>pass</v>
      </c>
      <c r="L19" t="str">
        <f t="shared" si="1"/>
        <v>B</v>
      </c>
    </row>
    <row r="20" spans="1:12" x14ac:dyDescent="0.3">
      <c r="A20" s="1" t="s">
        <v>75</v>
      </c>
      <c r="B20" s="1" t="s">
        <v>29</v>
      </c>
      <c r="C20" s="1" t="s">
        <v>58</v>
      </c>
      <c r="D20" s="1" t="s">
        <v>31</v>
      </c>
      <c r="E20" s="4">
        <v>17</v>
      </c>
      <c r="F20" s="4">
        <v>12</v>
      </c>
      <c r="G20" s="1" t="s">
        <v>32</v>
      </c>
      <c r="H20" s="1" t="s">
        <v>76</v>
      </c>
      <c r="I20" s="5" t="s">
        <v>77</v>
      </c>
      <c r="J20" s="4">
        <v>66</v>
      </c>
      <c r="K20" t="str">
        <f t="shared" si="0"/>
        <v>pass</v>
      </c>
      <c r="L20" t="str">
        <f t="shared" si="1"/>
        <v>C</v>
      </c>
    </row>
    <row r="21" spans="1:12" x14ac:dyDescent="0.3">
      <c r="A21" s="1" t="s">
        <v>78</v>
      </c>
      <c r="B21" s="1" t="s">
        <v>68</v>
      </c>
      <c r="C21" s="1" t="s">
        <v>79</v>
      </c>
      <c r="D21" s="1" t="s">
        <v>31</v>
      </c>
      <c r="E21" s="4">
        <v>15</v>
      </c>
      <c r="F21" s="4">
        <v>10</v>
      </c>
      <c r="G21" s="1" t="s">
        <v>14</v>
      </c>
      <c r="H21" s="1" t="s">
        <v>20</v>
      </c>
      <c r="I21" s="5" t="s">
        <v>80</v>
      </c>
      <c r="J21" s="4">
        <v>59</v>
      </c>
      <c r="K21" t="str">
        <f t="shared" si="0"/>
        <v>pass</v>
      </c>
      <c r="L21" t="str">
        <f t="shared" si="1"/>
        <v>D</v>
      </c>
    </row>
    <row r="22" spans="1:12" x14ac:dyDescent="0.3">
      <c r="A22" s="1" t="s">
        <v>81</v>
      </c>
      <c r="B22" s="1" t="s">
        <v>29</v>
      </c>
      <c r="C22" s="1" t="s">
        <v>58</v>
      </c>
      <c r="D22" s="1" t="s">
        <v>31</v>
      </c>
      <c r="E22" s="4">
        <v>19</v>
      </c>
      <c r="F22" s="4">
        <v>9</v>
      </c>
      <c r="G22" s="1" t="s">
        <v>14</v>
      </c>
      <c r="H22" s="1" t="s">
        <v>61</v>
      </c>
      <c r="I22" s="5" t="s">
        <v>82</v>
      </c>
      <c r="J22" s="4">
        <v>50</v>
      </c>
      <c r="K22" t="str">
        <f t="shared" si="0"/>
        <v>pass</v>
      </c>
      <c r="L22" t="str">
        <f t="shared" si="1"/>
        <v>D</v>
      </c>
    </row>
    <row r="23" spans="1:12" x14ac:dyDescent="0.3">
      <c r="A23" s="1" t="s">
        <v>83</v>
      </c>
      <c r="B23" s="1" t="s">
        <v>84</v>
      </c>
      <c r="C23" s="1" t="s">
        <v>85</v>
      </c>
      <c r="D23" s="1" t="s">
        <v>31</v>
      </c>
      <c r="E23" s="4">
        <v>16</v>
      </c>
      <c r="F23" s="4">
        <v>9</v>
      </c>
      <c r="G23" s="1" t="s">
        <v>43</v>
      </c>
      <c r="H23" s="1" t="s">
        <v>37</v>
      </c>
      <c r="I23" s="5" t="s">
        <v>86</v>
      </c>
      <c r="J23" s="4">
        <v>52</v>
      </c>
      <c r="K23" t="str">
        <f t="shared" si="0"/>
        <v>pass</v>
      </c>
      <c r="L23" t="str">
        <f t="shared" si="1"/>
        <v>D</v>
      </c>
    </row>
    <row r="24" spans="1:12" x14ac:dyDescent="0.3">
      <c r="A24" s="1" t="s">
        <v>87</v>
      </c>
      <c r="B24" s="1" t="s">
        <v>18</v>
      </c>
      <c r="C24" s="1" t="s">
        <v>12</v>
      </c>
      <c r="D24" s="1" t="s">
        <v>13</v>
      </c>
      <c r="E24" s="4">
        <v>20</v>
      </c>
      <c r="F24" s="4">
        <v>12</v>
      </c>
      <c r="G24" s="1" t="s">
        <v>32</v>
      </c>
      <c r="H24" s="1" t="s">
        <v>26</v>
      </c>
      <c r="I24" s="5" t="s">
        <v>88</v>
      </c>
      <c r="J24" s="4">
        <v>86</v>
      </c>
      <c r="K24" t="str">
        <f t="shared" si="0"/>
        <v>pass</v>
      </c>
      <c r="L24" t="str">
        <f t="shared" si="1"/>
        <v>A</v>
      </c>
    </row>
    <row r="25" spans="1:12" x14ac:dyDescent="0.3">
      <c r="A25" s="1" t="s">
        <v>89</v>
      </c>
      <c r="B25" s="1" t="s">
        <v>68</v>
      </c>
      <c r="C25" s="1" t="s">
        <v>85</v>
      </c>
      <c r="D25" s="1" t="s">
        <v>31</v>
      </c>
      <c r="E25" s="4">
        <v>16</v>
      </c>
      <c r="F25" s="4">
        <v>9</v>
      </c>
      <c r="G25" s="1" t="s">
        <v>43</v>
      </c>
      <c r="H25" s="1" t="s">
        <v>20</v>
      </c>
      <c r="I25" s="5" t="s">
        <v>90</v>
      </c>
      <c r="J25" s="4">
        <v>52</v>
      </c>
      <c r="K25" t="str">
        <f t="shared" si="0"/>
        <v>pass</v>
      </c>
      <c r="L25" t="str">
        <f t="shared" si="1"/>
        <v>D</v>
      </c>
    </row>
    <row r="26" spans="1:12" x14ac:dyDescent="0.3">
      <c r="A26" s="1" t="s">
        <v>91</v>
      </c>
      <c r="B26" s="1" t="s">
        <v>73</v>
      </c>
      <c r="C26" s="1" t="s">
        <v>12</v>
      </c>
      <c r="D26" s="1" t="s">
        <v>13</v>
      </c>
      <c r="E26" s="4">
        <v>20</v>
      </c>
      <c r="F26" s="4">
        <v>10</v>
      </c>
      <c r="G26" s="1" t="s">
        <v>43</v>
      </c>
      <c r="H26" s="1" t="s">
        <v>46</v>
      </c>
      <c r="I26" s="5" t="s">
        <v>92</v>
      </c>
      <c r="J26" s="4">
        <v>82</v>
      </c>
      <c r="K26" t="str">
        <f t="shared" si="0"/>
        <v>pass</v>
      </c>
      <c r="L26" t="str">
        <f t="shared" si="1"/>
        <v>A</v>
      </c>
    </row>
    <row r="27" spans="1:12" x14ac:dyDescent="0.3">
      <c r="A27" s="1" t="s">
        <v>93</v>
      </c>
      <c r="B27" s="1" t="s">
        <v>29</v>
      </c>
      <c r="C27" s="1" t="s">
        <v>24</v>
      </c>
      <c r="D27" s="1" t="s">
        <v>31</v>
      </c>
      <c r="E27" s="4">
        <v>14</v>
      </c>
      <c r="F27" s="4">
        <v>12</v>
      </c>
      <c r="G27" s="1" t="s">
        <v>32</v>
      </c>
      <c r="H27" s="1" t="s">
        <v>61</v>
      </c>
      <c r="I27" s="5" t="s">
        <v>94</v>
      </c>
      <c r="J27" s="4">
        <v>72</v>
      </c>
      <c r="K27" t="str">
        <f t="shared" si="0"/>
        <v>pass</v>
      </c>
      <c r="L27" t="str">
        <f t="shared" si="1"/>
        <v>B</v>
      </c>
    </row>
    <row r="28" spans="1:12" x14ac:dyDescent="0.3">
      <c r="A28" s="1" t="s">
        <v>95</v>
      </c>
      <c r="B28" s="1" t="s">
        <v>18</v>
      </c>
      <c r="C28" s="1" t="s">
        <v>96</v>
      </c>
      <c r="D28" s="1" t="s">
        <v>13</v>
      </c>
      <c r="E28" s="4">
        <v>19</v>
      </c>
      <c r="F28" s="4">
        <v>12</v>
      </c>
      <c r="G28" s="1" t="s">
        <v>14</v>
      </c>
      <c r="H28" s="1" t="s">
        <v>15</v>
      </c>
      <c r="I28" s="5" t="s">
        <v>97</v>
      </c>
      <c r="J28" s="4">
        <v>56</v>
      </c>
      <c r="K28" t="str">
        <f t="shared" si="0"/>
        <v>pass</v>
      </c>
      <c r="L28" t="str">
        <f t="shared" si="1"/>
        <v>D</v>
      </c>
    </row>
    <row r="29" spans="1:12" x14ac:dyDescent="0.3">
      <c r="A29" s="1" t="s">
        <v>98</v>
      </c>
      <c r="B29" s="1" t="s">
        <v>68</v>
      </c>
      <c r="C29" s="1" t="s">
        <v>55</v>
      </c>
      <c r="D29" s="1" t="s">
        <v>13</v>
      </c>
      <c r="E29" s="4">
        <v>19</v>
      </c>
      <c r="F29" s="4">
        <v>11</v>
      </c>
      <c r="G29" s="1" t="s">
        <v>43</v>
      </c>
      <c r="H29" s="1" t="s">
        <v>15</v>
      </c>
      <c r="I29" s="5" t="s">
        <v>99</v>
      </c>
      <c r="J29" s="4">
        <v>56</v>
      </c>
      <c r="K29" t="str">
        <f t="shared" si="0"/>
        <v>pass</v>
      </c>
      <c r="L29" t="str">
        <f t="shared" si="1"/>
        <v>D</v>
      </c>
    </row>
    <row r="30" spans="1:12" x14ac:dyDescent="0.3">
      <c r="A30" s="1" t="s">
        <v>100</v>
      </c>
      <c r="B30" s="1" t="s">
        <v>35</v>
      </c>
      <c r="C30" s="1" t="s">
        <v>12</v>
      </c>
      <c r="D30" s="1" t="s">
        <v>31</v>
      </c>
      <c r="E30" s="4">
        <v>19</v>
      </c>
      <c r="F30" s="4">
        <v>12</v>
      </c>
      <c r="G30" s="1" t="s">
        <v>25</v>
      </c>
      <c r="H30" s="1" t="s">
        <v>76</v>
      </c>
      <c r="I30" s="5" t="s">
        <v>101</v>
      </c>
      <c r="J30" s="4">
        <v>54</v>
      </c>
      <c r="K30" t="str">
        <f t="shared" si="0"/>
        <v>pass</v>
      </c>
      <c r="L30" t="str">
        <f t="shared" si="1"/>
        <v>D</v>
      </c>
    </row>
    <row r="31" spans="1:12" x14ac:dyDescent="0.3">
      <c r="A31" s="1" t="s">
        <v>102</v>
      </c>
      <c r="B31" s="1" t="s">
        <v>35</v>
      </c>
      <c r="C31" s="1" t="s">
        <v>12</v>
      </c>
      <c r="D31" s="1" t="s">
        <v>13</v>
      </c>
      <c r="E31" s="4">
        <v>20</v>
      </c>
      <c r="F31" s="4">
        <v>11</v>
      </c>
      <c r="G31" s="1" t="s">
        <v>14</v>
      </c>
      <c r="H31" s="1" t="s">
        <v>26</v>
      </c>
      <c r="I31" s="5" t="s">
        <v>103</v>
      </c>
      <c r="J31" s="4">
        <v>70</v>
      </c>
      <c r="K31" t="str">
        <f t="shared" si="0"/>
        <v>pass</v>
      </c>
      <c r="L31" t="str">
        <f t="shared" si="1"/>
        <v>B</v>
      </c>
    </row>
    <row r="32" spans="1:12" x14ac:dyDescent="0.3">
      <c r="A32" s="1" t="s">
        <v>104</v>
      </c>
      <c r="B32" s="1" t="s">
        <v>29</v>
      </c>
      <c r="C32" s="1" t="s">
        <v>79</v>
      </c>
      <c r="D32" s="1" t="s">
        <v>31</v>
      </c>
      <c r="E32" s="4">
        <v>18</v>
      </c>
      <c r="F32" s="4">
        <v>10</v>
      </c>
      <c r="G32" s="1" t="s">
        <v>25</v>
      </c>
      <c r="H32" s="1" t="s">
        <v>61</v>
      </c>
      <c r="I32" s="5" t="s">
        <v>105</v>
      </c>
      <c r="J32" s="4">
        <v>57</v>
      </c>
      <c r="K32" t="str">
        <f t="shared" si="0"/>
        <v>pass</v>
      </c>
      <c r="L32" t="str">
        <f t="shared" si="1"/>
        <v>D</v>
      </c>
    </row>
    <row r="33" spans="1:12" x14ac:dyDescent="0.3">
      <c r="A33" s="1" t="s">
        <v>106</v>
      </c>
      <c r="B33" s="1" t="s">
        <v>51</v>
      </c>
      <c r="C33" s="1" t="s">
        <v>55</v>
      </c>
      <c r="D33" s="1" t="s">
        <v>13</v>
      </c>
      <c r="E33" s="4">
        <v>20</v>
      </c>
      <c r="F33" s="4">
        <v>9</v>
      </c>
      <c r="G33" s="1" t="s">
        <v>32</v>
      </c>
      <c r="H33" s="1" t="s">
        <v>26</v>
      </c>
      <c r="I33" s="5" t="s">
        <v>107</v>
      </c>
      <c r="J33" s="4">
        <v>91</v>
      </c>
      <c r="K33" t="str">
        <f t="shared" si="0"/>
        <v>pass</v>
      </c>
      <c r="L33" t="str">
        <f t="shared" si="1"/>
        <v>A+</v>
      </c>
    </row>
    <row r="34" spans="1:12" x14ac:dyDescent="0.3">
      <c r="A34" s="1" t="s">
        <v>108</v>
      </c>
      <c r="B34" s="1" t="s">
        <v>29</v>
      </c>
      <c r="C34" s="1" t="s">
        <v>96</v>
      </c>
      <c r="D34" s="1" t="s">
        <v>31</v>
      </c>
      <c r="E34" s="4">
        <v>15</v>
      </c>
      <c r="F34" s="4">
        <v>11</v>
      </c>
      <c r="G34" s="1" t="s">
        <v>43</v>
      </c>
      <c r="H34" s="1" t="s">
        <v>26</v>
      </c>
      <c r="I34" s="5" t="s">
        <v>109</v>
      </c>
      <c r="J34" s="4">
        <v>77</v>
      </c>
      <c r="K34" t="str">
        <f t="shared" si="0"/>
        <v>pass</v>
      </c>
      <c r="L34" t="str">
        <f t="shared" si="1"/>
        <v>B</v>
      </c>
    </row>
    <row r="35" spans="1:12" x14ac:dyDescent="0.3">
      <c r="A35" s="1" t="s">
        <v>110</v>
      </c>
      <c r="B35" s="1" t="s">
        <v>51</v>
      </c>
      <c r="C35" s="1" t="s">
        <v>58</v>
      </c>
      <c r="D35" s="1" t="s">
        <v>31</v>
      </c>
      <c r="E35" s="4">
        <v>14</v>
      </c>
      <c r="F35" s="4">
        <v>10</v>
      </c>
      <c r="G35" s="1" t="s">
        <v>32</v>
      </c>
      <c r="H35" s="1" t="s">
        <v>76</v>
      </c>
      <c r="I35" s="5" t="s">
        <v>111</v>
      </c>
      <c r="J35" s="4">
        <v>60</v>
      </c>
      <c r="K35" t="str">
        <f t="shared" si="0"/>
        <v>pass</v>
      </c>
      <c r="L35" t="str">
        <f t="shared" si="1"/>
        <v>C</v>
      </c>
    </row>
    <row r="36" spans="1:12" x14ac:dyDescent="0.3">
      <c r="A36" s="1" t="s">
        <v>112</v>
      </c>
      <c r="B36" s="1" t="s">
        <v>73</v>
      </c>
      <c r="C36" s="1" t="s">
        <v>30</v>
      </c>
      <c r="D36" s="1" t="s">
        <v>13</v>
      </c>
      <c r="E36" s="4">
        <v>15</v>
      </c>
      <c r="F36" s="4">
        <v>9</v>
      </c>
      <c r="G36" s="1" t="s">
        <v>14</v>
      </c>
      <c r="H36" s="1" t="s">
        <v>26</v>
      </c>
      <c r="I36" s="5" t="s">
        <v>113</v>
      </c>
      <c r="J36" s="4">
        <v>58</v>
      </c>
      <c r="K36" t="str">
        <f t="shared" si="0"/>
        <v>pass</v>
      </c>
      <c r="L36" t="str">
        <f t="shared" si="1"/>
        <v>D</v>
      </c>
    </row>
    <row r="37" spans="1:12" x14ac:dyDescent="0.3">
      <c r="A37" s="1" t="s">
        <v>114</v>
      </c>
      <c r="B37" s="1" t="s">
        <v>73</v>
      </c>
      <c r="C37" s="1" t="s">
        <v>58</v>
      </c>
      <c r="D37" s="1" t="s">
        <v>13</v>
      </c>
      <c r="E37" s="4">
        <v>20</v>
      </c>
      <c r="F37" s="4">
        <v>9</v>
      </c>
      <c r="G37" s="1" t="s">
        <v>25</v>
      </c>
      <c r="H37" s="1" t="s">
        <v>46</v>
      </c>
      <c r="I37" s="5" t="s">
        <v>115</v>
      </c>
      <c r="J37" s="4">
        <v>40</v>
      </c>
      <c r="K37" t="str">
        <f t="shared" si="0"/>
        <v>pass</v>
      </c>
      <c r="L37" t="str">
        <f t="shared" si="1"/>
        <v>E</v>
      </c>
    </row>
    <row r="38" spans="1:12" x14ac:dyDescent="0.3">
      <c r="A38" s="1" t="s">
        <v>116</v>
      </c>
      <c r="B38" s="1" t="s">
        <v>84</v>
      </c>
      <c r="C38" s="1" t="s">
        <v>19</v>
      </c>
      <c r="D38" s="1" t="s">
        <v>13</v>
      </c>
      <c r="E38" s="4">
        <v>19</v>
      </c>
      <c r="F38" s="4">
        <v>12</v>
      </c>
      <c r="G38" s="1" t="s">
        <v>14</v>
      </c>
      <c r="H38" s="1" t="s">
        <v>20</v>
      </c>
      <c r="I38" s="5" t="s">
        <v>117</v>
      </c>
      <c r="J38" s="4">
        <v>56</v>
      </c>
      <c r="K38" t="str">
        <f t="shared" si="0"/>
        <v>pass</v>
      </c>
      <c r="L38" t="str">
        <f t="shared" si="1"/>
        <v>D</v>
      </c>
    </row>
    <row r="39" spans="1:12" x14ac:dyDescent="0.3">
      <c r="A39" s="1" t="s">
        <v>118</v>
      </c>
      <c r="B39" s="1" t="s">
        <v>84</v>
      </c>
      <c r="C39" s="1" t="s">
        <v>58</v>
      </c>
      <c r="D39" s="1" t="s">
        <v>31</v>
      </c>
      <c r="E39" s="4">
        <v>20</v>
      </c>
      <c r="F39" s="4">
        <v>10</v>
      </c>
      <c r="G39" s="1" t="s">
        <v>32</v>
      </c>
      <c r="H39" s="1" t="s">
        <v>26</v>
      </c>
      <c r="I39" s="5" t="s">
        <v>119</v>
      </c>
      <c r="J39" s="4">
        <v>52</v>
      </c>
      <c r="K39" t="str">
        <f t="shared" si="0"/>
        <v>pass</v>
      </c>
      <c r="L39" t="str">
        <f t="shared" si="1"/>
        <v>D</v>
      </c>
    </row>
    <row r="40" spans="1:12" x14ac:dyDescent="0.3">
      <c r="A40" s="1" t="s">
        <v>120</v>
      </c>
      <c r="B40" s="1" t="s">
        <v>35</v>
      </c>
      <c r="C40" s="1" t="s">
        <v>36</v>
      </c>
      <c r="D40" s="1" t="s">
        <v>31</v>
      </c>
      <c r="E40" s="4">
        <v>20</v>
      </c>
      <c r="F40" s="4">
        <v>10</v>
      </c>
      <c r="G40" s="1" t="s">
        <v>43</v>
      </c>
      <c r="H40" s="1" t="s">
        <v>61</v>
      </c>
      <c r="I40" s="5" t="s">
        <v>121</v>
      </c>
      <c r="J40" s="4">
        <v>37</v>
      </c>
      <c r="K40" t="str">
        <f t="shared" si="0"/>
        <v>fail</v>
      </c>
      <c r="L40" t="str">
        <f t="shared" si="1"/>
        <v>F</v>
      </c>
    </row>
    <row r="41" spans="1:12" x14ac:dyDescent="0.3">
      <c r="A41" s="1" t="s">
        <v>122</v>
      </c>
      <c r="B41" s="1" t="s">
        <v>18</v>
      </c>
      <c r="C41" s="1" t="s">
        <v>19</v>
      </c>
      <c r="D41" s="1" t="s">
        <v>13</v>
      </c>
      <c r="E41" s="4">
        <v>15</v>
      </c>
      <c r="F41" s="4">
        <v>10</v>
      </c>
      <c r="G41" s="1" t="s">
        <v>32</v>
      </c>
      <c r="H41" s="1" t="s">
        <v>20</v>
      </c>
      <c r="I41" s="5" t="s">
        <v>123</v>
      </c>
      <c r="J41" s="4">
        <v>51</v>
      </c>
      <c r="K41" t="str">
        <f t="shared" si="0"/>
        <v>pass</v>
      </c>
      <c r="L41" t="str">
        <f t="shared" si="1"/>
        <v>D</v>
      </c>
    </row>
    <row r="42" spans="1:12" x14ac:dyDescent="0.3">
      <c r="A42" s="1" t="s">
        <v>124</v>
      </c>
      <c r="B42" s="1" t="s">
        <v>68</v>
      </c>
      <c r="C42" s="1" t="s">
        <v>36</v>
      </c>
      <c r="D42" s="1" t="s">
        <v>13</v>
      </c>
      <c r="E42" s="4">
        <v>18</v>
      </c>
      <c r="F42" s="4">
        <v>10</v>
      </c>
      <c r="G42" s="1" t="s">
        <v>43</v>
      </c>
      <c r="H42" s="1" t="s">
        <v>20</v>
      </c>
      <c r="I42" s="5" t="s">
        <v>125</v>
      </c>
      <c r="J42" s="4">
        <v>66</v>
      </c>
      <c r="K42" t="str">
        <f t="shared" si="0"/>
        <v>pass</v>
      </c>
      <c r="L42" t="str">
        <f t="shared" si="1"/>
        <v>C</v>
      </c>
    </row>
    <row r="43" spans="1:12" x14ac:dyDescent="0.3">
      <c r="A43" s="1" t="s">
        <v>126</v>
      </c>
      <c r="B43" s="1" t="s">
        <v>18</v>
      </c>
      <c r="C43" s="1" t="s">
        <v>24</v>
      </c>
      <c r="D43" s="1" t="s">
        <v>13</v>
      </c>
      <c r="E43" s="4">
        <v>15</v>
      </c>
      <c r="F43" s="4">
        <v>9</v>
      </c>
      <c r="G43" s="1" t="s">
        <v>25</v>
      </c>
      <c r="H43" s="1" t="s">
        <v>76</v>
      </c>
      <c r="I43" s="5" t="s">
        <v>127</v>
      </c>
      <c r="J43" s="4">
        <v>59</v>
      </c>
      <c r="K43" t="str">
        <f t="shared" si="0"/>
        <v>pass</v>
      </c>
      <c r="L43" t="str">
        <f t="shared" si="1"/>
        <v>D</v>
      </c>
    </row>
    <row r="44" spans="1:12" x14ac:dyDescent="0.3">
      <c r="A44" s="1" t="s">
        <v>128</v>
      </c>
      <c r="B44" s="1" t="s">
        <v>11</v>
      </c>
      <c r="C44" s="1" t="s">
        <v>24</v>
      </c>
      <c r="D44" s="1" t="s">
        <v>31</v>
      </c>
      <c r="E44" s="4">
        <v>17</v>
      </c>
      <c r="F44" s="4">
        <v>12</v>
      </c>
      <c r="G44" s="1" t="s">
        <v>32</v>
      </c>
      <c r="H44" s="1" t="s">
        <v>15</v>
      </c>
      <c r="I44" s="5" t="s">
        <v>129</v>
      </c>
      <c r="J44" s="4">
        <v>68</v>
      </c>
      <c r="K44" t="str">
        <f t="shared" si="0"/>
        <v>pass</v>
      </c>
      <c r="L44" t="str">
        <f t="shared" si="1"/>
        <v>C</v>
      </c>
    </row>
    <row r="45" spans="1:12" x14ac:dyDescent="0.3">
      <c r="A45" s="1" t="s">
        <v>130</v>
      </c>
      <c r="B45" s="1" t="s">
        <v>73</v>
      </c>
      <c r="C45" s="1" t="s">
        <v>30</v>
      </c>
      <c r="D45" s="1" t="s">
        <v>13</v>
      </c>
      <c r="E45" s="4">
        <v>17</v>
      </c>
      <c r="F45" s="4">
        <v>12</v>
      </c>
      <c r="G45" s="1" t="s">
        <v>25</v>
      </c>
      <c r="H45" s="1" t="s">
        <v>40</v>
      </c>
      <c r="I45" s="5" t="s">
        <v>131</v>
      </c>
      <c r="J45" s="4">
        <v>82</v>
      </c>
      <c r="K45" t="str">
        <f t="shared" si="0"/>
        <v>pass</v>
      </c>
      <c r="L45" t="str">
        <f t="shared" si="1"/>
        <v>A</v>
      </c>
    </row>
    <row r="46" spans="1:12" x14ac:dyDescent="0.3">
      <c r="A46" s="1" t="s">
        <v>132</v>
      </c>
      <c r="B46" s="1" t="s">
        <v>29</v>
      </c>
      <c r="C46" s="1" t="s">
        <v>12</v>
      </c>
      <c r="D46" s="1" t="s">
        <v>13</v>
      </c>
      <c r="E46" s="4">
        <v>17</v>
      </c>
      <c r="F46" s="4">
        <v>10</v>
      </c>
      <c r="G46" s="1" t="s">
        <v>25</v>
      </c>
      <c r="H46" s="1" t="s">
        <v>37</v>
      </c>
      <c r="I46" s="5" t="s">
        <v>133</v>
      </c>
      <c r="J46" s="4">
        <v>88</v>
      </c>
      <c r="K46" t="str">
        <f t="shared" si="0"/>
        <v>pass</v>
      </c>
      <c r="L46" t="str">
        <f t="shared" si="1"/>
        <v>A</v>
      </c>
    </row>
    <row r="47" spans="1:12" x14ac:dyDescent="0.3">
      <c r="A47" s="1" t="s">
        <v>134</v>
      </c>
      <c r="B47" s="1" t="s">
        <v>23</v>
      </c>
      <c r="C47" s="1" t="s">
        <v>30</v>
      </c>
      <c r="D47" s="1" t="s">
        <v>31</v>
      </c>
      <c r="E47" s="4">
        <v>20</v>
      </c>
      <c r="F47" s="4">
        <v>9</v>
      </c>
      <c r="G47" s="1" t="s">
        <v>14</v>
      </c>
      <c r="H47" s="1" t="s">
        <v>15</v>
      </c>
      <c r="I47" s="5" t="s">
        <v>135</v>
      </c>
      <c r="J47" s="4">
        <v>50</v>
      </c>
      <c r="K47" t="str">
        <f t="shared" si="0"/>
        <v>pass</v>
      </c>
      <c r="L47" t="str">
        <f t="shared" si="1"/>
        <v>D</v>
      </c>
    </row>
    <row r="48" spans="1:12" x14ac:dyDescent="0.3">
      <c r="A48" s="1" t="s">
        <v>136</v>
      </c>
      <c r="B48" s="1" t="s">
        <v>11</v>
      </c>
      <c r="C48" s="1" t="s">
        <v>79</v>
      </c>
      <c r="D48" s="1" t="s">
        <v>13</v>
      </c>
      <c r="E48" s="4">
        <v>14</v>
      </c>
      <c r="F48" s="4">
        <v>10</v>
      </c>
      <c r="G48" s="1" t="s">
        <v>43</v>
      </c>
      <c r="H48" s="1" t="s">
        <v>61</v>
      </c>
      <c r="I48" s="5" t="s">
        <v>137</v>
      </c>
      <c r="J48" s="4">
        <v>65</v>
      </c>
      <c r="K48" t="str">
        <f t="shared" si="0"/>
        <v>pass</v>
      </c>
      <c r="L48" t="str">
        <f t="shared" si="1"/>
        <v>C</v>
      </c>
    </row>
    <row r="49" spans="1:12" x14ac:dyDescent="0.3">
      <c r="A49" s="1" t="s">
        <v>138</v>
      </c>
      <c r="B49" s="1" t="s">
        <v>51</v>
      </c>
      <c r="C49" s="1" t="s">
        <v>85</v>
      </c>
      <c r="D49" s="1" t="s">
        <v>13</v>
      </c>
      <c r="E49" s="4">
        <v>18</v>
      </c>
      <c r="F49" s="4">
        <v>11</v>
      </c>
      <c r="G49" s="1" t="s">
        <v>43</v>
      </c>
      <c r="H49" s="1" t="s">
        <v>61</v>
      </c>
      <c r="I49" s="5" t="s">
        <v>139</v>
      </c>
      <c r="J49" s="4">
        <v>100</v>
      </c>
      <c r="K49" t="str">
        <f t="shared" si="0"/>
        <v>pass</v>
      </c>
      <c r="L49" t="str">
        <f t="shared" si="1"/>
        <v>A+</v>
      </c>
    </row>
    <row r="50" spans="1:12" x14ac:dyDescent="0.3">
      <c r="A50" s="1" t="s">
        <v>140</v>
      </c>
      <c r="B50" s="1" t="s">
        <v>35</v>
      </c>
      <c r="C50" s="1" t="s">
        <v>30</v>
      </c>
      <c r="D50" s="1" t="s">
        <v>31</v>
      </c>
      <c r="E50" s="4">
        <v>19</v>
      </c>
      <c r="F50" s="4">
        <v>10</v>
      </c>
      <c r="G50" s="1" t="s">
        <v>32</v>
      </c>
      <c r="H50" s="1" t="s">
        <v>76</v>
      </c>
      <c r="I50" s="5" t="s">
        <v>141</v>
      </c>
      <c r="J50" s="4">
        <v>93</v>
      </c>
      <c r="K50" t="str">
        <f t="shared" si="0"/>
        <v>pass</v>
      </c>
      <c r="L50" t="str">
        <f t="shared" si="1"/>
        <v>A+</v>
      </c>
    </row>
    <row r="51" spans="1:12" x14ac:dyDescent="0.3">
      <c r="A51" s="1" t="s">
        <v>142</v>
      </c>
      <c r="B51" s="1" t="s">
        <v>29</v>
      </c>
      <c r="C51" s="1" t="s">
        <v>96</v>
      </c>
      <c r="D51" s="1" t="s">
        <v>31</v>
      </c>
      <c r="E51" s="4">
        <v>16</v>
      </c>
      <c r="F51" s="4">
        <v>12</v>
      </c>
      <c r="G51" s="1" t="s">
        <v>14</v>
      </c>
      <c r="H51" s="1" t="s">
        <v>37</v>
      </c>
      <c r="I51" s="5" t="s">
        <v>143</v>
      </c>
      <c r="J51" s="4">
        <v>85</v>
      </c>
      <c r="K51" t="str">
        <f t="shared" si="0"/>
        <v>pass</v>
      </c>
      <c r="L51" t="str">
        <f t="shared" si="1"/>
        <v>A</v>
      </c>
    </row>
    <row r="52" spans="1:12" x14ac:dyDescent="0.3">
      <c r="A52" s="1" t="s">
        <v>144</v>
      </c>
      <c r="B52" s="1" t="s">
        <v>73</v>
      </c>
      <c r="C52" s="1" t="s">
        <v>12</v>
      </c>
      <c r="D52" s="1" t="s">
        <v>31</v>
      </c>
      <c r="E52" s="4">
        <v>20</v>
      </c>
      <c r="F52" s="4">
        <v>10</v>
      </c>
      <c r="G52" s="1" t="s">
        <v>14</v>
      </c>
      <c r="H52" s="1" t="s">
        <v>26</v>
      </c>
      <c r="I52" s="5" t="s">
        <v>145</v>
      </c>
      <c r="J52" s="4">
        <v>71</v>
      </c>
      <c r="K52" t="str">
        <f t="shared" si="0"/>
        <v>pass</v>
      </c>
      <c r="L52" t="str">
        <f t="shared" si="1"/>
        <v>B</v>
      </c>
    </row>
    <row r="53" spans="1:12" x14ac:dyDescent="0.3">
      <c r="A53" s="1" t="s">
        <v>146</v>
      </c>
      <c r="B53" s="1" t="s">
        <v>35</v>
      </c>
      <c r="C53" s="1" t="s">
        <v>30</v>
      </c>
      <c r="D53" s="1" t="s">
        <v>31</v>
      </c>
      <c r="E53" s="4">
        <v>20</v>
      </c>
      <c r="F53" s="4">
        <v>9</v>
      </c>
      <c r="G53" s="1" t="s">
        <v>43</v>
      </c>
      <c r="H53" s="1" t="s">
        <v>15</v>
      </c>
      <c r="I53" s="5" t="s">
        <v>147</v>
      </c>
      <c r="J53" s="4">
        <v>40</v>
      </c>
      <c r="K53" t="str">
        <f t="shared" si="0"/>
        <v>pass</v>
      </c>
      <c r="L53" t="str">
        <f t="shared" si="1"/>
        <v>E</v>
      </c>
    </row>
    <row r="54" spans="1:12" x14ac:dyDescent="0.3">
      <c r="A54" s="1" t="s">
        <v>148</v>
      </c>
      <c r="B54" s="1" t="s">
        <v>51</v>
      </c>
      <c r="C54" s="1" t="s">
        <v>96</v>
      </c>
      <c r="D54" s="1" t="s">
        <v>13</v>
      </c>
      <c r="E54" s="4">
        <v>19</v>
      </c>
      <c r="F54" s="4">
        <v>11</v>
      </c>
      <c r="G54" s="1" t="s">
        <v>14</v>
      </c>
      <c r="H54" s="1" t="s">
        <v>76</v>
      </c>
      <c r="I54" s="5" t="s">
        <v>149</v>
      </c>
      <c r="J54" s="4">
        <v>83</v>
      </c>
      <c r="K54" t="str">
        <f t="shared" si="0"/>
        <v>pass</v>
      </c>
      <c r="L54" t="str">
        <f t="shared" si="1"/>
        <v>A</v>
      </c>
    </row>
    <row r="55" spans="1:12" x14ac:dyDescent="0.3">
      <c r="A55" s="1" t="s">
        <v>150</v>
      </c>
      <c r="B55" s="1" t="s">
        <v>23</v>
      </c>
      <c r="C55" s="1" t="s">
        <v>55</v>
      </c>
      <c r="D55" s="1" t="s">
        <v>31</v>
      </c>
      <c r="E55" s="4">
        <v>17</v>
      </c>
      <c r="F55" s="4">
        <v>9</v>
      </c>
      <c r="G55" s="1" t="s">
        <v>25</v>
      </c>
      <c r="H55" s="1" t="s">
        <v>20</v>
      </c>
      <c r="I55" s="5" t="s">
        <v>151</v>
      </c>
      <c r="J55" s="4">
        <v>55</v>
      </c>
      <c r="K55" t="str">
        <f t="shared" si="0"/>
        <v>pass</v>
      </c>
      <c r="L55" t="str">
        <f t="shared" si="1"/>
        <v>D</v>
      </c>
    </row>
    <row r="56" spans="1:12" x14ac:dyDescent="0.3">
      <c r="A56" s="1" t="s">
        <v>152</v>
      </c>
      <c r="B56" s="1" t="s">
        <v>23</v>
      </c>
      <c r="C56" s="1" t="s">
        <v>55</v>
      </c>
      <c r="D56" s="1" t="s">
        <v>13</v>
      </c>
      <c r="E56" s="4">
        <v>17</v>
      </c>
      <c r="F56" s="4">
        <v>12</v>
      </c>
      <c r="G56" s="1" t="s">
        <v>32</v>
      </c>
      <c r="H56" s="1" t="s">
        <v>46</v>
      </c>
      <c r="I56" s="5" t="s">
        <v>153</v>
      </c>
      <c r="J56" s="4">
        <v>39</v>
      </c>
      <c r="K56" t="str">
        <f t="shared" si="0"/>
        <v>fail</v>
      </c>
      <c r="L56" t="str">
        <f t="shared" si="1"/>
        <v>F</v>
      </c>
    </row>
    <row r="57" spans="1:12" x14ac:dyDescent="0.3">
      <c r="A57" s="1" t="s">
        <v>154</v>
      </c>
      <c r="B57" s="1" t="s">
        <v>51</v>
      </c>
      <c r="C57" s="1" t="s">
        <v>36</v>
      </c>
      <c r="D57" s="1" t="s">
        <v>31</v>
      </c>
      <c r="E57" s="4">
        <v>18</v>
      </c>
      <c r="F57" s="4">
        <v>12</v>
      </c>
      <c r="G57" s="1" t="s">
        <v>43</v>
      </c>
      <c r="H57" s="1" t="s">
        <v>76</v>
      </c>
      <c r="I57" s="5" t="s">
        <v>155</v>
      </c>
      <c r="J57" s="4">
        <v>77</v>
      </c>
      <c r="K57" t="str">
        <f t="shared" si="0"/>
        <v>pass</v>
      </c>
      <c r="L57" t="str">
        <f t="shared" si="1"/>
        <v>B</v>
      </c>
    </row>
    <row r="58" spans="1:12" x14ac:dyDescent="0.3">
      <c r="A58" s="1" t="s">
        <v>156</v>
      </c>
      <c r="B58" s="1" t="s">
        <v>35</v>
      </c>
      <c r="C58" s="1" t="s">
        <v>55</v>
      </c>
      <c r="D58" s="1" t="s">
        <v>13</v>
      </c>
      <c r="E58" s="4">
        <v>19</v>
      </c>
      <c r="F58" s="4">
        <v>11</v>
      </c>
      <c r="G58" s="1" t="s">
        <v>14</v>
      </c>
      <c r="H58" s="1" t="s">
        <v>40</v>
      </c>
      <c r="I58" s="5" t="s">
        <v>157</v>
      </c>
      <c r="J58" s="4">
        <v>63</v>
      </c>
      <c r="K58" t="str">
        <f t="shared" si="0"/>
        <v>pass</v>
      </c>
      <c r="L58" t="str">
        <f t="shared" si="1"/>
        <v>C</v>
      </c>
    </row>
    <row r="59" spans="1:12" x14ac:dyDescent="0.3">
      <c r="A59" s="1" t="s">
        <v>158</v>
      </c>
      <c r="B59" s="1" t="s">
        <v>18</v>
      </c>
      <c r="C59" s="1" t="s">
        <v>19</v>
      </c>
      <c r="D59" s="1" t="s">
        <v>13</v>
      </c>
      <c r="E59" s="4">
        <v>16</v>
      </c>
      <c r="F59" s="4">
        <v>12</v>
      </c>
      <c r="G59" s="1" t="s">
        <v>43</v>
      </c>
      <c r="H59" s="1" t="s">
        <v>40</v>
      </c>
      <c r="I59" s="5" t="s">
        <v>159</v>
      </c>
      <c r="J59" s="4">
        <v>36</v>
      </c>
      <c r="K59" t="str">
        <f t="shared" si="0"/>
        <v>fail</v>
      </c>
      <c r="L59" t="str">
        <f t="shared" si="1"/>
        <v>F</v>
      </c>
    </row>
    <row r="60" spans="1:12" x14ac:dyDescent="0.3">
      <c r="A60" s="1" t="s">
        <v>160</v>
      </c>
      <c r="B60" s="1" t="s">
        <v>51</v>
      </c>
      <c r="C60" s="1" t="s">
        <v>85</v>
      </c>
      <c r="D60" s="1" t="s">
        <v>31</v>
      </c>
      <c r="E60" s="4">
        <v>17</v>
      </c>
      <c r="F60" s="4">
        <v>11</v>
      </c>
      <c r="G60" s="1" t="s">
        <v>43</v>
      </c>
      <c r="H60" s="1" t="s">
        <v>37</v>
      </c>
      <c r="I60" s="5" t="s">
        <v>161</v>
      </c>
      <c r="J60" s="4">
        <v>99</v>
      </c>
      <c r="K60" t="str">
        <f t="shared" si="0"/>
        <v>pass</v>
      </c>
      <c r="L60" t="str">
        <f t="shared" si="1"/>
        <v>A+</v>
      </c>
    </row>
    <row r="61" spans="1:12" x14ac:dyDescent="0.3">
      <c r="A61" s="1" t="s">
        <v>162</v>
      </c>
      <c r="B61" s="1" t="s">
        <v>73</v>
      </c>
      <c r="C61" s="1" t="s">
        <v>36</v>
      </c>
      <c r="D61" s="1" t="s">
        <v>31</v>
      </c>
      <c r="E61" s="4">
        <v>20</v>
      </c>
      <c r="F61" s="4">
        <v>9</v>
      </c>
      <c r="G61" s="1" t="s">
        <v>32</v>
      </c>
      <c r="H61" s="1" t="s">
        <v>20</v>
      </c>
      <c r="I61" s="5" t="s">
        <v>163</v>
      </c>
      <c r="J61" s="4">
        <v>49</v>
      </c>
      <c r="K61" t="str">
        <f t="shared" si="0"/>
        <v>pass</v>
      </c>
      <c r="L61" t="str">
        <f t="shared" si="1"/>
        <v>E</v>
      </c>
    </row>
    <row r="62" spans="1:12" x14ac:dyDescent="0.3">
      <c r="A62" s="1" t="s">
        <v>164</v>
      </c>
      <c r="B62" s="1" t="s">
        <v>23</v>
      </c>
      <c r="C62" s="1" t="s">
        <v>19</v>
      </c>
      <c r="D62" s="1" t="s">
        <v>31</v>
      </c>
      <c r="E62" s="4">
        <v>17</v>
      </c>
      <c r="F62" s="4">
        <v>9</v>
      </c>
      <c r="G62" s="1" t="s">
        <v>25</v>
      </c>
      <c r="H62" s="1" t="s">
        <v>15</v>
      </c>
      <c r="I62" s="5" t="s">
        <v>165</v>
      </c>
      <c r="J62" s="4">
        <v>64</v>
      </c>
      <c r="K62" t="str">
        <f t="shared" si="0"/>
        <v>pass</v>
      </c>
      <c r="L62" t="str">
        <f t="shared" si="1"/>
        <v>C</v>
      </c>
    </row>
    <row r="63" spans="1:12" x14ac:dyDescent="0.3">
      <c r="A63" s="1" t="s">
        <v>166</v>
      </c>
      <c r="B63" s="1" t="s">
        <v>84</v>
      </c>
      <c r="C63" s="1" t="s">
        <v>24</v>
      </c>
      <c r="D63" s="1" t="s">
        <v>13</v>
      </c>
      <c r="E63" s="4">
        <v>14</v>
      </c>
      <c r="F63" s="4">
        <v>10</v>
      </c>
      <c r="G63" s="1" t="s">
        <v>43</v>
      </c>
      <c r="H63" s="1" t="s">
        <v>15</v>
      </c>
      <c r="I63" s="5" t="s">
        <v>167</v>
      </c>
      <c r="J63" s="4">
        <v>45</v>
      </c>
      <c r="K63" t="str">
        <f t="shared" si="0"/>
        <v>pass</v>
      </c>
      <c r="L63" t="str">
        <f t="shared" si="1"/>
        <v>E</v>
      </c>
    </row>
    <row r="64" spans="1:12" x14ac:dyDescent="0.3">
      <c r="A64" s="1" t="s">
        <v>168</v>
      </c>
      <c r="B64" s="1" t="s">
        <v>18</v>
      </c>
      <c r="C64" s="1" t="s">
        <v>79</v>
      </c>
      <c r="D64" s="1" t="s">
        <v>13</v>
      </c>
      <c r="E64" s="4">
        <v>17</v>
      </c>
      <c r="F64" s="4">
        <v>12</v>
      </c>
      <c r="G64" s="1" t="s">
        <v>25</v>
      </c>
      <c r="H64" s="1" t="s">
        <v>26</v>
      </c>
      <c r="I64" s="5" t="s">
        <v>137</v>
      </c>
      <c r="J64" s="4">
        <v>82</v>
      </c>
      <c r="K64" t="str">
        <f t="shared" si="0"/>
        <v>pass</v>
      </c>
      <c r="L64" t="str">
        <f t="shared" si="1"/>
        <v>A</v>
      </c>
    </row>
    <row r="65" spans="1:12" x14ac:dyDescent="0.3">
      <c r="A65" s="1" t="s">
        <v>169</v>
      </c>
      <c r="B65" s="1" t="s">
        <v>11</v>
      </c>
      <c r="C65" s="1" t="s">
        <v>30</v>
      </c>
      <c r="D65" s="1" t="s">
        <v>31</v>
      </c>
      <c r="E65" s="4">
        <v>18</v>
      </c>
      <c r="F65" s="4">
        <v>9</v>
      </c>
      <c r="G65" s="1" t="s">
        <v>25</v>
      </c>
      <c r="H65" s="1" t="s">
        <v>46</v>
      </c>
      <c r="I65" s="5" t="s">
        <v>170</v>
      </c>
      <c r="J65" s="4">
        <v>60</v>
      </c>
      <c r="K65" t="str">
        <f t="shared" si="0"/>
        <v>pass</v>
      </c>
      <c r="L65" t="str">
        <f t="shared" si="1"/>
        <v>C</v>
      </c>
    </row>
    <row r="66" spans="1:12" x14ac:dyDescent="0.3">
      <c r="A66" s="1" t="s">
        <v>171</v>
      </c>
      <c r="B66" s="1" t="s">
        <v>29</v>
      </c>
      <c r="C66" s="1" t="s">
        <v>85</v>
      </c>
      <c r="D66" s="1" t="s">
        <v>13</v>
      </c>
      <c r="E66" s="4">
        <v>14</v>
      </c>
      <c r="F66" s="4">
        <v>10</v>
      </c>
      <c r="G66" s="1" t="s">
        <v>32</v>
      </c>
      <c r="H66" s="1" t="s">
        <v>61</v>
      </c>
      <c r="I66" s="5" t="s">
        <v>172</v>
      </c>
      <c r="J66" s="4">
        <v>51</v>
      </c>
      <c r="K66" t="str">
        <f t="shared" si="0"/>
        <v>pass</v>
      </c>
      <c r="L66" t="str">
        <f t="shared" si="1"/>
        <v>D</v>
      </c>
    </row>
    <row r="67" spans="1:12" x14ac:dyDescent="0.3">
      <c r="A67" s="1" t="s">
        <v>173</v>
      </c>
      <c r="B67" s="1" t="s">
        <v>54</v>
      </c>
      <c r="C67" s="1" t="s">
        <v>30</v>
      </c>
      <c r="D67" s="1" t="s">
        <v>31</v>
      </c>
      <c r="E67" s="4">
        <v>18</v>
      </c>
      <c r="F67" s="4">
        <v>9</v>
      </c>
      <c r="G67" s="1" t="s">
        <v>32</v>
      </c>
      <c r="H67" s="1" t="s">
        <v>40</v>
      </c>
      <c r="I67" s="5" t="s">
        <v>174</v>
      </c>
      <c r="J67" s="4">
        <v>54</v>
      </c>
      <c r="K67" t="str">
        <f t="shared" ref="K67:K130" si="2">IF(J67&gt;=40,"pass","fail")</f>
        <v>pass</v>
      </c>
      <c r="L67" t="str">
        <f t="shared" ref="L67:L130" si="3">IF(J67&gt;=90,"A+",IF(J67&gt;=80,"A",IF(J67&gt;=70,"B",IF(J67&gt;=60,"C",IF(J67&gt;=50,"D",IF(J67&gt;=40,"E","F"))))))</f>
        <v>D</v>
      </c>
    </row>
    <row r="68" spans="1:12" x14ac:dyDescent="0.3">
      <c r="A68" s="1" t="s">
        <v>175</v>
      </c>
      <c r="B68" s="1" t="s">
        <v>35</v>
      </c>
      <c r="C68" s="1" t="s">
        <v>30</v>
      </c>
      <c r="D68" s="1" t="s">
        <v>31</v>
      </c>
      <c r="E68" s="4">
        <v>20</v>
      </c>
      <c r="F68" s="4">
        <v>9</v>
      </c>
      <c r="G68" s="1" t="s">
        <v>14</v>
      </c>
      <c r="H68" s="1" t="s">
        <v>61</v>
      </c>
      <c r="I68" s="5" t="s">
        <v>176</v>
      </c>
      <c r="J68" s="4">
        <v>76</v>
      </c>
      <c r="K68" t="str">
        <f t="shared" si="2"/>
        <v>pass</v>
      </c>
      <c r="L68" t="str">
        <f t="shared" si="3"/>
        <v>B</v>
      </c>
    </row>
    <row r="69" spans="1:12" x14ac:dyDescent="0.3">
      <c r="A69" s="1" t="s">
        <v>177</v>
      </c>
      <c r="B69" s="1" t="s">
        <v>29</v>
      </c>
      <c r="C69" s="1" t="s">
        <v>58</v>
      </c>
      <c r="D69" s="1" t="s">
        <v>31</v>
      </c>
      <c r="E69" s="4">
        <v>19</v>
      </c>
      <c r="F69" s="4">
        <v>12</v>
      </c>
      <c r="G69" s="1" t="s">
        <v>43</v>
      </c>
      <c r="H69" s="1" t="s">
        <v>61</v>
      </c>
      <c r="I69" s="5" t="s">
        <v>178</v>
      </c>
      <c r="J69" s="4">
        <v>99</v>
      </c>
      <c r="K69" t="str">
        <f t="shared" si="2"/>
        <v>pass</v>
      </c>
      <c r="L69" t="str">
        <f t="shared" si="3"/>
        <v>A+</v>
      </c>
    </row>
    <row r="70" spans="1:12" x14ac:dyDescent="0.3">
      <c r="A70" s="1" t="s">
        <v>179</v>
      </c>
      <c r="B70" s="1" t="s">
        <v>29</v>
      </c>
      <c r="C70" s="1" t="s">
        <v>58</v>
      </c>
      <c r="D70" s="1" t="s">
        <v>31</v>
      </c>
      <c r="E70" s="4">
        <v>16</v>
      </c>
      <c r="F70" s="4">
        <v>11</v>
      </c>
      <c r="G70" s="1" t="s">
        <v>25</v>
      </c>
      <c r="H70" s="1" t="s">
        <v>26</v>
      </c>
      <c r="I70" s="5" t="s">
        <v>180</v>
      </c>
      <c r="J70" s="4">
        <v>75</v>
      </c>
      <c r="K70" t="str">
        <f t="shared" si="2"/>
        <v>pass</v>
      </c>
      <c r="L70" t="str">
        <f t="shared" si="3"/>
        <v>B</v>
      </c>
    </row>
    <row r="71" spans="1:12" x14ac:dyDescent="0.3">
      <c r="A71" s="1" t="s">
        <v>181</v>
      </c>
      <c r="B71" s="1" t="s">
        <v>11</v>
      </c>
      <c r="C71" s="1" t="s">
        <v>55</v>
      </c>
      <c r="D71" s="1" t="s">
        <v>31</v>
      </c>
      <c r="E71" s="4">
        <v>18</v>
      </c>
      <c r="F71" s="4">
        <v>10</v>
      </c>
      <c r="G71" s="1" t="s">
        <v>25</v>
      </c>
      <c r="H71" s="1" t="s">
        <v>46</v>
      </c>
      <c r="I71" s="5" t="s">
        <v>182</v>
      </c>
      <c r="J71" s="4">
        <v>98</v>
      </c>
      <c r="K71" t="str">
        <f t="shared" si="2"/>
        <v>pass</v>
      </c>
      <c r="L71" t="str">
        <f t="shared" si="3"/>
        <v>A+</v>
      </c>
    </row>
    <row r="72" spans="1:12" x14ac:dyDescent="0.3">
      <c r="A72" s="1" t="s">
        <v>183</v>
      </c>
      <c r="B72" s="1" t="s">
        <v>11</v>
      </c>
      <c r="C72" s="1" t="s">
        <v>30</v>
      </c>
      <c r="D72" s="1" t="s">
        <v>31</v>
      </c>
      <c r="E72" s="4">
        <v>17</v>
      </c>
      <c r="F72" s="4">
        <v>12</v>
      </c>
      <c r="G72" s="1" t="s">
        <v>14</v>
      </c>
      <c r="H72" s="1" t="s">
        <v>37</v>
      </c>
      <c r="I72" s="5" t="s">
        <v>184</v>
      </c>
      <c r="J72" s="4">
        <v>49</v>
      </c>
      <c r="K72" t="str">
        <f t="shared" si="2"/>
        <v>pass</v>
      </c>
      <c r="L72" t="str">
        <f t="shared" si="3"/>
        <v>E</v>
      </c>
    </row>
    <row r="73" spans="1:12" x14ac:dyDescent="0.3">
      <c r="A73" s="1" t="s">
        <v>185</v>
      </c>
      <c r="B73" s="1" t="s">
        <v>35</v>
      </c>
      <c r="C73" s="1" t="s">
        <v>30</v>
      </c>
      <c r="D73" s="1" t="s">
        <v>31</v>
      </c>
      <c r="E73" s="4">
        <v>14</v>
      </c>
      <c r="F73" s="4">
        <v>12</v>
      </c>
      <c r="G73" s="1" t="s">
        <v>43</v>
      </c>
      <c r="H73" s="1" t="s">
        <v>61</v>
      </c>
      <c r="I73" s="5" t="s">
        <v>186</v>
      </c>
      <c r="J73" s="4">
        <v>45</v>
      </c>
      <c r="K73" t="str">
        <f t="shared" si="2"/>
        <v>pass</v>
      </c>
      <c r="L73" t="str">
        <f t="shared" si="3"/>
        <v>E</v>
      </c>
    </row>
    <row r="74" spans="1:12" x14ac:dyDescent="0.3">
      <c r="A74" s="1" t="s">
        <v>187</v>
      </c>
      <c r="B74" s="1" t="s">
        <v>51</v>
      </c>
      <c r="C74" s="1" t="s">
        <v>12</v>
      </c>
      <c r="D74" s="1" t="s">
        <v>31</v>
      </c>
      <c r="E74" s="4">
        <v>17</v>
      </c>
      <c r="F74" s="4">
        <v>10</v>
      </c>
      <c r="G74" s="1" t="s">
        <v>43</v>
      </c>
      <c r="H74" s="1" t="s">
        <v>46</v>
      </c>
      <c r="I74" s="5" t="s">
        <v>101</v>
      </c>
      <c r="J74" s="4">
        <v>66</v>
      </c>
      <c r="K74" t="str">
        <f t="shared" si="2"/>
        <v>pass</v>
      </c>
      <c r="L74" t="str">
        <f t="shared" si="3"/>
        <v>C</v>
      </c>
    </row>
    <row r="75" spans="1:12" x14ac:dyDescent="0.3">
      <c r="A75" s="1" t="s">
        <v>188</v>
      </c>
      <c r="B75" s="1" t="s">
        <v>23</v>
      </c>
      <c r="C75" s="1" t="s">
        <v>55</v>
      </c>
      <c r="D75" s="1" t="s">
        <v>31</v>
      </c>
      <c r="E75" s="4">
        <v>15</v>
      </c>
      <c r="F75" s="4">
        <v>9</v>
      </c>
      <c r="G75" s="1" t="s">
        <v>43</v>
      </c>
      <c r="H75" s="1" t="s">
        <v>20</v>
      </c>
      <c r="I75" s="5" t="s">
        <v>189</v>
      </c>
      <c r="J75" s="4">
        <v>88</v>
      </c>
      <c r="K75" t="str">
        <f t="shared" si="2"/>
        <v>pass</v>
      </c>
      <c r="L75" t="str">
        <f t="shared" si="3"/>
        <v>A</v>
      </c>
    </row>
    <row r="76" spans="1:12" x14ac:dyDescent="0.3">
      <c r="A76" s="1" t="s">
        <v>190</v>
      </c>
      <c r="B76" s="1" t="s">
        <v>18</v>
      </c>
      <c r="C76" s="1" t="s">
        <v>19</v>
      </c>
      <c r="D76" s="1" t="s">
        <v>31</v>
      </c>
      <c r="E76" s="4">
        <v>14</v>
      </c>
      <c r="F76" s="4">
        <v>12</v>
      </c>
      <c r="G76" s="1" t="s">
        <v>32</v>
      </c>
      <c r="H76" s="1" t="s">
        <v>37</v>
      </c>
      <c r="I76" s="5" t="s">
        <v>191</v>
      </c>
      <c r="J76" s="4">
        <v>63</v>
      </c>
      <c r="K76" t="str">
        <f t="shared" si="2"/>
        <v>pass</v>
      </c>
      <c r="L76" t="str">
        <f t="shared" si="3"/>
        <v>C</v>
      </c>
    </row>
    <row r="77" spans="1:12" x14ac:dyDescent="0.3">
      <c r="A77" s="1" t="s">
        <v>192</v>
      </c>
      <c r="B77" s="1" t="s">
        <v>68</v>
      </c>
      <c r="C77" s="1" t="s">
        <v>85</v>
      </c>
      <c r="D77" s="1" t="s">
        <v>13</v>
      </c>
      <c r="E77" s="4">
        <v>19</v>
      </c>
      <c r="F77" s="4">
        <v>11</v>
      </c>
      <c r="G77" s="1" t="s">
        <v>43</v>
      </c>
      <c r="H77" s="1" t="s">
        <v>61</v>
      </c>
      <c r="I77" s="5" t="s">
        <v>193</v>
      </c>
      <c r="J77" s="4">
        <v>78</v>
      </c>
      <c r="K77" t="str">
        <f t="shared" si="2"/>
        <v>pass</v>
      </c>
      <c r="L77" t="str">
        <f t="shared" si="3"/>
        <v>B</v>
      </c>
    </row>
    <row r="78" spans="1:12" x14ac:dyDescent="0.3">
      <c r="A78" s="1" t="s">
        <v>194</v>
      </c>
      <c r="B78" s="1" t="s">
        <v>23</v>
      </c>
      <c r="C78" s="1" t="s">
        <v>19</v>
      </c>
      <c r="D78" s="1" t="s">
        <v>31</v>
      </c>
      <c r="E78" s="4">
        <v>20</v>
      </c>
      <c r="F78" s="4">
        <v>9</v>
      </c>
      <c r="G78" s="1" t="s">
        <v>25</v>
      </c>
      <c r="H78" s="1" t="s">
        <v>76</v>
      </c>
      <c r="I78" s="5" t="s">
        <v>195</v>
      </c>
      <c r="J78" s="4">
        <v>76</v>
      </c>
      <c r="K78" t="str">
        <f t="shared" si="2"/>
        <v>pass</v>
      </c>
      <c r="L78" t="str">
        <f t="shared" si="3"/>
        <v>B</v>
      </c>
    </row>
    <row r="79" spans="1:12" x14ac:dyDescent="0.3">
      <c r="A79" s="1" t="s">
        <v>196</v>
      </c>
      <c r="B79" s="1" t="s">
        <v>23</v>
      </c>
      <c r="C79" s="1" t="s">
        <v>79</v>
      </c>
      <c r="D79" s="1" t="s">
        <v>13</v>
      </c>
      <c r="E79" s="4">
        <v>18</v>
      </c>
      <c r="F79" s="4">
        <v>12</v>
      </c>
      <c r="G79" s="1" t="s">
        <v>43</v>
      </c>
      <c r="H79" s="1" t="s">
        <v>76</v>
      </c>
      <c r="I79" s="5" t="s">
        <v>197</v>
      </c>
      <c r="J79" s="4">
        <v>67</v>
      </c>
      <c r="K79" t="str">
        <f t="shared" si="2"/>
        <v>pass</v>
      </c>
      <c r="L79" t="str">
        <f t="shared" si="3"/>
        <v>C</v>
      </c>
    </row>
    <row r="80" spans="1:12" x14ac:dyDescent="0.3">
      <c r="A80" s="1" t="s">
        <v>198</v>
      </c>
      <c r="B80" s="1" t="s">
        <v>11</v>
      </c>
      <c r="C80" s="1" t="s">
        <v>85</v>
      </c>
      <c r="D80" s="1" t="s">
        <v>31</v>
      </c>
      <c r="E80" s="4">
        <v>14</v>
      </c>
      <c r="F80" s="4">
        <v>10</v>
      </c>
      <c r="G80" s="1" t="s">
        <v>25</v>
      </c>
      <c r="H80" s="1" t="s">
        <v>61</v>
      </c>
      <c r="I80" s="5" t="s">
        <v>199</v>
      </c>
      <c r="J80" s="4">
        <v>97</v>
      </c>
      <c r="K80" t="str">
        <f t="shared" si="2"/>
        <v>pass</v>
      </c>
      <c r="L80" t="str">
        <f t="shared" si="3"/>
        <v>A+</v>
      </c>
    </row>
    <row r="81" spans="1:12" x14ac:dyDescent="0.3">
      <c r="A81" s="1" t="s">
        <v>200</v>
      </c>
      <c r="B81" s="1" t="s">
        <v>29</v>
      </c>
      <c r="C81" s="1" t="s">
        <v>12</v>
      </c>
      <c r="D81" s="1" t="s">
        <v>13</v>
      </c>
      <c r="E81" s="4">
        <v>18</v>
      </c>
      <c r="F81" s="4">
        <v>12</v>
      </c>
      <c r="G81" s="1" t="s">
        <v>25</v>
      </c>
      <c r="H81" s="1" t="s">
        <v>26</v>
      </c>
      <c r="I81" s="5" t="s">
        <v>201</v>
      </c>
      <c r="J81" s="4">
        <v>89</v>
      </c>
      <c r="K81" t="str">
        <f t="shared" si="2"/>
        <v>pass</v>
      </c>
      <c r="L81" t="str">
        <f t="shared" si="3"/>
        <v>A</v>
      </c>
    </row>
    <row r="82" spans="1:12" x14ac:dyDescent="0.3">
      <c r="A82" s="1" t="s">
        <v>202</v>
      </c>
      <c r="B82" s="1" t="s">
        <v>51</v>
      </c>
      <c r="C82" s="1" t="s">
        <v>55</v>
      </c>
      <c r="D82" s="1" t="s">
        <v>31</v>
      </c>
      <c r="E82" s="4">
        <v>15</v>
      </c>
      <c r="F82" s="4">
        <v>9</v>
      </c>
      <c r="G82" s="1" t="s">
        <v>14</v>
      </c>
      <c r="H82" s="1" t="s">
        <v>40</v>
      </c>
      <c r="I82" s="5" t="s">
        <v>111</v>
      </c>
      <c r="J82" s="4">
        <v>70</v>
      </c>
      <c r="K82" t="str">
        <f t="shared" si="2"/>
        <v>pass</v>
      </c>
      <c r="L82" t="str">
        <f t="shared" si="3"/>
        <v>B</v>
      </c>
    </row>
    <row r="83" spans="1:12" x14ac:dyDescent="0.3">
      <c r="A83" s="1" t="s">
        <v>203</v>
      </c>
      <c r="B83" s="1" t="s">
        <v>35</v>
      </c>
      <c r="C83" s="1" t="s">
        <v>96</v>
      </c>
      <c r="D83" s="1" t="s">
        <v>13</v>
      </c>
      <c r="E83" s="4">
        <v>17</v>
      </c>
      <c r="F83" s="4">
        <v>12</v>
      </c>
      <c r="G83" s="1" t="s">
        <v>25</v>
      </c>
      <c r="H83" s="1" t="s">
        <v>20</v>
      </c>
      <c r="I83" s="5" t="s">
        <v>204</v>
      </c>
      <c r="J83" s="4">
        <v>90</v>
      </c>
      <c r="K83" t="str">
        <f t="shared" si="2"/>
        <v>pass</v>
      </c>
      <c r="L83" t="str">
        <f t="shared" si="3"/>
        <v>A+</v>
      </c>
    </row>
    <row r="84" spans="1:12" x14ac:dyDescent="0.3">
      <c r="A84" s="1" t="s">
        <v>205</v>
      </c>
      <c r="B84" s="1" t="s">
        <v>73</v>
      </c>
      <c r="C84" s="1" t="s">
        <v>24</v>
      </c>
      <c r="D84" s="1" t="s">
        <v>13</v>
      </c>
      <c r="E84" s="4">
        <v>17</v>
      </c>
      <c r="F84" s="4">
        <v>9</v>
      </c>
      <c r="G84" s="1" t="s">
        <v>14</v>
      </c>
      <c r="H84" s="1" t="s">
        <v>46</v>
      </c>
      <c r="I84" s="5" t="s">
        <v>206</v>
      </c>
      <c r="J84" s="4">
        <v>59</v>
      </c>
      <c r="K84" t="str">
        <f t="shared" si="2"/>
        <v>pass</v>
      </c>
      <c r="L84" t="str">
        <f t="shared" si="3"/>
        <v>D</v>
      </c>
    </row>
    <row r="85" spans="1:12" x14ac:dyDescent="0.3">
      <c r="A85" s="1" t="s">
        <v>207</v>
      </c>
      <c r="B85" s="1" t="s">
        <v>54</v>
      </c>
      <c r="C85" s="1" t="s">
        <v>19</v>
      </c>
      <c r="D85" s="1" t="s">
        <v>31</v>
      </c>
      <c r="E85" s="4">
        <v>19</v>
      </c>
      <c r="F85" s="4">
        <v>9</v>
      </c>
      <c r="G85" s="1" t="s">
        <v>14</v>
      </c>
      <c r="H85" s="1" t="s">
        <v>61</v>
      </c>
      <c r="I85" s="5" t="s">
        <v>208</v>
      </c>
      <c r="J85" s="4">
        <v>76</v>
      </c>
      <c r="K85" t="str">
        <f t="shared" si="2"/>
        <v>pass</v>
      </c>
      <c r="L85" t="str">
        <f t="shared" si="3"/>
        <v>B</v>
      </c>
    </row>
    <row r="86" spans="1:12" x14ac:dyDescent="0.3">
      <c r="A86" s="1" t="s">
        <v>209</v>
      </c>
      <c r="B86" s="1" t="s">
        <v>29</v>
      </c>
      <c r="C86" s="1" t="s">
        <v>30</v>
      </c>
      <c r="D86" s="1" t="s">
        <v>31</v>
      </c>
      <c r="E86" s="4">
        <v>18</v>
      </c>
      <c r="F86" s="4">
        <v>11</v>
      </c>
      <c r="G86" s="1" t="s">
        <v>43</v>
      </c>
      <c r="H86" s="1" t="s">
        <v>20</v>
      </c>
      <c r="I86" s="5" t="s">
        <v>210</v>
      </c>
      <c r="J86" s="4">
        <v>78</v>
      </c>
      <c r="K86" t="str">
        <f t="shared" si="2"/>
        <v>pass</v>
      </c>
      <c r="L86" t="str">
        <f t="shared" si="3"/>
        <v>B</v>
      </c>
    </row>
    <row r="87" spans="1:12" x14ac:dyDescent="0.3">
      <c r="A87" s="1" t="s">
        <v>211</v>
      </c>
      <c r="B87" s="1" t="s">
        <v>35</v>
      </c>
      <c r="C87" s="1" t="s">
        <v>19</v>
      </c>
      <c r="D87" s="1" t="s">
        <v>31</v>
      </c>
      <c r="E87" s="4">
        <v>16</v>
      </c>
      <c r="F87" s="4">
        <v>9</v>
      </c>
      <c r="G87" s="1" t="s">
        <v>14</v>
      </c>
      <c r="H87" s="1" t="s">
        <v>37</v>
      </c>
      <c r="I87" s="5" t="s">
        <v>212</v>
      </c>
      <c r="J87" s="4">
        <v>57</v>
      </c>
      <c r="K87" t="str">
        <f t="shared" si="2"/>
        <v>pass</v>
      </c>
      <c r="L87" t="str">
        <f t="shared" si="3"/>
        <v>D</v>
      </c>
    </row>
    <row r="88" spans="1:12" x14ac:dyDescent="0.3">
      <c r="A88" s="1" t="s">
        <v>213</v>
      </c>
      <c r="B88" s="1" t="s">
        <v>29</v>
      </c>
      <c r="C88" s="1" t="s">
        <v>24</v>
      </c>
      <c r="D88" s="1" t="s">
        <v>31</v>
      </c>
      <c r="E88" s="4">
        <v>17</v>
      </c>
      <c r="F88" s="4">
        <v>11</v>
      </c>
      <c r="G88" s="1" t="s">
        <v>14</v>
      </c>
      <c r="H88" s="1" t="s">
        <v>76</v>
      </c>
      <c r="I88" s="5" t="s">
        <v>214</v>
      </c>
      <c r="J88" s="4">
        <v>74</v>
      </c>
      <c r="K88" t="str">
        <f t="shared" si="2"/>
        <v>pass</v>
      </c>
      <c r="L88" t="str">
        <f t="shared" si="3"/>
        <v>B</v>
      </c>
    </row>
    <row r="89" spans="1:12" x14ac:dyDescent="0.3">
      <c r="A89" s="1" t="s">
        <v>215</v>
      </c>
      <c r="B89" s="1" t="s">
        <v>84</v>
      </c>
      <c r="C89" s="1" t="s">
        <v>36</v>
      </c>
      <c r="D89" s="1" t="s">
        <v>31</v>
      </c>
      <c r="E89" s="4">
        <v>19</v>
      </c>
      <c r="F89" s="4">
        <v>12</v>
      </c>
      <c r="G89" s="1" t="s">
        <v>14</v>
      </c>
      <c r="H89" s="1" t="s">
        <v>37</v>
      </c>
      <c r="I89" s="5" t="s">
        <v>216</v>
      </c>
      <c r="J89" s="4">
        <v>84</v>
      </c>
      <c r="K89" t="str">
        <f t="shared" si="2"/>
        <v>pass</v>
      </c>
      <c r="L89" t="str">
        <f t="shared" si="3"/>
        <v>A</v>
      </c>
    </row>
    <row r="90" spans="1:12" x14ac:dyDescent="0.3">
      <c r="A90" s="1" t="s">
        <v>217</v>
      </c>
      <c r="B90" s="1" t="s">
        <v>84</v>
      </c>
      <c r="C90" s="1" t="s">
        <v>96</v>
      </c>
      <c r="D90" s="1" t="s">
        <v>31</v>
      </c>
      <c r="E90" s="4">
        <v>17</v>
      </c>
      <c r="F90" s="4">
        <v>10</v>
      </c>
      <c r="G90" s="1" t="s">
        <v>43</v>
      </c>
      <c r="H90" s="1" t="s">
        <v>46</v>
      </c>
      <c r="I90" s="5" t="s">
        <v>218</v>
      </c>
      <c r="J90" s="4">
        <v>46</v>
      </c>
      <c r="K90" t="str">
        <f t="shared" si="2"/>
        <v>pass</v>
      </c>
      <c r="L90" t="str">
        <f t="shared" si="3"/>
        <v>E</v>
      </c>
    </row>
    <row r="91" spans="1:12" x14ac:dyDescent="0.3">
      <c r="A91" s="1" t="s">
        <v>219</v>
      </c>
      <c r="B91" s="1" t="s">
        <v>68</v>
      </c>
      <c r="C91" s="1" t="s">
        <v>19</v>
      </c>
      <c r="D91" s="1" t="s">
        <v>13</v>
      </c>
      <c r="E91" s="4">
        <v>19</v>
      </c>
      <c r="F91" s="4">
        <v>9</v>
      </c>
      <c r="G91" s="1" t="s">
        <v>14</v>
      </c>
      <c r="H91" s="1" t="s">
        <v>40</v>
      </c>
      <c r="I91" s="5" t="s">
        <v>220</v>
      </c>
      <c r="J91" s="4">
        <v>63</v>
      </c>
      <c r="K91" t="str">
        <f t="shared" si="2"/>
        <v>pass</v>
      </c>
      <c r="L91" t="str">
        <f t="shared" si="3"/>
        <v>C</v>
      </c>
    </row>
    <row r="92" spans="1:12" x14ac:dyDescent="0.3">
      <c r="A92" s="1" t="s">
        <v>221</v>
      </c>
      <c r="B92" s="1" t="s">
        <v>51</v>
      </c>
      <c r="C92" s="1" t="s">
        <v>55</v>
      </c>
      <c r="D92" s="1" t="s">
        <v>13</v>
      </c>
      <c r="E92" s="4">
        <v>14</v>
      </c>
      <c r="F92" s="4">
        <v>10</v>
      </c>
      <c r="G92" s="1" t="s">
        <v>43</v>
      </c>
      <c r="H92" s="1" t="s">
        <v>61</v>
      </c>
      <c r="I92" s="5" t="s">
        <v>222</v>
      </c>
      <c r="J92" s="4">
        <v>72</v>
      </c>
      <c r="K92" t="str">
        <f t="shared" si="2"/>
        <v>pass</v>
      </c>
      <c r="L92" t="str">
        <f t="shared" si="3"/>
        <v>B</v>
      </c>
    </row>
    <row r="93" spans="1:12" x14ac:dyDescent="0.3">
      <c r="A93" s="1" t="s">
        <v>223</v>
      </c>
      <c r="B93" s="1" t="s">
        <v>68</v>
      </c>
      <c r="C93" s="1" t="s">
        <v>24</v>
      </c>
      <c r="D93" s="1" t="s">
        <v>13</v>
      </c>
      <c r="E93" s="4">
        <v>18</v>
      </c>
      <c r="F93" s="4">
        <v>11</v>
      </c>
      <c r="G93" s="1" t="s">
        <v>32</v>
      </c>
      <c r="H93" s="1" t="s">
        <v>40</v>
      </c>
      <c r="I93" s="5" t="s">
        <v>224</v>
      </c>
      <c r="J93" s="4">
        <v>87</v>
      </c>
      <c r="K93" t="str">
        <f t="shared" si="2"/>
        <v>pass</v>
      </c>
      <c r="L93" t="str">
        <f t="shared" si="3"/>
        <v>A</v>
      </c>
    </row>
    <row r="94" spans="1:12" x14ac:dyDescent="0.3">
      <c r="A94" s="1" t="s">
        <v>225</v>
      </c>
      <c r="B94" s="1" t="s">
        <v>35</v>
      </c>
      <c r="C94" s="1" t="s">
        <v>85</v>
      </c>
      <c r="D94" s="1" t="s">
        <v>13</v>
      </c>
      <c r="E94" s="4">
        <v>20</v>
      </c>
      <c r="F94" s="4">
        <v>9</v>
      </c>
      <c r="G94" s="1" t="s">
        <v>14</v>
      </c>
      <c r="H94" s="1" t="s">
        <v>40</v>
      </c>
      <c r="I94" s="5" t="s">
        <v>226</v>
      </c>
      <c r="J94" s="4">
        <v>55</v>
      </c>
      <c r="K94" t="str">
        <f t="shared" si="2"/>
        <v>pass</v>
      </c>
      <c r="L94" t="str">
        <f t="shared" si="3"/>
        <v>D</v>
      </c>
    </row>
    <row r="95" spans="1:12" x14ac:dyDescent="0.3">
      <c r="A95" s="1" t="s">
        <v>227</v>
      </c>
      <c r="B95" s="1" t="s">
        <v>68</v>
      </c>
      <c r="C95" s="1" t="s">
        <v>58</v>
      </c>
      <c r="D95" s="1" t="s">
        <v>13</v>
      </c>
      <c r="E95" s="4">
        <v>17</v>
      </c>
      <c r="F95" s="4">
        <v>12</v>
      </c>
      <c r="G95" s="1" t="s">
        <v>32</v>
      </c>
      <c r="H95" s="1" t="s">
        <v>26</v>
      </c>
      <c r="I95" s="5" t="s">
        <v>228</v>
      </c>
      <c r="J95" s="4">
        <v>37</v>
      </c>
      <c r="K95" t="str">
        <f t="shared" si="2"/>
        <v>fail</v>
      </c>
      <c r="L95" t="str">
        <f t="shared" si="3"/>
        <v>F</v>
      </c>
    </row>
    <row r="96" spans="1:12" x14ac:dyDescent="0.3">
      <c r="A96" s="1" t="s">
        <v>229</v>
      </c>
      <c r="B96" s="1" t="s">
        <v>68</v>
      </c>
      <c r="C96" s="1" t="s">
        <v>24</v>
      </c>
      <c r="D96" s="1" t="s">
        <v>13</v>
      </c>
      <c r="E96" s="4">
        <v>17</v>
      </c>
      <c r="F96" s="4">
        <v>11</v>
      </c>
      <c r="G96" s="1" t="s">
        <v>43</v>
      </c>
      <c r="H96" s="1" t="s">
        <v>26</v>
      </c>
      <c r="I96" s="5" t="s">
        <v>230</v>
      </c>
      <c r="J96" s="4">
        <v>53</v>
      </c>
      <c r="K96" t="str">
        <f t="shared" si="2"/>
        <v>pass</v>
      </c>
      <c r="L96" t="str">
        <f t="shared" si="3"/>
        <v>D</v>
      </c>
    </row>
    <row r="97" spans="1:12" x14ac:dyDescent="0.3">
      <c r="A97" s="1" t="s">
        <v>231</v>
      </c>
      <c r="B97" s="1" t="s">
        <v>23</v>
      </c>
      <c r="C97" s="1" t="s">
        <v>24</v>
      </c>
      <c r="D97" s="1" t="s">
        <v>31</v>
      </c>
      <c r="E97" s="4">
        <v>18</v>
      </c>
      <c r="F97" s="4">
        <v>9</v>
      </c>
      <c r="G97" s="1" t="s">
        <v>25</v>
      </c>
      <c r="H97" s="1" t="s">
        <v>61</v>
      </c>
      <c r="I97" s="5" t="s">
        <v>232</v>
      </c>
      <c r="J97" s="4">
        <v>88</v>
      </c>
      <c r="K97" t="str">
        <f t="shared" si="2"/>
        <v>pass</v>
      </c>
      <c r="L97" t="str">
        <f t="shared" si="3"/>
        <v>A</v>
      </c>
    </row>
    <row r="98" spans="1:12" x14ac:dyDescent="0.3">
      <c r="A98" s="1" t="s">
        <v>233</v>
      </c>
      <c r="B98" s="1" t="s">
        <v>11</v>
      </c>
      <c r="C98" s="1" t="s">
        <v>55</v>
      </c>
      <c r="D98" s="1" t="s">
        <v>13</v>
      </c>
      <c r="E98" s="4">
        <v>14</v>
      </c>
      <c r="F98" s="4">
        <v>9</v>
      </c>
      <c r="G98" s="1" t="s">
        <v>25</v>
      </c>
      <c r="H98" s="1" t="s">
        <v>37</v>
      </c>
      <c r="I98" s="5" t="s">
        <v>234</v>
      </c>
      <c r="J98" s="4">
        <v>66</v>
      </c>
      <c r="K98" t="str">
        <f t="shared" si="2"/>
        <v>pass</v>
      </c>
      <c r="L98" t="str">
        <f t="shared" si="3"/>
        <v>C</v>
      </c>
    </row>
    <row r="99" spans="1:12" x14ac:dyDescent="0.3">
      <c r="A99" s="1" t="s">
        <v>235</v>
      </c>
      <c r="B99" s="1" t="s">
        <v>11</v>
      </c>
      <c r="C99" s="1" t="s">
        <v>36</v>
      </c>
      <c r="D99" s="1" t="s">
        <v>31</v>
      </c>
      <c r="E99" s="4">
        <v>14</v>
      </c>
      <c r="F99" s="4">
        <v>12</v>
      </c>
      <c r="G99" s="1" t="s">
        <v>43</v>
      </c>
      <c r="H99" s="1" t="s">
        <v>40</v>
      </c>
      <c r="I99" s="5" t="s">
        <v>236</v>
      </c>
      <c r="J99" s="4">
        <v>65</v>
      </c>
      <c r="K99" t="str">
        <f t="shared" si="2"/>
        <v>pass</v>
      </c>
      <c r="L99" t="str">
        <f t="shared" si="3"/>
        <v>C</v>
      </c>
    </row>
    <row r="100" spans="1:12" x14ac:dyDescent="0.3">
      <c r="A100" s="1" t="s">
        <v>237</v>
      </c>
      <c r="B100" s="1" t="s">
        <v>23</v>
      </c>
      <c r="C100" s="1" t="s">
        <v>24</v>
      </c>
      <c r="D100" s="1" t="s">
        <v>31</v>
      </c>
      <c r="E100" s="4">
        <v>16</v>
      </c>
      <c r="F100" s="4">
        <v>10</v>
      </c>
      <c r="G100" s="1" t="s">
        <v>43</v>
      </c>
      <c r="H100" s="1" t="s">
        <v>20</v>
      </c>
      <c r="I100" s="5" t="s">
        <v>238</v>
      </c>
      <c r="J100" s="4">
        <v>71</v>
      </c>
      <c r="K100" t="str">
        <f t="shared" si="2"/>
        <v>pass</v>
      </c>
      <c r="L100" t="str">
        <f t="shared" si="3"/>
        <v>B</v>
      </c>
    </row>
    <row r="101" spans="1:12" x14ac:dyDescent="0.3">
      <c r="A101" s="1" t="s">
        <v>239</v>
      </c>
      <c r="B101" s="1" t="s">
        <v>68</v>
      </c>
      <c r="C101" s="1" t="s">
        <v>58</v>
      </c>
      <c r="D101" s="1" t="s">
        <v>13</v>
      </c>
      <c r="E101" s="4">
        <v>18</v>
      </c>
      <c r="F101" s="4">
        <v>11</v>
      </c>
      <c r="G101" s="1" t="s">
        <v>25</v>
      </c>
      <c r="H101" s="1" t="s">
        <v>15</v>
      </c>
      <c r="I101" s="5" t="s">
        <v>240</v>
      </c>
      <c r="J101" s="4">
        <v>48</v>
      </c>
      <c r="K101" t="str">
        <f t="shared" si="2"/>
        <v>pass</v>
      </c>
      <c r="L101" t="str">
        <f t="shared" si="3"/>
        <v>E</v>
      </c>
    </row>
    <row r="102" spans="1:12" x14ac:dyDescent="0.3">
      <c r="A102" s="1" t="s">
        <v>241</v>
      </c>
      <c r="B102" s="1" t="s">
        <v>54</v>
      </c>
      <c r="C102" s="1" t="s">
        <v>85</v>
      </c>
      <c r="D102" s="1" t="s">
        <v>31</v>
      </c>
      <c r="E102" s="4">
        <v>15</v>
      </c>
      <c r="F102" s="4">
        <v>12</v>
      </c>
      <c r="G102" s="1" t="s">
        <v>14</v>
      </c>
      <c r="H102" s="1" t="s">
        <v>40</v>
      </c>
      <c r="I102" s="5" t="s">
        <v>242</v>
      </c>
      <c r="J102" s="4">
        <v>100</v>
      </c>
      <c r="K102" t="str">
        <f t="shared" si="2"/>
        <v>pass</v>
      </c>
      <c r="L102" t="str">
        <f t="shared" si="3"/>
        <v>A+</v>
      </c>
    </row>
    <row r="103" spans="1:12" x14ac:dyDescent="0.3">
      <c r="A103" s="1" t="s">
        <v>243</v>
      </c>
      <c r="B103" s="1" t="s">
        <v>23</v>
      </c>
      <c r="C103" s="1" t="s">
        <v>96</v>
      </c>
      <c r="D103" s="1" t="s">
        <v>31</v>
      </c>
      <c r="E103" s="4">
        <v>15</v>
      </c>
      <c r="F103" s="4">
        <v>11</v>
      </c>
      <c r="G103" s="1" t="s">
        <v>25</v>
      </c>
      <c r="H103" s="1" t="s">
        <v>61</v>
      </c>
      <c r="I103" s="5" t="s">
        <v>244</v>
      </c>
      <c r="J103" s="4">
        <v>72</v>
      </c>
      <c r="K103" t="str">
        <f t="shared" si="2"/>
        <v>pass</v>
      </c>
      <c r="L103" t="str">
        <f t="shared" si="3"/>
        <v>B</v>
      </c>
    </row>
    <row r="104" spans="1:12" x14ac:dyDescent="0.3">
      <c r="A104" s="1" t="s">
        <v>245</v>
      </c>
      <c r="B104" s="1" t="s">
        <v>54</v>
      </c>
      <c r="C104" s="1" t="s">
        <v>19</v>
      </c>
      <c r="D104" s="1" t="s">
        <v>31</v>
      </c>
      <c r="E104" s="4">
        <v>18</v>
      </c>
      <c r="F104" s="4">
        <v>12</v>
      </c>
      <c r="G104" s="1" t="s">
        <v>32</v>
      </c>
      <c r="H104" s="1" t="s">
        <v>26</v>
      </c>
      <c r="I104" s="5" t="s">
        <v>246</v>
      </c>
      <c r="J104" s="4">
        <v>74</v>
      </c>
      <c r="K104" t="str">
        <f t="shared" si="2"/>
        <v>pass</v>
      </c>
      <c r="L104" t="str">
        <f t="shared" si="3"/>
        <v>B</v>
      </c>
    </row>
    <row r="105" spans="1:12" x14ac:dyDescent="0.3">
      <c r="A105" s="1" t="s">
        <v>247</v>
      </c>
      <c r="B105" s="1" t="s">
        <v>29</v>
      </c>
      <c r="C105" s="1" t="s">
        <v>58</v>
      </c>
      <c r="D105" s="1" t="s">
        <v>31</v>
      </c>
      <c r="E105" s="4">
        <v>14</v>
      </c>
      <c r="F105" s="4">
        <v>12</v>
      </c>
      <c r="G105" s="1" t="s">
        <v>14</v>
      </c>
      <c r="H105" s="1" t="s">
        <v>40</v>
      </c>
      <c r="I105" s="5" t="s">
        <v>248</v>
      </c>
      <c r="J105" s="4">
        <v>66</v>
      </c>
      <c r="K105" t="str">
        <f t="shared" si="2"/>
        <v>pass</v>
      </c>
      <c r="L105" t="str">
        <f t="shared" si="3"/>
        <v>C</v>
      </c>
    </row>
    <row r="106" spans="1:12" x14ac:dyDescent="0.3">
      <c r="A106" s="1" t="s">
        <v>249</v>
      </c>
      <c r="B106" s="1" t="s">
        <v>68</v>
      </c>
      <c r="C106" s="1" t="s">
        <v>30</v>
      </c>
      <c r="D106" s="1" t="s">
        <v>31</v>
      </c>
      <c r="E106" s="4">
        <v>16</v>
      </c>
      <c r="F106" s="4">
        <v>11</v>
      </c>
      <c r="G106" s="1" t="s">
        <v>32</v>
      </c>
      <c r="H106" s="1" t="s">
        <v>20</v>
      </c>
      <c r="I106" s="5" t="s">
        <v>250</v>
      </c>
      <c r="J106" s="4">
        <v>90</v>
      </c>
      <c r="K106" t="str">
        <f t="shared" si="2"/>
        <v>pass</v>
      </c>
      <c r="L106" t="str">
        <f t="shared" si="3"/>
        <v>A+</v>
      </c>
    </row>
    <row r="107" spans="1:12" x14ac:dyDescent="0.3">
      <c r="A107" s="1" t="s">
        <v>251</v>
      </c>
      <c r="B107" s="1" t="s">
        <v>23</v>
      </c>
      <c r="C107" s="1" t="s">
        <v>24</v>
      </c>
      <c r="D107" s="1" t="s">
        <v>13</v>
      </c>
      <c r="E107" s="4">
        <v>16</v>
      </c>
      <c r="F107" s="4">
        <v>12</v>
      </c>
      <c r="G107" s="1" t="s">
        <v>43</v>
      </c>
      <c r="H107" s="1" t="s">
        <v>40</v>
      </c>
      <c r="I107" s="5" t="s">
        <v>252</v>
      </c>
      <c r="J107" s="4">
        <v>50</v>
      </c>
      <c r="K107" t="str">
        <f t="shared" si="2"/>
        <v>pass</v>
      </c>
      <c r="L107" t="str">
        <f t="shared" si="3"/>
        <v>D</v>
      </c>
    </row>
    <row r="108" spans="1:12" x14ac:dyDescent="0.3">
      <c r="A108" s="1" t="s">
        <v>253</v>
      </c>
      <c r="B108" s="1" t="s">
        <v>18</v>
      </c>
      <c r="C108" s="1" t="s">
        <v>24</v>
      </c>
      <c r="D108" s="1" t="s">
        <v>13</v>
      </c>
      <c r="E108" s="4">
        <v>15</v>
      </c>
      <c r="F108" s="4">
        <v>9</v>
      </c>
      <c r="G108" s="1" t="s">
        <v>25</v>
      </c>
      <c r="H108" s="1" t="s">
        <v>20</v>
      </c>
      <c r="I108" s="5" t="s">
        <v>254</v>
      </c>
      <c r="J108" s="4">
        <v>36</v>
      </c>
      <c r="K108" t="str">
        <f t="shared" si="2"/>
        <v>fail</v>
      </c>
      <c r="L108" t="str">
        <f t="shared" si="3"/>
        <v>F</v>
      </c>
    </row>
    <row r="109" spans="1:12" x14ac:dyDescent="0.3">
      <c r="A109" s="1" t="s">
        <v>255</v>
      </c>
      <c r="B109" s="1" t="s">
        <v>51</v>
      </c>
      <c r="C109" s="1" t="s">
        <v>79</v>
      </c>
      <c r="D109" s="1" t="s">
        <v>31</v>
      </c>
      <c r="E109" s="4">
        <v>20</v>
      </c>
      <c r="F109" s="4">
        <v>12</v>
      </c>
      <c r="G109" s="1" t="s">
        <v>43</v>
      </c>
      <c r="H109" s="1" t="s">
        <v>40</v>
      </c>
      <c r="I109" s="5" t="s">
        <v>256</v>
      </c>
      <c r="J109" s="4">
        <v>48</v>
      </c>
      <c r="K109" t="str">
        <f t="shared" si="2"/>
        <v>pass</v>
      </c>
      <c r="L109" t="str">
        <f t="shared" si="3"/>
        <v>E</v>
      </c>
    </row>
    <row r="110" spans="1:12" x14ac:dyDescent="0.3">
      <c r="A110" s="1" t="s">
        <v>257</v>
      </c>
      <c r="B110" s="1" t="s">
        <v>68</v>
      </c>
      <c r="C110" s="1" t="s">
        <v>79</v>
      </c>
      <c r="D110" s="1" t="s">
        <v>31</v>
      </c>
      <c r="E110" s="4">
        <v>20</v>
      </c>
      <c r="F110" s="4">
        <v>11</v>
      </c>
      <c r="G110" s="1" t="s">
        <v>43</v>
      </c>
      <c r="H110" s="1" t="s">
        <v>46</v>
      </c>
      <c r="I110" s="5" t="s">
        <v>258</v>
      </c>
      <c r="J110" s="4">
        <v>52</v>
      </c>
      <c r="K110" t="str">
        <f t="shared" si="2"/>
        <v>pass</v>
      </c>
      <c r="L110" t="str">
        <f t="shared" si="3"/>
        <v>D</v>
      </c>
    </row>
    <row r="111" spans="1:12" x14ac:dyDescent="0.3">
      <c r="A111" s="1" t="s">
        <v>259</v>
      </c>
      <c r="B111" s="1" t="s">
        <v>54</v>
      </c>
      <c r="C111" s="1" t="s">
        <v>85</v>
      </c>
      <c r="D111" s="1" t="s">
        <v>13</v>
      </c>
      <c r="E111" s="4">
        <v>14</v>
      </c>
      <c r="F111" s="4">
        <v>11</v>
      </c>
      <c r="G111" s="1" t="s">
        <v>43</v>
      </c>
      <c r="H111" s="1" t="s">
        <v>46</v>
      </c>
      <c r="I111" s="5" t="s">
        <v>260</v>
      </c>
      <c r="J111" s="4">
        <v>62</v>
      </c>
      <c r="K111" t="str">
        <f t="shared" si="2"/>
        <v>pass</v>
      </c>
      <c r="L111" t="str">
        <f t="shared" si="3"/>
        <v>C</v>
      </c>
    </row>
    <row r="112" spans="1:12" x14ac:dyDescent="0.3">
      <c r="A112" s="1" t="s">
        <v>261</v>
      </c>
      <c r="B112" s="1" t="s">
        <v>23</v>
      </c>
      <c r="C112" s="1" t="s">
        <v>36</v>
      </c>
      <c r="D112" s="1" t="s">
        <v>13</v>
      </c>
      <c r="E112" s="4">
        <v>15</v>
      </c>
      <c r="F112" s="4">
        <v>11</v>
      </c>
      <c r="G112" s="1" t="s">
        <v>25</v>
      </c>
      <c r="H112" s="1" t="s">
        <v>26</v>
      </c>
      <c r="I112" s="5" t="s">
        <v>262</v>
      </c>
      <c r="J112" s="4">
        <v>63</v>
      </c>
      <c r="K112" t="str">
        <f t="shared" si="2"/>
        <v>pass</v>
      </c>
      <c r="L112" t="str">
        <f t="shared" si="3"/>
        <v>C</v>
      </c>
    </row>
    <row r="113" spans="1:12" x14ac:dyDescent="0.3">
      <c r="A113" s="1" t="s">
        <v>263</v>
      </c>
      <c r="B113" s="1" t="s">
        <v>29</v>
      </c>
      <c r="C113" s="1" t="s">
        <v>19</v>
      </c>
      <c r="D113" s="1" t="s">
        <v>13</v>
      </c>
      <c r="E113" s="4">
        <v>15</v>
      </c>
      <c r="F113" s="4">
        <v>11</v>
      </c>
      <c r="G113" s="1" t="s">
        <v>25</v>
      </c>
      <c r="H113" s="1" t="s">
        <v>46</v>
      </c>
      <c r="I113" s="5" t="s">
        <v>264</v>
      </c>
      <c r="J113" s="4">
        <v>58</v>
      </c>
      <c r="K113" t="str">
        <f t="shared" si="2"/>
        <v>pass</v>
      </c>
      <c r="L113" t="str">
        <f t="shared" si="3"/>
        <v>D</v>
      </c>
    </row>
    <row r="114" spans="1:12" x14ac:dyDescent="0.3">
      <c r="A114" s="1" t="s">
        <v>265</v>
      </c>
      <c r="B114" s="1" t="s">
        <v>11</v>
      </c>
      <c r="C114" s="1" t="s">
        <v>85</v>
      </c>
      <c r="D114" s="1" t="s">
        <v>31</v>
      </c>
      <c r="E114" s="4">
        <v>14</v>
      </c>
      <c r="F114" s="4">
        <v>9</v>
      </c>
      <c r="G114" s="1" t="s">
        <v>43</v>
      </c>
      <c r="H114" s="1" t="s">
        <v>61</v>
      </c>
      <c r="I114" s="5" t="s">
        <v>56</v>
      </c>
      <c r="J114" s="4">
        <v>41</v>
      </c>
      <c r="K114" t="str">
        <f t="shared" si="2"/>
        <v>pass</v>
      </c>
      <c r="L114" t="str">
        <f t="shared" si="3"/>
        <v>E</v>
      </c>
    </row>
    <row r="115" spans="1:12" x14ac:dyDescent="0.3">
      <c r="A115" s="1" t="s">
        <v>266</v>
      </c>
      <c r="B115" s="1" t="s">
        <v>54</v>
      </c>
      <c r="C115" s="1" t="s">
        <v>58</v>
      </c>
      <c r="D115" s="1" t="s">
        <v>13</v>
      </c>
      <c r="E115" s="4">
        <v>19</v>
      </c>
      <c r="F115" s="4">
        <v>11</v>
      </c>
      <c r="G115" s="1" t="s">
        <v>14</v>
      </c>
      <c r="H115" s="1" t="s">
        <v>40</v>
      </c>
      <c r="I115" s="5" t="s">
        <v>267</v>
      </c>
      <c r="J115" s="4">
        <v>41</v>
      </c>
      <c r="K115" t="str">
        <f t="shared" si="2"/>
        <v>pass</v>
      </c>
      <c r="L115" t="str">
        <f t="shared" si="3"/>
        <v>E</v>
      </c>
    </row>
    <row r="116" spans="1:12" x14ac:dyDescent="0.3">
      <c r="A116" s="1" t="s">
        <v>268</v>
      </c>
      <c r="B116" s="1" t="s">
        <v>68</v>
      </c>
      <c r="C116" s="1" t="s">
        <v>24</v>
      </c>
      <c r="D116" s="1" t="s">
        <v>31</v>
      </c>
      <c r="E116" s="4">
        <v>16</v>
      </c>
      <c r="F116" s="4">
        <v>12</v>
      </c>
      <c r="G116" s="1" t="s">
        <v>43</v>
      </c>
      <c r="H116" s="1" t="s">
        <v>26</v>
      </c>
      <c r="I116" s="5" t="s">
        <v>269</v>
      </c>
      <c r="J116" s="4">
        <v>47</v>
      </c>
      <c r="K116" t="str">
        <f t="shared" si="2"/>
        <v>pass</v>
      </c>
      <c r="L116" t="str">
        <f t="shared" si="3"/>
        <v>E</v>
      </c>
    </row>
    <row r="117" spans="1:12" x14ac:dyDescent="0.3">
      <c r="A117" s="1" t="s">
        <v>270</v>
      </c>
      <c r="B117" s="1" t="s">
        <v>73</v>
      </c>
      <c r="C117" s="1" t="s">
        <v>30</v>
      </c>
      <c r="D117" s="1" t="s">
        <v>31</v>
      </c>
      <c r="E117" s="4">
        <v>15</v>
      </c>
      <c r="F117" s="4">
        <v>9</v>
      </c>
      <c r="G117" s="1" t="s">
        <v>43</v>
      </c>
      <c r="H117" s="1" t="s">
        <v>26</v>
      </c>
      <c r="I117" s="5" t="s">
        <v>271</v>
      </c>
      <c r="J117" s="4">
        <v>76</v>
      </c>
      <c r="K117" t="str">
        <f t="shared" si="2"/>
        <v>pass</v>
      </c>
      <c r="L117" t="str">
        <f t="shared" si="3"/>
        <v>B</v>
      </c>
    </row>
    <row r="118" spans="1:12" x14ac:dyDescent="0.3">
      <c r="A118" s="1" t="s">
        <v>272</v>
      </c>
      <c r="B118" s="1" t="s">
        <v>54</v>
      </c>
      <c r="C118" s="1" t="s">
        <v>24</v>
      </c>
      <c r="D118" s="1" t="s">
        <v>13</v>
      </c>
      <c r="E118" s="4">
        <v>15</v>
      </c>
      <c r="F118" s="4">
        <v>9</v>
      </c>
      <c r="G118" s="1" t="s">
        <v>43</v>
      </c>
      <c r="H118" s="1" t="s">
        <v>20</v>
      </c>
      <c r="I118" s="5" t="s">
        <v>273</v>
      </c>
      <c r="J118" s="4">
        <v>50</v>
      </c>
      <c r="K118" t="str">
        <f t="shared" si="2"/>
        <v>pass</v>
      </c>
      <c r="L118" t="str">
        <f t="shared" si="3"/>
        <v>D</v>
      </c>
    </row>
    <row r="119" spans="1:12" x14ac:dyDescent="0.3">
      <c r="A119" s="1" t="s">
        <v>274</v>
      </c>
      <c r="B119" s="1" t="s">
        <v>35</v>
      </c>
      <c r="C119" s="1" t="s">
        <v>36</v>
      </c>
      <c r="D119" s="1" t="s">
        <v>13</v>
      </c>
      <c r="E119" s="4">
        <v>19</v>
      </c>
      <c r="F119" s="4">
        <v>9</v>
      </c>
      <c r="G119" s="1" t="s">
        <v>32</v>
      </c>
      <c r="H119" s="1" t="s">
        <v>61</v>
      </c>
      <c r="I119" s="5" t="s">
        <v>275</v>
      </c>
      <c r="J119" s="4">
        <v>63</v>
      </c>
      <c r="K119" t="str">
        <f t="shared" si="2"/>
        <v>pass</v>
      </c>
      <c r="L119" t="str">
        <f t="shared" si="3"/>
        <v>C</v>
      </c>
    </row>
    <row r="120" spans="1:12" x14ac:dyDescent="0.3">
      <c r="A120" s="1" t="s">
        <v>276</v>
      </c>
      <c r="B120" s="1" t="s">
        <v>84</v>
      </c>
      <c r="C120" s="1" t="s">
        <v>30</v>
      </c>
      <c r="D120" s="1" t="s">
        <v>31</v>
      </c>
      <c r="E120" s="4">
        <v>14</v>
      </c>
      <c r="F120" s="4">
        <v>12</v>
      </c>
      <c r="G120" s="1" t="s">
        <v>14</v>
      </c>
      <c r="H120" s="1" t="s">
        <v>26</v>
      </c>
      <c r="I120" s="5" t="s">
        <v>277</v>
      </c>
      <c r="J120" s="4">
        <v>62</v>
      </c>
      <c r="K120" t="str">
        <f t="shared" si="2"/>
        <v>pass</v>
      </c>
      <c r="L120" t="str">
        <f t="shared" si="3"/>
        <v>C</v>
      </c>
    </row>
    <row r="121" spans="1:12" x14ac:dyDescent="0.3">
      <c r="A121" s="1" t="s">
        <v>278</v>
      </c>
      <c r="B121" s="1" t="s">
        <v>73</v>
      </c>
      <c r="C121" s="1" t="s">
        <v>36</v>
      </c>
      <c r="D121" s="1" t="s">
        <v>13</v>
      </c>
      <c r="E121" s="4">
        <v>14</v>
      </c>
      <c r="F121" s="4">
        <v>11</v>
      </c>
      <c r="G121" s="1" t="s">
        <v>32</v>
      </c>
      <c r="H121" s="1" t="s">
        <v>37</v>
      </c>
      <c r="I121" s="5" t="s">
        <v>279</v>
      </c>
      <c r="J121" s="4">
        <v>51</v>
      </c>
      <c r="K121" t="str">
        <f t="shared" si="2"/>
        <v>pass</v>
      </c>
      <c r="L121" t="str">
        <f t="shared" si="3"/>
        <v>D</v>
      </c>
    </row>
    <row r="122" spans="1:12" x14ac:dyDescent="0.3">
      <c r="A122" s="1" t="s">
        <v>280</v>
      </c>
      <c r="B122" s="1" t="s">
        <v>84</v>
      </c>
      <c r="C122" s="1" t="s">
        <v>58</v>
      </c>
      <c r="D122" s="1" t="s">
        <v>13</v>
      </c>
      <c r="E122" s="4">
        <v>18</v>
      </c>
      <c r="F122" s="4">
        <v>12</v>
      </c>
      <c r="G122" s="1" t="s">
        <v>32</v>
      </c>
      <c r="H122" s="1" t="s">
        <v>76</v>
      </c>
      <c r="I122" s="5" t="s">
        <v>159</v>
      </c>
      <c r="J122" s="4">
        <v>98</v>
      </c>
      <c r="K122" t="str">
        <f t="shared" si="2"/>
        <v>pass</v>
      </c>
      <c r="L122" t="str">
        <f t="shared" si="3"/>
        <v>A+</v>
      </c>
    </row>
    <row r="123" spans="1:12" x14ac:dyDescent="0.3">
      <c r="A123" s="1" t="s">
        <v>281</v>
      </c>
      <c r="B123" s="1" t="s">
        <v>51</v>
      </c>
      <c r="C123" s="1" t="s">
        <v>36</v>
      </c>
      <c r="D123" s="1" t="s">
        <v>31</v>
      </c>
      <c r="E123" s="4">
        <v>15</v>
      </c>
      <c r="F123" s="4">
        <v>11</v>
      </c>
      <c r="G123" s="1" t="s">
        <v>43</v>
      </c>
      <c r="H123" s="1" t="s">
        <v>37</v>
      </c>
      <c r="I123" s="5" t="s">
        <v>282</v>
      </c>
      <c r="J123" s="4">
        <v>66</v>
      </c>
      <c r="K123" t="str">
        <f t="shared" si="2"/>
        <v>pass</v>
      </c>
      <c r="L123" t="str">
        <f t="shared" si="3"/>
        <v>C</v>
      </c>
    </row>
    <row r="124" spans="1:12" x14ac:dyDescent="0.3">
      <c r="A124" s="1" t="s">
        <v>283</v>
      </c>
      <c r="B124" s="1" t="s">
        <v>68</v>
      </c>
      <c r="C124" s="1" t="s">
        <v>79</v>
      </c>
      <c r="D124" s="1" t="s">
        <v>31</v>
      </c>
      <c r="E124" s="4">
        <v>16</v>
      </c>
      <c r="F124" s="4">
        <v>11</v>
      </c>
      <c r="G124" s="1" t="s">
        <v>32</v>
      </c>
      <c r="H124" s="1" t="s">
        <v>40</v>
      </c>
      <c r="I124" s="5" t="s">
        <v>284</v>
      </c>
      <c r="J124" s="4">
        <v>95</v>
      </c>
      <c r="K124" t="str">
        <f t="shared" si="2"/>
        <v>pass</v>
      </c>
      <c r="L124" t="str">
        <f t="shared" si="3"/>
        <v>A+</v>
      </c>
    </row>
    <row r="125" spans="1:12" x14ac:dyDescent="0.3">
      <c r="A125" s="1" t="s">
        <v>285</v>
      </c>
      <c r="B125" s="1" t="s">
        <v>18</v>
      </c>
      <c r="C125" s="1" t="s">
        <v>36</v>
      </c>
      <c r="D125" s="1" t="s">
        <v>31</v>
      </c>
      <c r="E125" s="4">
        <v>14</v>
      </c>
      <c r="F125" s="4">
        <v>11</v>
      </c>
      <c r="G125" s="1" t="s">
        <v>25</v>
      </c>
      <c r="H125" s="1" t="s">
        <v>46</v>
      </c>
      <c r="I125" s="5" t="s">
        <v>286</v>
      </c>
      <c r="J125" s="4">
        <v>64</v>
      </c>
      <c r="K125" t="str">
        <f t="shared" si="2"/>
        <v>pass</v>
      </c>
      <c r="L125" t="str">
        <f t="shared" si="3"/>
        <v>C</v>
      </c>
    </row>
    <row r="126" spans="1:12" x14ac:dyDescent="0.3">
      <c r="A126" s="1" t="s">
        <v>287</v>
      </c>
      <c r="B126" s="1" t="s">
        <v>54</v>
      </c>
      <c r="C126" s="1" t="s">
        <v>24</v>
      </c>
      <c r="D126" s="1" t="s">
        <v>31</v>
      </c>
      <c r="E126" s="4">
        <v>14</v>
      </c>
      <c r="F126" s="4">
        <v>12</v>
      </c>
      <c r="G126" s="1" t="s">
        <v>32</v>
      </c>
      <c r="H126" s="1" t="s">
        <v>76</v>
      </c>
      <c r="I126" s="5" t="s">
        <v>288</v>
      </c>
      <c r="J126" s="4">
        <v>48</v>
      </c>
      <c r="K126" t="str">
        <f t="shared" si="2"/>
        <v>pass</v>
      </c>
      <c r="L126" t="str">
        <f t="shared" si="3"/>
        <v>E</v>
      </c>
    </row>
    <row r="127" spans="1:12" x14ac:dyDescent="0.3">
      <c r="A127" s="1" t="s">
        <v>289</v>
      </c>
      <c r="B127" s="1" t="s">
        <v>23</v>
      </c>
      <c r="C127" s="1" t="s">
        <v>79</v>
      </c>
      <c r="D127" s="1" t="s">
        <v>31</v>
      </c>
      <c r="E127" s="4">
        <v>17</v>
      </c>
      <c r="F127" s="4">
        <v>9</v>
      </c>
      <c r="G127" s="1" t="s">
        <v>25</v>
      </c>
      <c r="H127" s="1" t="s">
        <v>37</v>
      </c>
      <c r="I127" s="5" t="s">
        <v>290</v>
      </c>
      <c r="J127" s="4">
        <v>62</v>
      </c>
      <c r="K127" t="str">
        <f t="shared" si="2"/>
        <v>pass</v>
      </c>
      <c r="L127" t="str">
        <f t="shared" si="3"/>
        <v>C</v>
      </c>
    </row>
    <row r="128" spans="1:12" x14ac:dyDescent="0.3">
      <c r="A128" s="1" t="s">
        <v>291</v>
      </c>
      <c r="B128" s="1" t="s">
        <v>11</v>
      </c>
      <c r="C128" s="1" t="s">
        <v>30</v>
      </c>
      <c r="D128" s="1" t="s">
        <v>31</v>
      </c>
      <c r="E128" s="4">
        <v>16</v>
      </c>
      <c r="F128" s="4">
        <v>9</v>
      </c>
      <c r="G128" s="1" t="s">
        <v>25</v>
      </c>
      <c r="H128" s="1" t="s">
        <v>61</v>
      </c>
      <c r="I128" s="5" t="s">
        <v>292</v>
      </c>
      <c r="J128" s="4">
        <v>97</v>
      </c>
      <c r="K128" t="str">
        <f t="shared" si="2"/>
        <v>pass</v>
      </c>
      <c r="L128" t="str">
        <f t="shared" si="3"/>
        <v>A+</v>
      </c>
    </row>
    <row r="129" spans="1:12" x14ac:dyDescent="0.3">
      <c r="A129" s="1" t="s">
        <v>293</v>
      </c>
      <c r="B129" s="1" t="s">
        <v>73</v>
      </c>
      <c r="C129" s="1" t="s">
        <v>96</v>
      </c>
      <c r="D129" s="1" t="s">
        <v>31</v>
      </c>
      <c r="E129" s="4">
        <v>20</v>
      </c>
      <c r="F129" s="4">
        <v>9</v>
      </c>
      <c r="G129" s="1" t="s">
        <v>43</v>
      </c>
      <c r="H129" s="1" t="s">
        <v>26</v>
      </c>
      <c r="I129" s="5" t="s">
        <v>74</v>
      </c>
      <c r="J129" s="4">
        <v>100</v>
      </c>
      <c r="K129" t="str">
        <f t="shared" si="2"/>
        <v>pass</v>
      </c>
      <c r="L129" t="str">
        <f t="shared" si="3"/>
        <v>A+</v>
      </c>
    </row>
    <row r="130" spans="1:12" x14ac:dyDescent="0.3">
      <c r="A130" s="1" t="s">
        <v>294</v>
      </c>
      <c r="B130" s="1" t="s">
        <v>35</v>
      </c>
      <c r="C130" s="1" t="s">
        <v>55</v>
      </c>
      <c r="D130" s="1" t="s">
        <v>13</v>
      </c>
      <c r="E130" s="4">
        <v>20</v>
      </c>
      <c r="F130" s="4">
        <v>9</v>
      </c>
      <c r="G130" s="1" t="s">
        <v>25</v>
      </c>
      <c r="H130" s="1" t="s">
        <v>46</v>
      </c>
      <c r="I130" s="5" t="s">
        <v>295</v>
      </c>
      <c r="J130" s="4">
        <v>99</v>
      </c>
      <c r="K130" t="str">
        <f t="shared" si="2"/>
        <v>pass</v>
      </c>
      <c r="L130" t="str">
        <f t="shared" si="3"/>
        <v>A+</v>
      </c>
    </row>
    <row r="131" spans="1:12" x14ac:dyDescent="0.3">
      <c r="A131" s="1" t="s">
        <v>296</v>
      </c>
      <c r="B131" s="1" t="s">
        <v>84</v>
      </c>
      <c r="C131" s="1" t="s">
        <v>19</v>
      </c>
      <c r="D131" s="1" t="s">
        <v>31</v>
      </c>
      <c r="E131" s="4">
        <v>20</v>
      </c>
      <c r="F131" s="4">
        <v>10</v>
      </c>
      <c r="G131" s="1" t="s">
        <v>43</v>
      </c>
      <c r="H131" s="1" t="s">
        <v>20</v>
      </c>
      <c r="I131" s="5" t="s">
        <v>297</v>
      </c>
      <c r="J131" s="4">
        <v>100</v>
      </c>
      <c r="K131" t="str">
        <f t="shared" ref="K131:K194" si="4">IF(J131&gt;=40,"pass","fail")</f>
        <v>pass</v>
      </c>
      <c r="L131" t="str">
        <f t="shared" ref="L131:L194" si="5">IF(J131&gt;=90,"A+",IF(J131&gt;=80,"A",IF(J131&gt;=70,"B",IF(J131&gt;=60,"C",IF(J131&gt;=50,"D",IF(J131&gt;=40,"E","F"))))))</f>
        <v>A+</v>
      </c>
    </row>
    <row r="132" spans="1:12" x14ac:dyDescent="0.3">
      <c r="A132" s="1" t="s">
        <v>298</v>
      </c>
      <c r="B132" s="1" t="s">
        <v>29</v>
      </c>
      <c r="C132" s="1" t="s">
        <v>96</v>
      </c>
      <c r="D132" s="1" t="s">
        <v>31</v>
      </c>
      <c r="E132" s="4">
        <v>20</v>
      </c>
      <c r="F132" s="4">
        <v>10</v>
      </c>
      <c r="G132" s="1" t="s">
        <v>32</v>
      </c>
      <c r="H132" s="1" t="s">
        <v>26</v>
      </c>
      <c r="I132" s="5" t="s">
        <v>299</v>
      </c>
      <c r="J132" s="4">
        <v>56</v>
      </c>
      <c r="K132" t="str">
        <f t="shared" si="4"/>
        <v>pass</v>
      </c>
      <c r="L132" t="str">
        <f t="shared" si="5"/>
        <v>D</v>
      </c>
    </row>
    <row r="133" spans="1:12" x14ac:dyDescent="0.3">
      <c r="A133" s="1" t="s">
        <v>300</v>
      </c>
      <c r="B133" s="1" t="s">
        <v>11</v>
      </c>
      <c r="C133" s="1" t="s">
        <v>79</v>
      </c>
      <c r="D133" s="1" t="s">
        <v>31</v>
      </c>
      <c r="E133" s="4">
        <v>18</v>
      </c>
      <c r="F133" s="4">
        <v>9</v>
      </c>
      <c r="G133" s="1" t="s">
        <v>14</v>
      </c>
      <c r="H133" s="1" t="s">
        <v>20</v>
      </c>
      <c r="I133" s="5" t="s">
        <v>301</v>
      </c>
      <c r="J133" s="4">
        <v>66</v>
      </c>
      <c r="K133" t="str">
        <f t="shared" si="4"/>
        <v>pass</v>
      </c>
      <c r="L133" t="str">
        <f t="shared" si="5"/>
        <v>C</v>
      </c>
    </row>
    <row r="134" spans="1:12" x14ac:dyDescent="0.3">
      <c r="A134" s="1" t="s">
        <v>302</v>
      </c>
      <c r="B134" s="1" t="s">
        <v>29</v>
      </c>
      <c r="C134" s="1" t="s">
        <v>79</v>
      </c>
      <c r="D134" s="1" t="s">
        <v>13</v>
      </c>
      <c r="E134" s="4">
        <v>14</v>
      </c>
      <c r="F134" s="4">
        <v>12</v>
      </c>
      <c r="G134" s="1" t="s">
        <v>14</v>
      </c>
      <c r="H134" s="1" t="s">
        <v>20</v>
      </c>
      <c r="I134" s="5" t="s">
        <v>303</v>
      </c>
      <c r="J134" s="4">
        <v>66</v>
      </c>
      <c r="K134" t="str">
        <f t="shared" si="4"/>
        <v>pass</v>
      </c>
      <c r="L134" t="str">
        <f t="shared" si="5"/>
        <v>C</v>
      </c>
    </row>
    <row r="135" spans="1:12" x14ac:dyDescent="0.3">
      <c r="A135" s="1" t="s">
        <v>304</v>
      </c>
      <c r="B135" s="1" t="s">
        <v>51</v>
      </c>
      <c r="C135" s="1" t="s">
        <v>36</v>
      </c>
      <c r="D135" s="1" t="s">
        <v>31</v>
      </c>
      <c r="E135" s="4">
        <v>15</v>
      </c>
      <c r="F135" s="4">
        <v>12</v>
      </c>
      <c r="G135" s="1" t="s">
        <v>32</v>
      </c>
      <c r="H135" s="1" t="s">
        <v>46</v>
      </c>
      <c r="I135" s="5" t="s">
        <v>305</v>
      </c>
      <c r="J135" s="4">
        <v>77</v>
      </c>
      <c r="K135" t="str">
        <f t="shared" si="4"/>
        <v>pass</v>
      </c>
      <c r="L135" t="str">
        <f t="shared" si="5"/>
        <v>B</v>
      </c>
    </row>
    <row r="136" spans="1:12" x14ac:dyDescent="0.3">
      <c r="A136" s="1" t="s">
        <v>306</v>
      </c>
      <c r="B136" s="1" t="s">
        <v>23</v>
      </c>
      <c r="C136" s="1" t="s">
        <v>19</v>
      </c>
      <c r="D136" s="1" t="s">
        <v>31</v>
      </c>
      <c r="E136" s="4">
        <v>16</v>
      </c>
      <c r="F136" s="4">
        <v>10</v>
      </c>
      <c r="G136" s="1" t="s">
        <v>43</v>
      </c>
      <c r="H136" s="1" t="s">
        <v>61</v>
      </c>
      <c r="I136" s="5" t="s">
        <v>307</v>
      </c>
      <c r="J136" s="4">
        <v>47</v>
      </c>
      <c r="K136" t="str">
        <f t="shared" si="4"/>
        <v>pass</v>
      </c>
      <c r="L136" t="str">
        <f t="shared" si="5"/>
        <v>E</v>
      </c>
    </row>
    <row r="137" spans="1:12" x14ac:dyDescent="0.3">
      <c r="A137" s="1" t="s">
        <v>308</v>
      </c>
      <c r="B137" s="1" t="s">
        <v>23</v>
      </c>
      <c r="C137" s="1" t="s">
        <v>36</v>
      </c>
      <c r="D137" s="1" t="s">
        <v>13</v>
      </c>
      <c r="E137" s="4">
        <v>18</v>
      </c>
      <c r="F137" s="4">
        <v>10</v>
      </c>
      <c r="G137" s="1" t="s">
        <v>43</v>
      </c>
      <c r="H137" s="1" t="s">
        <v>40</v>
      </c>
      <c r="I137" s="5" t="s">
        <v>309</v>
      </c>
      <c r="J137" s="4">
        <v>57</v>
      </c>
      <c r="K137" t="str">
        <f t="shared" si="4"/>
        <v>pass</v>
      </c>
      <c r="L137" t="str">
        <f t="shared" si="5"/>
        <v>D</v>
      </c>
    </row>
    <row r="138" spans="1:12" x14ac:dyDescent="0.3">
      <c r="A138" s="1" t="s">
        <v>310</v>
      </c>
      <c r="B138" s="1" t="s">
        <v>29</v>
      </c>
      <c r="C138" s="1" t="s">
        <v>96</v>
      </c>
      <c r="D138" s="1" t="s">
        <v>31</v>
      </c>
      <c r="E138" s="4">
        <v>16</v>
      </c>
      <c r="F138" s="4">
        <v>9</v>
      </c>
      <c r="G138" s="1" t="s">
        <v>32</v>
      </c>
      <c r="H138" s="1" t="s">
        <v>46</v>
      </c>
      <c r="I138" s="5" t="s">
        <v>311</v>
      </c>
      <c r="J138" s="4">
        <v>67</v>
      </c>
      <c r="K138" t="str">
        <f t="shared" si="4"/>
        <v>pass</v>
      </c>
      <c r="L138" t="str">
        <f t="shared" si="5"/>
        <v>C</v>
      </c>
    </row>
    <row r="139" spans="1:12" x14ac:dyDescent="0.3">
      <c r="A139" s="1" t="s">
        <v>312</v>
      </c>
      <c r="B139" s="1" t="s">
        <v>29</v>
      </c>
      <c r="C139" s="1" t="s">
        <v>12</v>
      </c>
      <c r="D139" s="1" t="s">
        <v>31</v>
      </c>
      <c r="E139" s="4">
        <v>14</v>
      </c>
      <c r="F139" s="4">
        <v>12</v>
      </c>
      <c r="G139" s="1" t="s">
        <v>43</v>
      </c>
      <c r="H139" s="1" t="s">
        <v>61</v>
      </c>
      <c r="I139" s="5" t="s">
        <v>313</v>
      </c>
      <c r="J139" s="4">
        <v>44</v>
      </c>
      <c r="K139" t="str">
        <f t="shared" si="4"/>
        <v>pass</v>
      </c>
      <c r="L139" t="str">
        <f t="shared" si="5"/>
        <v>E</v>
      </c>
    </row>
    <row r="140" spans="1:12" x14ac:dyDescent="0.3">
      <c r="A140" s="1" t="s">
        <v>314</v>
      </c>
      <c r="B140" s="1" t="s">
        <v>68</v>
      </c>
      <c r="C140" s="1" t="s">
        <v>79</v>
      </c>
      <c r="D140" s="1" t="s">
        <v>13</v>
      </c>
      <c r="E140" s="4">
        <v>15</v>
      </c>
      <c r="F140" s="4">
        <v>11</v>
      </c>
      <c r="G140" s="1" t="s">
        <v>14</v>
      </c>
      <c r="H140" s="1" t="s">
        <v>46</v>
      </c>
      <c r="I140" s="5" t="s">
        <v>315</v>
      </c>
      <c r="J140" s="4">
        <v>35</v>
      </c>
      <c r="K140" t="str">
        <f t="shared" si="4"/>
        <v>fail</v>
      </c>
      <c r="L140" t="str">
        <f t="shared" si="5"/>
        <v>F</v>
      </c>
    </row>
    <row r="141" spans="1:12" x14ac:dyDescent="0.3">
      <c r="A141" s="1" t="s">
        <v>316</v>
      </c>
      <c r="B141" s="1" t="s">
        <v>23</v>
      </c>
      <c r="C141" s="1" t="s">
        <v>36</v>
      </c>
      <c r="D141" s="1" t="s">
        <v>31</v>
      </c>
      <c r="E141" s="4">
        <v>20</v>
      </c>
      <c r="F141" s="4">
        <v>11</v>
      </c>
      <c r="G141" s="1" t="s">
        <v>14</v>
      </c>
      <c r="H141" s="1" t="s">
        <v>37</v>
      </c>
      <c r="I141" s="5" t="s">
        <v>317</v>
      </c>
      <c r="J141" s="4">
        <v>52</v>
      </c>
      <c r="K141" t="str">
        <f t="shared" si="4"/>
        <v>pass</v>
      </c>
      <c r="L141" t="str">
        <f t="shared" si="5"/>
        <v>D</v>
      </c>
    </row>
    <row r="142" spans="1:12" x14ac:dyDescent="0.3">
      <c r="A142" s="1" t="s">
        <v>318</v>
      </c>
      <c r="B142" s="1" t="s">
        <v>54</v>
      </c>
      <c r="C142" s="1" t="s">
        <v>96</v>
      </c>
      <c r="D142" s="1" t="s">
        <v>13</v>
      </c>
      <c r="E142" s="4">
        <v>18</v>
      </c>
      <c r="F142" s="4">
        <v>9</v>
      </c>
      <c r="G142" s="1" t="s">
        <v>32</v>
      </c>
      <c r="H142" s="1" t="s">
        <v>76</v>
      </c>
      <c r="I142" s="5" t="s">
        <v>319</v>
      </c>
      <c r="J142" s="4">
        <v>86</v>
      </c>
      <c r="K142" t="str">
        <f t="shared" si="4"/>
        <v>pass</v>
      </c>
      <c r="L142" t="str">
        <f t="shared" si="5"/>
        <v>A</v>
      </c>
    </row>
    <row r="143" spans="1:12" x14ac:dyDescent="0.3">
      <c r="A143" s="1" t="s">
        <v>320</v>
      </c>
      <c r="B143" s="1" t="s">
        <v>84</v>
      </c>
      <c r="C143" s="1" t="s">
        <v>55</v>
      </c>
      <c r="D143" s="1" t="s">
        <v>31</v>
      </c>
      <c r="E143" s="4">
        <v>16</v>
      </c>
      <c r="F143" s="4">
        <v>12</v>
      </c>
      <c r="G143" s="1" t="s">
        <v>32</v>
      </c>
      <c r="H143" s="1" t="s">
        <v>76</v>
      </c>
      <c r="I143" s="5" t="s">
        <v>321</v>
      </c>
      <c r="J143" s="4">
        <v>66</v>
      </c>
      <c r="K143" t="str">
        <f t="shared" si="4"/>
        <v>pass</v>
      </c>
      <c r="L143" t="str">
        <f t="shared" si="5"/>
        <v>C</v>
      </c>
    </row>
    <row r="144" spans="1:12" x14ac:dyDescent="0.3">
      <c r="A144" s="1" t="s">
        <v>322</v>
      </c>
      <c r="B144" s="1" t="s">
        <v>35</v>
      </c>
      <c r="C144" s="1" t="s">
        <v>12</v>
      </c>
      <c r="D144" s="1" t="s">
        <v>13</v>
      </c>
      <c r="E144" s="4">
        <v>14</v>
      </c>
      <c r="F144" s="4">
        <v>11</v>
      </c>
      <c r="G144" s="1" t="s">
        <v>14</v>
      </c>
      <c r="H144" s="1" t="s">
        <v>26</v>
      </c>
      <c r="I144" s="5" t="s">
        <v>323</v>
      </c>
      <c r="J144" s="4">
        <v>93</v>
      </c>
      <c r="K144" t="str">
        <f t="shared" si="4"/>
        <v>pass</v>
      </c>
      <c r="L144" t="str">
        <f t="shared" si="5"/>
        <v>A+</v>
      </c>
    </row>
    <row r="145" spans="1:12" x14ac:dyDescent="0.3">
      <c r="A145" s="1" t="s">
        <v>324</v>
      </c>
      <c r="B145" s="1" t="s">
        <v>23</v>
      </c>
      <c r="C145" s="1" t="s">
        <v>85</v>
      </c>
      <c r="D145" s="1" t="s">
        <v>31</v>
      </c>
      <c r="E145" s="4">
        <v>16</v>
      </c>
      <c r="F145" s="4">
        <v>9</v>
      </c>
      <c r="G145" s="1" t="s">
        <v>32</v>
      </c>
      <c r="H145" s="1" t="s">
        <v>61</v>
      </c>
      <c r="I145" s="5" t="s">
        <v>325</v>
      </c>
      <c r="J145" s="4">
        <v>54</v>
      </c>
      <c r="K145" t="str">
        <f t="shared" si="4"/>
        <v>pass</v>
      </c>
      <c r="L145" t="str">
        <f t="shared" si="5"/>
        <v>D</v>
      </c>
    </row>
    <row r="146" spans="1:12" x14ac:dyDescent="0.3">
      <c r="A146" s="1" t="s">
        <v>326</v>
      </c>
      <c r="B146" s="1" t="s">
        <v>54</v>
      </c>
      <c r="C146" s="1" t="s">
        <v>55</v>
      </c>
      <c r="D146" s="1" t="s">
        <v>13</v>
      </c>
      <c r="E146" s="4">
        <v>20</v>
      </c>
      <c r="F146" s="4">
        <v>9</v>
      </c>
      <c r="G146" s="1" t="s">
        <v>32</v>
      </c>
      <c r="H146" s="1" t="s">
        <v>15</v>
      </c>
      <c r="I146" s="5" t="s">
        <v>77</v>
      </c>
      <c r="J146" s="4">
        <v>75</v>
      </c>
      <c r="K146" t="str">
        <f t="shared" si="4"/>
        <v>pass</v>
      </c>
      <c r="L146" t="str">
        <f t="shared" si="5"/>
        <v>B</v>
      </c>
    </row>
    <row r="147" spans="1:12" x14ac:dyDescent="0.3">
      <c r="A147" s="1" t="s">
        <v>327</v>
      </c>
      <c r="B147" s="1" t="s">
        <v>73</v>
      </c>
      <c r="C147" s="1" t="s">
        <v>96</v>
      </c>
      <c r="D147" s="1" t="s">
        <v>13</v>
      </c>
      <c r="E147" s="4">
        <v>20</v>
      </c>
      <c r="F147" s="4">
        <v>9</v>
      </c>
      <c r="G147" s="1" t="s">
        <v>32</v>
      </c>
      <c r="H147" s="1" t="s">
        <v>61</v>
      </c>
      <c r="I147" s="5" t="s">
        <v>328</v>
      </c>
      <c r="J147" s="4">
        <v>40</v>
      </c>
      <c r="K147" t="str">
        <f t="shared" si="4"/>
        <v>pass</v>
      </c>
      <c r="L147" t="str">
        <f t="shared" si="5"/>
        <v>E</v>
      </c>
    </row>
    <row r="148" spans="1:12" x14ac:dyDescent="0.3">
      <c r="A148" s="1" t="s">
        <v>329</v>
      </c>
      <c r="B148" s="1" t="s">
        <v>11</v>
      </c>
      <c r="C148" s="1" t="s">
        <v>24</v>
      </c>
      <c r="D148" s="1" t="s">
        <v>31</v>
      </c>
      <c r="E148" s="4">
        <v>15</v>
      </c>
      <c r="F148" s="4">
        <v>9</v>
      </c>
      <c r="G148" s="1" t="s">
        <v>43</v>
      </c>
      <c r="H148" s="1" t="s">
        <v>61</v>
      </c>
      <c r="I148" s="5" t="s">
        <v>330</v>
      </c>
      <c r="J148" s="4">
        <v>83</v>
      </c>
      <c r="K148" t="str">
        <f t="shared" si="4"/>
        <v>pass</v>
      </c>
      <c r="L148" t="str">
        <f t="shared" si="5"/>
        <v>A</v>
      </c>
    </row>
    <row r="149" spans="1:12" x14ac:dyDescent="0.3">
      <c r="A149" s="1" t="s">
        <v>331</v>
      </c>
      <c r="B149" s="1" t="s">
        <v>73</v>
      </c>
      <c r="C149" s="1" t="s">
        <v>30</v>
      </c>
      <c r="D149" s="1" t="s">
        <v>31</v>
      </c>
      <c r="E149" s="4">
        <v>19</v>
      </c>
      <c r="F149" s="4">
        <v>10</v>
      </c>
      <c r="G149" s="1" t="s">
        <v>43</v>
      </c>
      <c r="H149" s="1" t="s">
        <v>20</v>
      </c>
      <c r="I149" s="5" t="s">
        <v>191</v>
      </c>
      <c r="J149" s="4">
        <v>93</v>
      </c>
      <c r="K149" t="str">
        <f t="shared" si="4"/>
        <v>pass</v>
      </c>
      <c r="L149" t="str">
        <f t="shared" si="5"/>
        <v>A+</v>
      </c>
    </row>
    <row r="150" spans="1:12" x14ac:dyDescent="0.3">
      <c r="A150" s="1" t="s">
        <v>332</v>
      </c>
      <c r="B150" s="1" t="s">
        <v>29</v>
      </c>
      <c r="C150" s="1" t="s">
        <v>12</v>
      </c>
      <c r="D150" s="1" t="s">
        <v>31</v>
      </c>
      <c r="E150" s="4">
        <v>16</v>
      </c>
      <c r="F150" s="4">
        <v>11</v>
      </c>
      <c r="G150" s="1" t="s">
        <v>32</v>
      </c>
      <c r="H150" s="1" t="s">
        <v>76</v>
      </c>
      <c r="I150" s="5" t="s">
        <v>333</v>
      </c>
      <c r="J150" s="4">
        <v>42</v>
      </c>
      <c r="K150" t="str">
        <f t="shared" si="4"/>
        <v>pass</v>
      </c>
      <c r="L150" t="str">
        <f t="shared" si="5"/>
        <v>E</v>
      </c>
    </row>
    <row r="151" spans="1:12" x14ac:dyDescent="0.3">
      <c r="A151" s="1" t="s">
        <v>334</v>
      </c>
      <c r="B151" s="1" t="s">
        <v>73</v>
      </c>
      <c r="C151" s="1" t="s">
        <v>12</v>
      </c>
      <c r="D151" s="1" t="s">
        <v>31</v>
      </c>
      <c r="E151" s="4">
        <v>18</v>
      </c>
      <c r="F151" s="4">
        <v>11</v>
      </c>
      <c r="G151" s="1" t="s">
        <v>32</v>
      </c>
      <c r="H151" s="1" t="s">
        <v>76</v>
      </c>
      <c r="I151" s="5" t="s">
        <v>335</v>
      </c>
      <c r="J151" s="4">
        <v>97</v>
      </c>
      <c r="K151" t="str">
        <f t="shared" si="4"/>
        <v>pass</v>
      </c>
      <c r="L151" t="str">
        <f t="shared" si="5"/>
        <v>A+</v>
      </c>
    </row>
    <row r="152" spans="1:12" x14ac:dyDescent="0.3">
      <c r="A152" s="1" t="s">
        <v>336</v>
      </c>
      <c r="B152" s="1" t="s">
        <v>11</v>
      </c>
      <c r="C152" s="1" t="s">
        <v>58</v>
      </c>
      <c r="D152" s="1" t="s">
        <v>31</v>
      </c>
      <c r="E152" s="4">
        <v>19</v>
      </c>
      <c r="F152" s="4">
        <v>12</v>
      </c>
      <c r="G152" s="1" t="s">
        <v>25</v>
      </c>
      <c r="H152" s="1" t="s">
        <v>61</v>
      </c>
      <c r="I152" s="5" t="s">
        <v>218</v>
      </c>
      <c r="J152" s="4">
        <v>68</v>
      </c>
      <c r="K152" t="str">
        <f t="shared" si="4"/>
        <v>pass</v>
      </c>
      <c r="L152" t="str">
        <f t="shared" si="5"/>
        <v>C</v>
      </c>
    </row>
    <row r="153" spans="1:12" x14ac:dyDescent="0.3">
      <c r="A153" s="1" t="s">
        <v>337</v>
      </c>
      <c r="B153" s="1" t="s">
        <v>23</v>
      </c>
      <c r="C153" s="1" t="s">
        <v>30</v>
      </c>
      <c r="D153" s="1" t="s">
        <v>31</v>
      </c>
      <c r="E153" s="4">
        <v>19</v>
      </c>
      <c r="F153" s="4">
        <v>9</v>
      </c>
      <c r="G153" s="1" t="s">
        <v>32</v>
      </c>
      <c r="H153" s="1" t="s">
        <v>61</v>
      </c>
      <c r="I153" s="5" t="s">
        <v>338</v>
      </c>
      <c r="J153" s="4">
        <v>51</v>
      </c>
      <c r="K153" t="str">
        <f t="shared" si="4"/>
        <v>pass</v>
      </c>
      <c r="L153" t="str">
        <f t="shared" si="5"/>
        <v>D</v>
      </c>
    </row>
    <row r="154" spans="1:12" x14ac:dyDescent="0.3">
      <c r="A154" s="1" t="s">
        <v>339</v>
      </c>
      <c r="B154" s="1" t="s">
        <v>23</v>
      </c>
      <c r="C154" s="1" t="s">
        <v>36</v>
      </c>
      <c r="D154" s="1" t="s">
        <v>13</v>
      </c>
      <c r="E154" s="4">
        <v>18</v>
      </c>
      <c r="F154" s="4">
        <v>9</v>
      </c>
      <c r="G154" s="1" t="s">
        <v>32</v>
      </c>
      <c r="H154" s="1" t="s">
        <v>37</v>
      </c>
      <c r="I154" s="5" t="s">
        <v>340</v>
      </c>
      <c r="J154" s="4">
        <v>64</v>
      </c>
      <c r="K154" t="str">
        <f t="shared" si="4"/>
        <v>pass</v>
      </c>
      <c r="L154" t="str">
        <f t="shared" si="5"/>
        <v>C</v>
      </c>
    </row>
    <row r="155" spans="1:12" x14ac:dyDescent="0.3">
      <c r="A155" s="1" t="s">
        <v>341</v>
      </c>
      <c r="B155" s="1" t="s">
        <v>54</v>
      </c>
      <c r="C155" s="1" t="s">
        <v>55</v>
      </c>
      <c r="D155" s="1" t="s">
        <v>13</v>
      </c>
      <c r="E155" s="4">
        <v>14</v>
      </c>
      <c r="F155" s="4">
        <v>9</v>
      </c>
      <c r="G155" s="1" t="s">
        <v>25</v>
      </c>
      <c r="H155" s="1" t="s">
        <v>37</v>
      </c>
      <c r="I155" s="5" t="s">
        <v>342</v>
      </c>
      <c r="J155" s="4">
        <v>82</v>
      </c>
      <c r="K155" t="str">
        <f t="shared" si="4"/>
        <v>pass</v>
      </c>
      <c r="L155" t="str">
        <f t="shared" si="5"/>
        <v>A</v>
      </c>
    </row>
    <row r="156" spans="1:12" x14ac:dyDescent="0.3">
      <c r="A156" s="1" t="s">
        <v>343</v>
      </c>
      <c r="B156" s="1" t="s">
        <v>68</v>
      </c>
      <c r="C156" s="1" t="s">
        <v>79</v>
      </c>
      <c r="D156" s="1" t="s">
        <v>13</v>
      </c>
      <c r="E156" s="4">
        <v>19</v>
      </c>
      <c r="F156" s="4">
        <v>11</v>
      </c>
      <c r="G156" s="1" t="s">
        <v>14</v>
      </c>
      <c r="H156" s="1" t="s">
        <v>40</v>
      </c>
      <c r="I156" s="5" t="s">
        <v>344</v>
      </c>
      <c r="J156" s="4">
        <v>35</v>
      </c>
      <c r="K156" t="str">
        <f t="shared" si="4"/>
        <v>fail</v>
      </c>
      <c r="L156" t="str">
        <f t="shared" si="5"/>
        <v>F</v>
      </c>
    </row>
    <row r="157" spans="1:12" x14ac:dyDescent="0.3">
      <c r="A157" s="1" t="s">
        <v>345</v>
      </c>
      <c r="B157" s="1" t="s">
        <v>29</v>
      </c>
      <c r="C157" s="1" t="s">
        <v>24</v>
      </c>
      <c r="D157" s="1" t="s">
        <v>31</v>
      </c>
      <c r="E157" s="4">
        <v>15</v>
      </c>
      <c r="F157" s="4">
        <v>9</v>
      </c>
      <c r="G157" s="1" t="s">
        <v>14</v>
      </c>
      <c r="H157" s="1" t="s">
        <v>26</v>
      </c>
      <c r="I157" s="5" t="s">
        <v>346</v>
      </c>
      <c r="J157" s="4">
        <v>49</v>
      </c>
      <c r="K157" t="str">
        <f t="shared" si="4"/>
        <v>pass</v>
      </c>
      <c r="L157" t="str">
        <f t="shared" si="5"/>
        <v>E</v>
      </c>
    </row>
    <row r="158" spans="1:12" x14ac:dyDescent="0.3">
      <c r="A158" s="1" t="s">
        <v>347</v>
      </c>
      <c r="B158" s="1" t="s">
        <v>23</v>
      </c>
      <c r="C158" s="1" t="s">
        <v>85</v>
      </c>
      <c r="D158" s="1" t="s">
        <v>31</v>
      </c>
      <c r="E158" s="4">
        <v>15</v>
      </c>
      <c r="F158" s="4">
        <v>11</v>
      </c>
      <c r="G158" s="1" t="s">
        <v>32</v>
      </c>
      <c r="H158" s="1" t="s">
        <v>26</v>
      </c>
      <c r="I158" s="5" t="s">
        <v>348</v>
      </c>
      <c r="J158" s="4">
        <v>37</v>
      </c>
      <c r="K158" t="str">
        <f t="shared" si="4"/>
        <v>fail</v>
      </c>
      <c r="L158" t="str">
        <f t="shared" si="5"/>
        <v>F</v>
      </c>
    </row>
    <row r="159" spans="1:12" x14ac:dyDescent="0.3">
      <c r="A159" s="1" t="s">
        <v>349</v>
      </c>
      <c r="B159" s="1" t="s">
        <v>35</v>
      </c>
      <c r="C159" s="1" t="s">
        <v>30</v>
      </c>
      <c r="D159" s="1" t="s">
        <v>31</v>
      </c>
      <c r="E159" s="4">
        <v>18</v>
      </c>
      <c r="F159" s="4">
        <v>12</v>
      </c>
      <c r="G159" s="1" t="s">
        <v>43</v>
      </c>
      <c r="H159" s="1" t="s">
        <v>37</v>
      </c>
      <c r="I159" s="5" t="s">
        <v>350</v>
      </c>
      <c r="J159" s="4">
        <v>53</v>
      </c>
      <c r="K159" t="str">
        <f t="shared" si="4"/>
        <v>pass</v>
      </c>
      <c r="L159" t="str">
        <f t="shared" si="5"/>
        <v>D</v>
      </c>
    </row>
    <row r="160" spans="1:12" x14ac:dyDescent="0.3">
      <c r="A160" s="1" t="s">
        <v>351</v>
      </c>
      <c r="B160" s="1" t="s">
        <v>68</v>
      </c>
      <c r="C160" s="1" t="s">
        <v>96</v>
      </c>
      <c r="D160" s="1" t="s">
        <v>13</v>
      </c>
      <c r="E160" s="4">
        <v>15</v>
      </c>
      <c r="F160" s="4">
        <v>10</v>
      </c>
      <c r="G160" s="1" t="s">
        <v>25</v>
      </c>
      <c r="H160" s="1" t="s">
        <v>20</v>
      </c>
      <c r="I160" s="5" t="s">
        <v>352</v>
      </c>
      <c r="J160" s="4">
        <v>50</v>
      </c>
      <c r="K160" t="str">
        <f t="shared" si="4"/>
        <v>pass</v>
      </c>
      <c r="L160" t="str">
        <f t="shared" si="5"/>
        <v>D</v>
      </c>
    </row>
    <row r="161" spans="1:12" x14ac:dyDescent="0.3">
      <c r="A161" s="1" t="s">
        <v>353</v>
      </c>
      <c r="B161" s="1" t="s">
        <v>51</v>
      </c>
      <c r="C161" s="1" t="s">
        <v>55</v>
      </c>
      <c r="D161" s="1" t="s">
        <v>31</v>
      </c>
      <c r="E161" s="4">
        <v>20</v>
      </c>
      <c r="F161" s="4">
        <v>9</v>
      </c>
      <c r="G161" s="1" t="s">
        <v>25</v>
      </c>
      <c r="H161" s="1" t="s">
        <v>46</v>
      </c>
      <c r="I161" s="5" t="s">
        <v>354</v>
      </c>
      <c r="J161" s="4">
        <v>53</v>
      </c>
      <c r="K161" t="str">
        <f t="shared" si="4"/>
        <v>pass</v>
      </c>
      <c r="L161" t="str">
        <f t="shared" si="5"/>
        <v>D</v>
      </c>
    </row>
    <row r="162" spans="1:12" x14ac:dyDescent="0.3">
      <c r="A162" s="1" t="s">
        <v>355</v>
      </c>
      <c r="B162" s="1" t="s">
        <v>68</v>
      </c>
      <c r="C162" s="1" t="s">
        <v>79</v>
      </c>
      <c r="D162" s="1" t="s">
        <v>13</v>
      </c>
      <c r="E162" s="4">
        <v>15</v>
      </c>
      <c r="F162" s="4">
        <v>12</v>
      </c>
      <c r="G162" s="1" t="s">
        <v>14</v>
      </c>
      <c r="H162" s="1" t="s">
        <v>20</v>
      </c>
      <c r="I162" s="5" t="s">
        <v>356</v>
      </c>
      <c r="J162" s="4">
        <v>37</v>
      </c>
      <c r="K162" t="str">
        <f t="shared" si="4"/>
        <v>fail</v>
      </c>
      <c r="L162" t="str">
        <f t="shared" si="5"/>
        <v>F</v>
      </c>
    </row>
    <row r="163" spans="1:12" x14ac:dyDescent="0.3">
      <c r="A163" s="1" t="s">
        <v>357</v>
      </c>
      <c r="B163" s="1" t="s">
        <v>23</v>
      </c>
      <c r="C163" s="1" t="s">
        <v>24</v>
      </c>
      <c r="D163" s="1" t="s">
        <v>13</v>
      </c>
      <c r="E163" s="4">
        <v>16</v>
      </c>
      <c r="F163" s="4">
        <v>9</v>
      </c>
      <c r="G163" s="1" t="s">
        <v>25</v>
      </c>
      <c r="H163" s="1" t="s">
        <v>20</v>
      </c>
      <c r="I163" s="5" t="s">
        <v>358</v>
      </c>
      <c r="J163" s="4">
        <v>66</v>
      </c>
      <c r="K163" t="str">
        <f t="shared" si="4"/>
        <v>pass</v>
      </c>
      <c r="L163" t="str">
        <f t="shared" si="5"/>
        <v>C</v>
      </c>
    </row>
    <row r="164" spans="1:12" x14ac:dyDescent="0.3">
      <c r="A164" s="1" t="s">
        <v>359</v>
      </c>
      <c r="B164" s="1" t="s">
        <v>68</v>
      </c>
      <c r="C164" s="1" t="s">
        <v>85</v>
      </c>
      <c r="D164" s="1" t="s">
        <v>13</v>
      </c>
      <c r="E164" s="4">
        <v>19</v>
      </c>
      <c r="F164" s="4">
        <v>11</v>
      </c>
      <c r="G164" s="1" t="s">
        <v>43</v>
      </c>
      <c r="H164" s="1" t="s">
        <v>76</v>
      </c>
      <c r="I164" s="5" t="s">
        <v>360</v>
      </c>
      <c r="J164" s="4">
        <v>64</v>
      </c>
      <c r="K164" t="str">
        <f t="shared" si="4"/>
        <v>pass</v>
      </c>
      <c r="L164" t="str">
        <f t="shared" si="5"/>
        <v>C</v>
      </c>
    </row>
    <row r="165" spans="1:12" x14ac:dyDescent="0.3">
      <c r="A165" s="1" t="s">
        <v>361</v>
      </c>
      <c r="B165" s="1" t="s">
        <v>11</v>
      </c>
      <c r="C165" s="1" t="s">
        <v>30</v>
      </c>
      <c r="D165" s="1" t="s">
        <v>13</v>
      </c>
      <c r="E165" s="4">
        <v>20</v>
      </c>
      <c r="F165" s="4">
        <v>10</v>
      </c>
      <c r="G165" s="1" t="s">
        <v>32</v>
      </c>
      <c r="H165" s="1" t="s">
        <v>15</v>
      </c>
      <c r="I165" s="5" t="s">
        <v>362</v>
      </c>
      <c r="J165" s="4">
        <v>49</v>
      </c>
      <c r="K165" t="str">
        <f t="shared" si="4"/>
        <v>pass</v>
      </c>
      <c r="L165" t="str">
        <f t="shared" si="5"/>
        <v>E</v>
      </c>
    </row>
    <row r="166" spans="1:12" x14ac:dyDescent="0.3">
      <c r="A166" s="1" t="s">
        <v>363</v>
      </c>
      <c r="B166" s="1" t="s">
        <v>11</v>
      </c>
      <c r="C166" s="1" t="s">
        <v>85</v>
      </c>
      <c r="D166" s="1" t="s">
        <v>31</v>
      </c>
      <c r="E166" s="4">
        <v>15</v>
      </c>
      <c r="F166" s="4">
        <v>10</v>
      </c>
      <c r="G166" s="1" t="s">
        <v>14</v>
      </c>
      <c r="H166" s="1" t="s">
        <v>37</v>
      </c>
      <c r="I166" s="5" t="s">
        <v>364</v>
      </c>
      <c r="J166" s="4">
        <v>71</v>
      </c>
      <c r="K166" t="str">
        <f t="shared" si="4"/>
        <v>pass</v>
      </c>
      <c r="L166" t="str">
        <f t="shared" si="5"/>
        <v>B</v>
      </c>
    </row>
    <row r="167" spans="1:12" x14ac:dyDescent="0.3">
      <c r="A167" s="1" t="s">
        <v>365</v>
      </c>
      <c r="B167" s="1" t="s">
        <v>11</v>
      </c>
      <c r="C167" s="1" t="s">
        <v>55</v>
      </c>
      <c r="D167" s="1" t="s">
        <v>13</v>
      </c>
      <c r="E167" s="4">
        <v>16</v>
      </c>
      <c r="F167" s="4">
        <v>10</v>
      </c>
      <c r="G167" s="1" t="s">
        <v>32</v>
      </c>
      <c r="H167" s="1" t="s">
        <v>15</v>
      </c>
      <c r="I167" s="5" t="s">
        <v>366</v>
      </c>
      <c r="J167" s="4">
        <v>72</v>
      </c>
      <c r="K167" t="str">
        <f t="shared" si="4"/>
        <v>pass</v>
      </c>
      <c r="L167" t="str">
        <f t="shared" si="5"/>
        <v>B</v>
      </c>
    </row>
    <row r="168" spans="1:12" x14ac:dyDescent="0.3">
      <c r="A168" s="1" t="s">
        <v>367</v>
      </c>
      <c r="B168" s="1" t="s">
        <v>35</v>
      </c>
      <c r="C168" s="1" t="s">
        <v>12</v>
      </c>
      <c r="D168" s="1" t="s">
        <v>31</v>
      </c>
      <c r="E168" s="4">
        <v>15</v>
      </c>
      <c r="F168" s="4">
        <v>10</v>
      </c>
      <c r="G168" s="1" t="s">
        <v>32</v>
      </c>
      <c r="H168" s="1" t="s">
        <v>20</v>
      </c>
      <c r="I168" s="5" t="s">
        <v>368</v>
      </c>
      <c r="J168" s="4">
        <v>99</v>
      </c>
      <c r="K168" t="str">
        <f t="shared" si="4"/>
        <v>pass</v>
      </c>
      <c r="L168" t="str">
        <f t="shared" si="5"/>
        <v>A+</v>
      </c>
    </row>
    <row r="169" spans="1:12" x14ac:dyDescent="0.3">
      <c r="A169" s="1" t="s">
        <v>369</v>
      </c>
      <c r="B169" s="1" t="s">
        <v>23</v>
      </c>
      <c r="C169" s="1" t="s">
        <v>24</v>
      </c>
      <c r="D169" s="1" t="s">
        <v>31</v>
      </c>
      <c r="E169" s="4">
        <v>17</v>
      </c>
      <c r="F169" s="4">
        <v>12</v>
      </c>
      <c r="G169" s="1" t="s">
        <v>43</v>
      </c>
      <c r="H169" s="1" t="s">
        <v>61</v>
      </c>
      <c r="I169" s="5" t="s">
        <v>370</v>
      </c>
      <c r="J169" s="4">
        <v>96</v>
      </c>
      <c r="K169" t="str">
        <f t="shared" si="4"/>
        <v>pass</v>
      </c>
      <c r="L169" t="str">
        <f t="shared" si="5"/>
        <v>A+</v>
      </c>
    </row>
    <row r="170" spans="1:12" x14ac:dyDescent="0.3">
      <c r="A170" s="1" t="s">
        <v>371</v>
      </c>
      <c r="B170" s="1" t="s">
        <v>35</v>
      </c>
      <c r="C170" s="1" t="s">
        <v>58</v>
      </c>
      <c r="D170" s="1" t="s">
        <v>31</v>
      </c>
      <c r="E170" s="4">
        <v>19</v>
      </c>
      <c r="F170" s="4">
        <v>9</v>
      </c>
      <c r="G170" s="1" t="s">
        <v>14</v>
      </c>
      <c r="H170" s="1" t="s">
        <v>20</v>
      </c>
      <c r="I170" s="5" t="s">
        <v>372</v>
      </c>
      <c r="J170" s="4">
        <v>87</v>
      </c>
      <c r="K170" t="str">
        <f t="shared" si="4"/>
        <v>pass</v>
      </c>
      <c r="L170" t="str">
        <f t="shared" si="5"/>
        <v>A</v>
      </c>
    </row>
    <row r="171" spans="1:12" x14ac:dyDescent="0.3">
      <c r="A171" s="1" t="s">
        <v>373</v>
      </c>
      <c r="B171" s="1" t="s">
        <v>51</v>
      </c>
      <c r="C171" s="1" t="s">
        <v>19</v>
      </c>
      <c r="D171" s="1" t="s">
        <v>13</v>
      </c>
      <c r="E171" s="4">
        <v>15</v>
      </c>
      <c r="F171" s="4">
        <v>11</v>
      </c>
      <c r="G171" s="1" t="s">
        <v>14</v>
      </c>
      <c r="H171" s="1" t="s">
        <v>61</v>
      </c>
      <c r="I171" s="5" t="s">
        <v>374</v>
      </c>
      <c r="J171" s="4">
        <v>78</v>
      </c>
      <c r="K171" t="str">
        <f t="shared" si="4"/>
        <v>pass</v>
      </c>
      <c r="L171" t="str">
        <f t="shared" si="5"/>
        <v>B</v>
      </c>
    </row>
    <row r="172" spans="1:12" x14ac:dyDescent="0.3">
      <c r="A172" s="1" t="s">
        <v>375</v>
      </c>
      <c r="B172" s="1" t="s">
        <v>35</v>
      </c>
      <c r="C172" s="1" t="s">
        <v>36</v>
      </c>
      <c r="D172" s="1" t="s">
        <v>13</v>
      </c>
      <c r="E172" s="4">
        <v>18</v>
      </c>
      <c r="F172" s="4">
        <v>11</v>
      </c>
      <c r="G172" s="1" t="s">
        <v>25</v>
      </c>
      <c r="H172" s="1" t="s">
        <v>40</v>
      </c>
      <c r="I172" s="5" t="s">
        <v>376</v>
      </c>
      <c r="J172" s="4">
        <v>62</v>
      </c>
      <c r="K172" t="str">
        <f t="shared" si="4"/>
        <v>pass</v>
      </c>
      <c r="L172" t="str">
        <f t="shared" si="5"/>
        <v>C</v>
      </c>
    </row>
    <row r="173" spans="1:12" x14ac:dyDescent="0.3">
      <c r="A173" s="1" t="s">
        <v>377</v>
      </c>
      <c r="B173" s="1" t="s">
        <v>35</v>
      </c>
      <c r="C173" s="1" t="s">
        <v>30</v>
      </c>
      <c r="D173" s="1" t="s">
        <v>13</v>
      </c>
      <c r="E173" s="4">
        <v>20</v>
      </c>
      <c r="F173" s="4">
        <v>11</v>
      </c>
      <c r="G173" s="1" t="s">
        <v>32</v>
      </c>
      <c r="H173" s="1" t="s">
        <v>37</v>
      </c>
      <c r="I173" s="5" t="s">
        <v>189</v>
      </c>
      <c r="J173" s="4">
        <v>79</v>
      </c>
      <c r="K173" t="str">
        <f t="shared" si="4"/>
        <v>pass</v>
      </c>
      <c r="L173" t="str">
        <f t="shared" si="5"/>
        <v>B</v>
      </c>
    </row>
    <row r="174" spans="1:12" x14ac:dyDescent="0.3">
      <c r="A174" s="1" t="s">
        <v>378</v>
      </c>
      <c r="B174" s="1" t="s">
        <v>18</v>
      </c>
      <c r="C174" s="1" t="s">
        <v>55</v>
      </c>
      <c r="D174" s="1" t="s">
        <v>31</v>
      </c>
      <c r="E174" s="4">
        <v>17</v>
      </c>
      <c r="F174" s="4">
        <v>9</v>
      </c>
      <c r="G174" s="1" t="s">
        <v>32</v>
      </c>
      <c r="H174" s="1" t="s">
        <v>26</v>
      </c>
      <c r="I174" s="5" t="s">
        <v>379</v>
      </c>
      <c r="J174" s="4">
        <v>66</v>
      </c>
      <c r="K174" t="str">
        <f t="shared" si="4"/>
        <v>pass</v>
      </c>
      <c r="L174" t="str">
        <f t="shared" si="5"/>
        <v>C</v>
      </c>
    </row>
    <row r="175" spans="1:12" x14ac:dyDescent="0.3">
      <c r="A175" s="1" t="s">
        <v>380</v>
      </c>
      <c r="B175" s="1" t="s">
        <v>11</v>
      </c>
      <c r="C175" s="1" t="s">
        <v>24</v>
      </c>
      <c r="D175" s="1" t="s">
        <v>31</v>
      </c>
      <c r="E175" s="4">
        <v>18</v>
      </c>
      <c r="F175" s="4">
        <v>11</v>
      </c>
      <c r="G175" s="1" t="s">
        <v>32</v>
      </c>
      <c r="H175" s="1" t="s">
        <v>61</v>
      </c>
      <c r="I175" s="5" t="s">
        <v>381</v>
      </c>
      <c r="J175" s="4">
        <v>67</v>
      </c>
      <c r="K175" t="str">
        <f t="shared" si="4"/>
        <v>pass</v>
      </c>
      <c r="L175" t="str">
        <f t="shared" si="5"/>
        <v>C</v>
      </c>
    </row>
    <row r="176" spans="1:12" x14ac:dyDescent="0.3">
      <c r="A176" s="1" t="s">
        <v>382</v>
      </c>
      <c r="B176" s="1" t="s">
        <v>51</v>
      </c>
      <c r="C176" s="1" t="s">
        <v>85</v>
      </c>
      <c r="D176" s="1" t="s">
        <v>13</v>
      </c>
      <c r="E176" s="4">
        <v>16</v>
      </c>
      <c r="F176" s="4">
        <v>10</v>
      </c>
      <c r="G176" s="1" t="s">
        <v>43</v>
      </c>
      <c r="H176" s="1" t="s">
        <v>61</v>
      </c>
      <c r="I176" s="5" t="s">
        <v>383</v>
      </c>
      <c r="J176" s="4">
        <v>72</v>
      </c>
      <c r="K176" t="str">
        <f t="shared" si="4"/>
        <v>pass</v>
      </c>
      <c r="L176" t="str">
        <f t="shared" si="5"/>
        <v>B</v>
      </c>
    </row>
    <row r="177" spans="1:12" x14ac:dyDescent="0.3">
      <c r="A177" s="1" t="s">
        <v>384</v>
      </c>
      <c r="B177" s="1" t="s">
        <v>54</v>
      </c>
      <c r="C177" s="1" t="s">
        <v>19</v>
      </c>
      <c r="D177" s="1" t="s">
        <v>31</v>
      </c>
      <c r="E177" s="4">
        <v>16</v>
      </c>
      <c r="F177" s="4">
        <v>12</v>
      </c>
      <c r="G177" s="1" t="s">
        <v>25</v>
      </c>
      <c r="H177" s="1" t="s">
        <v>20</v>
      </c>
      <c r="I177" s="5" t="s">
        <v>385</v>
      </c>
      <c r="J177" s="4">
        <v>39</v>
      </c>
      <c r="K177" t="str">
        <f t="shared" si="4"/>
        <v>fail</v>
      </c>
      <c r="L177" t="str">
        <f t="shared" si="5"/>
        <v>F</v>
      </c>
    </row>
    <row r="178" spans="1:12" x14ac:dyDescent="0.3">
      <c r="A178" s="1" t="s">
        <v>386</v>
      </c>
      <c r="B178" s="1" t="s">
        <v>68</v>
      </c>
      <c r="C178" s="1" t="s">
        <v>96</v>
      </c>
      <c r="D178" s="1" t="s">
        <v>13</v>
      </c>
      <c r="E178" s="4">
        <v>18</v>
      </c>
      <c r="F178" s="4">
        <v>9</v>
      </c>
      <c r="G178" s="1" t="s">
        <v>25</v>
      </c>
      <c r="H178" s="1" t="s">
        <v>46</v>
      </c>
      <c r="I178" s="5" t="s">
        <v>387</v>
      </c>
      <c r="J178" s="4">
        <v>74</v>
      </c>
      <c r="K178" t="str">
        <f t="shared" si="4"/>
        <v>pass</v>
      </c>
      <c r="L178" t="str">
        <f t="shared" si="5"/>
        <v>B</v>
      </c>
    </row>
    <row r="179" spans="1:12" x14ac:dyDescent="0.3">
      <c r="A179" s="1" t="s">
        <v>388</v>
      </c>
      <c r="B179" s="1" t="s">
        <v>73</v>
      </c>
      <c r="C179" s="1" t="s">
        <v>12</v>
      </c>
      <c r="D179" s="1" t="s">
        <v>31</v>
      </c>
      <c r="E179" s="4">
        <v>19</v>
      </c>
      <c r="F179" s="4">
        <v>11</v>
      </c>
      <c r="G179" s="1" t="s">
        <v>43</v>
      </c>
      <c r="H179" s="1" t="s">
        <v>61</v>
      </c>
      <c r="I179" s="5" t="s">
        <v>214</v>
      </c>
      <c r="J179" s="4">
        <v>88</v>
      </c>
      <c r="K179" t="str">
        <f t="shared" si="4"/>
        <v>pass</v>
      </c>
      <c r="L179" t="str">
        <f t="shared" si="5"/>
        <v>A</v>
      </c>
    </row>
    <row r="180" spans="1:12" x14ac:dyDescent="0.3">
      <c r="A180" s="1" t="s">
        <v>389</v>
      </c>
      <c r="B180" s="1" t="s">
        <v>54</v>
      </c>
      <c r="C180" s="1" t="s">
        <v>58</v>
      </c>
      <c r="D180" s="1" t="s">
        <v>31</v>
      </c>
      <c r="E180" s="4">
        <v>14</v>
      </c>
      <c r="F180" s="4">
        <v>11</v>
      </c>
      <c r="G180" s="1" t="s">
        <v>32</v>
      </c>
      <c r="H180" s="1" t="s">
        <v>76</v>
      </c>
      <c r="I180" s="5" t="s">
        <v>390</v>
      </c>
      <c r="J180" s="4">
        <v>54</v>
      </c>
      <c r="K180" t="str">
        <f t="shared" si="4"/>
        <v>pass</v>
      </c>
      <c r="L180" t="str">
        <f t="shared" si="5"/>
        <v>D</v>
      </c>
    </row>
    <row r="181" spans="1:12" x14ac:dyDescent="0.3">
      <c r="A181" s="1" t="s">
        <v>391</v>
      </c>
      <c r="B181" s="1" t="s">
        <v>68</v>
      </c>
      <c r="C181" s="1" t="s">
        <v>19</v>
      </c>
      <c r="D181" s="1" t="s">
        <v>13</v>
      </c>
      <c r="E181" s="4">
        <v>19</v>
      </c>
      <c r="F181" s="4">
        <v>12</v>
      </c>
      <c r="G181" s="1" t="s">
        <v>25</v>
      </c>
      <c r="H181" s="1" t="s">
        <v>46</v>
      </c>
      <c r="I181" s="5" t="s">
        <v>392</v>
      </c>
      <c r="J181" s="4">
        <v>46</v>
      </c>
      <c r="K181" t="str">
        <f t="shared" si="4"/>
        <v>pass</v>
      </c>
      <c r="L181" t="str">
        <f t="shared" si="5"/>
        <v>E</v>
      </c>
    </row>
    <row r="182" spans="1:12" x14ac:dyDescent="0.3">
      <c r="A182" s="1" t="s">
        <v>393</v>
      </c>
      <c r="B182" s="1" t="s">
        <v>68</v>
      </c>
      <c r="C182" s="1" t="s">
        <v>85</v>
      </c>
      <c r="D182" s="1" t="s">
        <v>13</v>
      </c>
      <c r="E182" s="4">
        <v>15</v>
      </c>
      <c r="F182" s="4">
        <v>10</v>
      </c>
      <c r="G182" s="1" t="s">
        <v>32</v>
      </c>
      <c r="H182" s="1" t="s">
        <v>37</v>
      </c>
      <c r="I182" s="5" t="s">
        <v>394</v>
      </c>
      <c r="J182" s="4">
        <v>89</v>
      </c>
      <c r="K182" t="str">
        <f t="shared" si="4"/>
        <v>pass</v>
      </c>
      <c r="L182" t="str">
        <f t="shared" si="5"/>
        <v>A</v>
      </c>
    </row>
    <row r="183" spans="1:12" x14ac:dyDescent="0.3">
      <c r="A183" s="1" t="s">
        <v>395</v>
      </c>
      <c r="B183" s="1" t="s">
        <v>11</v>
      </c>
      <c r="C183" s="1" t="s">
        <v>96</v>
      </c>
      <c r="D183" s="1" t="s">
        <v>13</v>
      </c>
      <c r="E183" s="4">
        <v>18</v>
      </c>
      <c r="F183" s="4">
        <v>11</v>
      </c>
      <c r="G183" s="1" t="s">
        <v>25</v>
      </c>
      <c r="H183" s="1" t="s">
        <v>37</v>
      </c>
      <c r="I183" s="5" t="s">
        <v>396</v>
      </c>
      <c r="J183" s="4">
        <v>65</v>
      </c>
      <c r="K183" t="str">
        <f t="shared" si="4"/>
        <v>pass</v>
      </c>
      <c r="L183" t="str">
        <f t="shared" si="5"/>
        <v>C</v>
      </c>
    </row>
    <row r="184" spans="1:12" x14ac:dyDescent="0.3">
      <c r="A184" s="1" t="s">
        <v>397</v>
      </c>
      <c r="B184" s="1" t="s">
        <v>23</v>
      </c>
      <c r="C184" s="1" t="s">
        <v>12</v>
      </c>
      <c r="D184" s="1" t="s">
        <v>13</v>
      </c>
      <c r="E184" s="4">
        <v>20</v>
      </c>
      <c r="F184" s="4">
        <v>9</v>
      </c>
      <c r="G184" s="1" t="s">
        <v>25</v>
      </c>
      <c r="H184" s="1" t="s">
        <v>46</v>
      </c>
      <c r="I184" s="5" t="s">
        <v>398</v>
      </c>
      <c r="J184" s="4">
        <v>91</v>
      </c>
      <c r="K184" t="str">
        <f t="shared" si="4"/>
        <v>pass</v>
      </c>
      <c r="L184" t="str">
        <f t="shared" si="5"/>
        <v>A+</v>
      </c>
    </row>
    <row r="185" spans="1:12" x14ac:dyDescent="0.3">
      <c r="A185" s="1" t="s">
        <v>399</v>
      </c>
      <c r="B185" s="1" t="s">
        <v>35</v>
      </c>
      <c r="C185" s="1" t="s">
        <v>79</v>
      </c>
      <c r="D185" s="1" t="s">
        <v>13</v>
      </c>
      <c r="E185" s="4">
        <v>17</v>
      </c>
      <c r="F185" s="4">
        <v>10</v>
      </c>
      <c r="G185" s="1" t="s">
        <v>43</v>
      </c>
      <c r="H185" s="1" t="s">
        <v>37</v>
      </c>
      <c r="I185" s="5" t="s">
        <v>400</v>
      </c>
      <c r="J185" s="4">
        <v>78</v>
      </c>
      <c r="K185" t="str">
        <f t="shared" si="4"/>
        <v>pass</v>
      </c>
      <c r="L185" t="str">
        <f t="shared" si="5"/>
        <v>B</v>
      </c>
    </row>
    <row r="186" spans="1:12" x14ac:dyDescent="0.3">
      <c r="A186" s="1" t="s">
        <v>401</v>
      </c>
      <c r="B186" s="1" t="s">
        <v>11</v>
      </c>
      <c r="C186" s="1" t="s">
        <v>79</v>
      </c>
      <c r="D186" s="1" t="s">
        <v>31</v>
      </c>
      <c r="E186" s="4">
        <v>15</v>
      </c>
      <c r="F186" s="4">
        <v>11</v>
      </c>
      <c r="G186" s="1" t="s">
        <v>43</v>
      </c>
      <c r="H186" s="1" t="s">
        <v>40</v>
      </c>
      <c r="I186" s="5" t="s">
        <v>402</v>
      </c>
      <c r="J186" s="4">
        <v>84</v>
      </c>
      <c r="K186" t="str">
        <f t="shared" si="4"/>
        <v>pass</v>
      </c>
      <c r="L186" t="str">
        <f t="shared" si="5"/>
        <v>A</v>
      </c>
    </row>
    <row r="187" spans="1:12" x14ac:dyDescent="0.3">
      <c r="A187" s="1" t="s">
        <v>403</v>
      </c>
      <c r="B187" s="1" t="s">
        <v>11</v>
      </c>
      <c r="C187" s="1" t="s">
        <v>12</v>
      </c>
      <c r="D187" s="1" t="s">
        <v>31</v>
      </c>
      <c r="E187" s="4">
        <v>19</v>
      </c>
      <c r="F187" s="4">
        <v>9</v>
      </c>
      <c r="G187" s="1" t="s">
        <v>43</v>
      </c>
      <c r="H187" s="1" t="s">
        <v>46</v>
      </c>
      <c r="I187" s="5" t="s">
        <v>404</v>
      </c>
      <c r="J187" s="4">
        <v>37</v>
      </c>
      <c r="K187" t="str">
        <f t="shared" si="4"/>
        <v>fail</v>
      </c>
      <c r="L187" t="str">
        <f t="shared" si="5"/>
        <v>F</v>
      </c>
    </row>
    <row r="188" spans="1:12" x14ac:dyDescent="0.3">
      <c r="A188" s="1" t="s">
        <v>405</v>
      </c>
      <c r="B188" s="1" t="s">
        <v>18</v>
      </c>
      <c r="C188" s="1" t="s">
        <v>19</v>
      </c>
      <c r="D188" s="1" t="s">
        <v>31</v>
      </c>
      <c r="E188" s="4">
        <v>18</v>
      </c>
      <c r="F188" s="4">
        <v>12</v>
      </c>
      <c r="G188" s="1" t="s">
        <v>25</v>
      </c>
      <c r="H188" s="1" t="s">
        <v>37</v>
      </c>
      <c r="I188" s="5" t="s">
        <v>406</v>
      </c>
      <c r="J188" s="4">
        <v>70</v>
      </c>
      <c r="K188" t="str">
        <f t="shared" si="4"/>
        <v>pass</v>
      </c>
      <c r="L188" t="str">
        <f t="shared" si="5"/>
        <v>B</v>
      </c>
    </row>
    <row r="189" spans="1:12" x14ac:dyDescent="0.3">
      <c r="A189" s="1" t="s">
        <v>407</v>
      </c>
      <c r="B189" s="1" t="s">
        <v>29</v>
      </c>
      <c r="C189" s="1" t="s">
        <v>12</v>
      </c>
      <c r="D189" s="1" t="s">
        <v>31</v>
      </c>
      <c r="E189" s="4">
        <v>16</v>
      </c>
      <c r="F189" s="4">
        <v>10</v>
      </c>
      <c r="G189" s="1" t="s">
        <v>14</v>
      </c>
      <c r="H189" s="1" t="s">
        <v>40</v>
      </c>
      <c r="I189" s="5" t="s">
        <v>71</v>
      </c>
      <c r="J189" s="4">
        <v>100</v>
      </c>
      <c r="K189" t="str">
        <f t="shared" si="4"/>
        <v>pass</v>
      </c>
      <c r="L189" t="str">
        <f t="shared" si="5"/>
        <v>A+</v>
      </c>
    </row>
    <row r="190" spans="1:12" x14ac:dyDescent="0.3">
      <c r="A190" s="1" t="s">
        <v>408</v>
      </c>
      <c r="B190" s="1" t="s">
        <v>51</v>
      </c>
      <c r="C190" s="1" t="s">
        <v>85</v>
      </c>
      <c r="D190" s="1" t="s">
        <v>13</v>
      </c>
      <c r="E190" s="4">
        <v>17</v>
      </c>
      <c r="F190" s="4">
        <v>11</v>
      </c>
      <c r="G190" s="1" t="s">
        <v>25</v>
      </c>
      <c r="H190" s="1" t="s">
        <v>46</v>
      </c>
      <c r="I190" s="5" t="s">
        <v>52</v>
      </c>
      <c r="J190" s="4">
        <v>42</v>
      </c>
      <c r="K190" t="str">
        <f t="shared" si="4"/>
        <v>pass</v>
      </c>
      <c r="L190" t="str">
        <f t="shared" si="5"/>
        <v>E</v>
      </c>
    </row>
    <row r="191" spans="1:12" x14ac:dyDescent="0.3">
      <c r="A191" s="1" t="s">
        <v>409</v>
      </c>
      <c r="B191" s="1" t="s">
        <v>84</v>
      </c>
      <c r="C191" s="1" t="s">
        <v>24</v>
      </c>
      <c r="D191" s="1" t="s">
        <v>13</v>
      </c>
      <c r="E191" s="4">
        <v>20</v>
      </c>
      <c r="F191" s="4">
        <v>9</v>
      </c>
      <c r="G191" s="1" t="s">
        <v>25</v>
      </c>
      <c r="H191" s="1" t="s">
        <v>46</v>
      </c>
      <c r="I191" s="5" t="s">
        <v>290</v>
      </c>
      <c r="J191" s="4">
        <v>68</v>
      </c>
      <c r="K191" t="str">
        <f t="shared" si="4"/>
        <v>pass</v>
      </c>
      <c r="L191" t="str">
        <f t="shared" si="5"/>
        <v>C</v>
      </c>
    </row>
    <row r="192" spans="1:12" x14ac:dyDescent="0.3">
      <c r="A192" s="1" t="s">
        <v>410</v>
      </c>
      <c r="B192" s="1" t="s">
        <v>18</v>
      </c>
      <c r="C192" s="1" t="s">
        <v>55</v>
      </c>
      <c r="D192" s="1" t="s">
        <v>31</v>
      </c>
      <c r="E192" s="4">
        <v>20</v>
      </c>
      <c r="F192" s="4">
        <v>10</v>
      </c>
      <c r="G192" s="1" t="s">
        <v>43</v>
      </c>
      <c r="H192" s="1" t="s">
        <v>40</v>
      </c>
      <c r="I192" s="5" t="s">
        <v>411</v>
      </c>
      <c r="J192" s="4">
        <v>59</v>
      </c>
      <c r="K192" t="str">
        <f t="shared" si="4"/>
        <v>pass</v>
      </c>
      <c r="L192" t="str">
        <f t="shared" si="5"/>
        <v>D</v>
      </c>
    </row>
    <row r="193" spans="1:12" x14ac:dyDescent="0.3">
      <c r="A193" s="1" t="s">
        <v>412</v>
      </c>
      <c r="B193" s="1" t="s">
        <v>73</v>
      </c>
      <c r="C193" s="1" t="s">
        <v>55</v>
      </c>
      <c r="D193" s="1" t="s">
        <v>13</v>
      </c>
      <c r="E193" s="4">
        <v>16</v>
      </c>
      <c r="F193" s="4">
        <v>12</v>
      </c>
      <c r="G193" s="1" t="s">
        <v>32</v>
      </c>
      <c r="H193" s="1" t="s">
        <v>46</v>
      </c>
      <c r="I193" s="5" t="s">
        <v>413</v>
      </c>
      <c r="J193" s="4">
        <v>85</v>
      </c>
      <c r="K193" t="str">
        <f t="shared" si="4"/>
        <v>pass</v>
      </c>
      <c r="L193" t="str">
        <f t="shared" si="5"/>
        <v>A</v>
      </c>
    </row>
    <row r="194" spans="1:12" x14ac:dyDescent="0.3">
      <c r="A194" s="1" t="s">
        <v>414</v>
      </c>
      <c r="B194" s="1" t="s">
        <v>11</v>
      </c>
      <c r="C194" s="1" t="s">
        <v>55</v>
      </c>
      <c r="D194" s="1" t="s">
        <v>13</v>
      </c>
      <c r="E194" s="4">
        <v>16</v>
      </c>
      <c r="F194" s="4">
        <v>12</v>
      </c>
      <c r="G194" s="1" t="s">
        <v>32</v>
      </c>
      <c r="H194" s="1" t="s">
        <v>37</v>
      </c>
      <c r="I194" s="5" t="s">
        <v>415</v>
      </c>
      <c r="J194" s="4">
        <v>47</v>
      </c>
      <c r="K194" t="str">
        <f t="shared" si="4"/>
        <v>pass</v>
      </c>
      <c r="L194" t="str">
        <f t="shared" si="5"/>
        <v>E</v>
      </c>
    </row>
    <row r="195" spans="1:12" x14ac:dyDescent="0.3">
      <c r="A195" s="1" t="s">
        <v>416</v>
      </c>
      <c r="B195" s="1" t="s">
        <v>18</v>
      </c>
      <c r="C195" s="1" t="s">
        <v>79</v>
      </c>
      <c r="D195" s="1" t="s">
        <v>31</v>
      </c>
      <c r="E195" s="4">
        <v>20</v>
      </c>
      <c r="F195" s="4">
        <v>9</v>
      </c>
      <c r="G195" s="1" t="s">
        <v>25</v>
      </c>
      <c r="H195" s="1" t="s">
        <v>37</v>
      </c>
      <c r="I195" s="5" t="s">
        <v>417</v>
      </c>
      <c r="J195" s="4">
        <v>53</v>
      </c>
      <c r="K195" t="str">
        <f t="shared" ref="K195:K258" si="6">IF(J195&gt;=40,"pass","fail")</f>
        <v>pass</v>
      </c>
      <c r="L195" t="str">
        <f t="shared" ref="L195:L258" si="7">IF(J195&gt;=90,"A+",IF(J195&gt;=80,"A",IF(J195&gt;=70,"B",IF(J195&gt;=60,"C",IF(J195&gt;=50,"D",IF(J195&gt;=40,"E","F"))))))</f>
        <v>D</v>
      </c>
    </row>
    <row r="196" spans="1:12" x14ac:dyDescent="0.3">
      <c r="A196" s="1" t="s">
        <v>418</v>
      </c>
      <c r="B196" s="1" t="s">
        <v>84</v>
      </c>
      <c r="C196" s="1" t="s">
        <v>24</v>
      </c>
      <c r="D196" s="1" t="s">
        <v>13</v>
      </c>
      <c r="E196" s="4">
        <v>15</v>
      </c>
      <c r="F196" s="4">
        <v>9</v>
      </c>
      <c r="G196" s="1" t="s">
        <v>25</v>
      </c>
      <c r="H196" s="1" t="s">
        <v>20</v>
      </c>
      <c r="I196" s="5" t="s">
        <v>419</v>
      </c>
      <c r="J196" s="4">
        <v>63</v>
      </c>
      <c r="K196" t="str">
        <f t="shared" si="6"/>
        <v>pass</v>
      </c>
      <c r="L196" t="str">
        <f t="shared" si="7"/>
        <v>C</v>
      </c>
    </row>
    <row r="197" spans="1:12" x14ac:dyDescent="0.3">
      <c r="A197" s="1" t="s">
        <v>420</v>
      </c>
      <c r="B197" s="1" t="s">
        <v>73</v>
      </c>
      <c r="C197" s="1" t="s">
        <v>85</v>
      </c>
      <c r="D197" s="1" t="s">
        <v>13</v>
      </c>
      <c r="E197" s="4">
        <v>16</v>
      </c>
      <c r="F197" s="4">
        <v>11</v>
      </c>
      <c r="G197" s="1" t="s">
        <v>43</v>
      </c>
      <c r="H197" s="1" t="s">
        <v>46</v>
      </c>
      <c r="I197" s="5" t="s">
        <v>421</v>
      </c>
      <c r="J197" s="4">
        <v>55</v>
      </c>
      <c r="K197" t="str">
        <f t="shared" si="6"/>
        <v>pass</v>
      </c>
      <c r="L197" t="str">
        <f t="shared" si="7"/>
        <v>D</v>
      </c>
    </row>
    <row r="198" spans="1:12" x14ac:dyDescent="0.3">
      <c r="A198" s="1" t="s">
        <v>422</v>
      </c>
      <c r="B198" s="1" t="s">
        <v>73</v>
      </c>
      <c r="C198" s="1" t="s">
        <v>96</v>
      </c>
      <c r="D198" s="1" t="s">
        <v>13</v>
      </c>
      <c r="E198" s="4">
        <v>14</v>
      </c>
      <c r="F198" s="4">
        <v>10</v>
      </c>
      <c r="G198" s="1" t="s">
        <v>25</v>
      </c>
      <c r="H198" s="1" t="s">
        <v>15</v>
      </c>
      <c r="I198" s="5" t="s">
        <v>423</v>
      </c>
      <c r="J198" s="4">
        <v>99</v>
      </c>
      <c r="K198" t="str">
        <f t="shared" si="6"/>
        <v>pass</v>
      </c>
      <c r="L198" t="str">
        <f t="shared" si="7"/>
        <v>A+</v>
      </c>
    </row>
    <row r="199" spans="1:12" x14ac:dyDescent="0.3">
      <c r="A199" s="1" t="s">
        <v>424</v>
      </c>
      <c r="B199" s="1" t="s">
        <v>29</v>
      </c>
      <c r="C199" s="1" t="s">
        <v>36</v>
      </c>
      <c r="D199" s="1" t="s">
        <v>31</v>
      </c>
      <c r="E199" s="4">
        <v>16</v>
      </c>
      <c r="F199" s="4">
        <v>12</v>
      </c>
      <c r="G199" s="1" t="s">
        <v>32</v>
      </c>
      <c r="H199" s="1" t="s">
        <v>37</v>
      </c>
      <c r="I199" s="5" t="s">
        <v>180</v>
      </c>
      <c r="J199" s="4">
        <v>89</v>
      </c>
      <c r="K199" t="str">
        <f t="shared" si="6"/>
        <v>pass</v>
      </c>
      <c r="L199" t="str">
        <f t="shared" si="7"/>
        <v>A</v>
      </c>
    </row>
    <row r="200" spans="1:12" x14ac:dyDescent="0.3">
      <c r="A200" s="1" t="s">
        <v>425</v>
      </c>
      <c r="B200" s="1" t="s">
        <v>73</v>
      </c>
      <c r="C200" s="1" t="s">
        <v>30</v>
      </c>
      <c r="D200" s="1" t="s">
        <v>31</v>
      </c>
      <c r="E200" s="4">
        <v>15</v>
      </c>
      <c r="F200" s="4">
        <v>9</v>
      </c>
      <c r="G200" s="1" t="s">
        <v>14</v>
      </c>
      <c r="H200" s="1" t="s">
        <v>76</v>
      </c>
      <c r="I200" s="5" t="s">
        <v>149</v>
      </c>
      <c r="J200" s="4">
        <v>54</v>
      </c>
      <c r="K200" t="str">
        <f t="shared" si="6"/>
        <v>pass</v>
      </c>
      <c r="L200" t="str">
        <f t="shared" si="7"/>
        <v>D</v>
      </c>
    </row>
    <row r="201" spans="1:12" x14ac:dyDescent="0.3">
      <c r="A201" s="1" t="s">
        <v>426</v>
      </c>
      <c r="B201" s="1" t="s">
        <v>54</v>
      </c>
      <c r="C201" s="1" t="s">
        <v>96</v>
      </c>
      <c r="D201" s="1" t="s">
        <v>31</v>
      </c>
      <c r="E201" s="4">
        <v>16</v>
      </c>
      <c r="F201" s="4">
        <v>12</v>
      </c>
      <c r="G201" s="1" t="s">
        <v>25</v>
      </c>
      <c r="H201" s="1" t="s">
        <v>20</v>
      </c>
      <c r="I201" s="5" t="s">
        <v>427</v>
      </c>
      <c r="J201" s="4">
        <v>82</v>
      </c>
      <c r="K201" t="str">
        <f t="shared" si="6"/>
        <v>pass</v>
      </c>
      <c r="L201" t="str">
        <f t="shared" si="7"/>
        <v>A</v>
      </c>
    </row>
    <row r="202" spans="1:12" x14ac:dyDescent="0.3">
      <c r="A202" s="1" t="s">
        <v>428</v>
      </c>
      <c r="B202" s="1" t="s">
        <v>54</v>
      </c>
      <c r="C202" s="1" t="s">
        <v>55</v>
      </c>
      <c r="D202" s="1" t="s">
        <v>13</v>
      </c>
      <c r="E202" s="4">
        <v>16</v>
      </c>
      <c r="F202" s="4">
        <v>11</v>
      </c>
      <c r="G202" s="1" t="s">
        <v>25</v>
      </c>
      <c r="H202" s="1" t="s">
        <v>15</v>
      </c>
      <c r="I202" s="5" t="s">
        <v>429</v>
      </c>
      <c r="J202" s="4">
        <v>86</v>
      </c>
      <c r="K202" t="str">
        <f t="shared" si="6"/>
        <v>pass</v>
      </c>
      <c r="L202" t="str">
        <f t="shared" si="7"/>
        <v>A</v>
      </c>
    </row>
    <row r="203" spans="1:12" x14ac:dyDescent="0.3">
      <c r="A203" s="1" t="s">
        <v>430</v>
      </c>
      <c r="B203" s="1" t="s">
        <v>54</v>
      </c>
      <c r="C203" s="1" t="s">
        <v>30</v>
      </c>
      <c r="D203" s="1" t="s">
        <v>13</v>
      </c>
      <c r="E203" s="4">
        <v>18</v>
      </c>
      <c r="F203" s="4">
        <v>11</v>
      </c>
      <c r="G203" s="1" t="s">
        <v>25</v>
      </c>
      <c r="H203" s="1" t="s">
        <v>26</v>
      </c>
      <c r="I203" s="5" t="s">
        <v>431</v>
      </c>
      <c r="J203" s="4">
        <v>91</v>
      </c>
      <c r="K203" t="str">
        <f t="shared" si="6"/>
        <v>pass</v>
      </c>
      <c r="L203" t="str">
        <f t="shared" si="7"/>
        <v>A+</v>
      </c>
    </row>
    <row r="204" spans="1:12" x14ac:dyDescent="0.3">
      <c r="A204" s="1" t="s">
        <v>432</v>
      </c>
      <c r="B204" s="1" t="s">
        <v>51</v>
      </c>
      <c r="C204" s="1" t="s">
        <v>24</v>
      </c>
      <c r="D204" s="1" t="s">
        <v>31</v>
      </c>
      <c r="E204" s="4">
        <v>17</v>
      </c>
      <c r="F204" s="4">
        <v>11</v>
      </c>
      <c r="G204" s="1" t="s">
        <v>43</v>
      </c>
      <c r="H204" s="1" t="s">
        <v>15</v>
      </c>
      <c r="I204" s="5" t="s">
        <v>400</v>
      </c>
      <c r="J204" s="4">
        <v>53</v>
      </c>
      <c r="K204" t="str">
        <f t="shared" si="6"/>
        <v>pass</v>
      </c>
      <c r="L204" t="str">
        <f t="shared" si="7"/>
        <v>D</v>
      </c>
    </row>
    <row r="205" spans="1:12" x14ac:dyDescent="0.3">
      <c r="A205" s="1" t="s">
        <v>433</v>
      </c>
      <c r="B205" s="1" t="s">
        <v>84</v>
      </c>
      <c r="C205" s="1" t="s">
        <v>36</v>
      </c>
      <c r="D205" s="1" t="s">
        <v>13</v>
      </c>
      <c r="E205" s="4">
        <v>14</v>
      </c>
      <c r="F205" s="4">
        <v>9</v>
      </c>
      <c r="G205" s="1" t="s">
        <v>32</v>
      </c>
      <c r="H205" s="1" t="s">
        <v>15</v>
      </c>
      <c r="I205" s="5" t="s">
        <v>434</v>
      </c>
      <c r="J205" s="4">
        <v>47</v>
      </c>
      <c r="K205" t="str">
        <f t="shared" si="6"/>
        <v>pass</v>
      </c>
      <c r="L205" t="str">
        <f t="shared" si="7"/>
        <v>E</v>
      </c>
    </row>
    <row r="206" spans="1:12" x14ac:dyDescent="0.3">
      <c r="A206" s="1" t="s">
        <v>435</v>
      </c>
      <c r="B206" s="1" t="s">
        <v>29</v>
      </c>
      <c r="C206" s="1" t="s">
        <v>30</v>
      </c>
      <c r="D206" s="1" t="s">
        <v>31</v>
      </c>
      <c r="E206" s="4">
        <v>20</v>
      </c>
      <c r="F206" s="4">
        <v>12</v>
      </c>
      <c r="G206" s="1" t="s">
        <v>43</v>
      </c>
      <c r="H206" s="1" t="s">
        <v>26</v>
      </c>
      <c r="I206" s="5" t="s">
        <v>436</v>
      </c>
      <c r="J206" s="4">
        <v>36</v>
      </c>
      <c r="K206" t="str">
        <f t="shared" si="6"/>
        <v>fail</v>
      </c>
      <c r="L206" t="str">
        <f t="shared" si="7"/>
        <v>F</v>
      </c>
    </row>
    <row r="207" spans="1:12" x14ac:dyDescent="0.3">
      <c r="A207" s="1" t="s">
        <v>437</v>
      </c>
      <c r="B207" s="1" t="s">
        <v>73</v>
      </c>
      <c r="C207" s="1" t="s">
        <v>30</v>
      </c>
      <c r="D207" s="1" t="s">
        <v>13</v>
      </c>
      <c r="E207" s="4">
        <v>14</v>
      </c>
      <c r="F207" s="4">
        <v>11</v>
      </c>
      <c r="G207" s="1" t="s">
        <v>32</v>
      </c>
      <c r="H207" s="1" t="s">
        <v>76</v>
      </c>
      <c r="I207" s="5" t="s">
        <v>438</v>
      </c>
      <c r="J207" s="4">
        <v>62</v>
      </c>
      <c r="K207" t="str">
        <f t="shared" si="6"/>
        <v>pass</v>
      </c>
      <c r="L207" t="str">
        <f t="shared" si="7"/>
        <v>C</v>
      </c>
    </row>
    <row r="208" spans="1:12" x14ac:dyDescent="0.3">
      <c r="A208" s="1" t="s">
        <v>439</v>
      </c>
      <c r="B208" s="1" t="s">
        <v>11</v>
      </c>
      <c r="C208" s="1" t="s">
        <v>12</v>
      </c>
      <c r="D208" s="1" t="s">
        <v>13</v>
      </c>
      <c r="E208" s="4">
        <v>15</v>
      </c>
      <c r="F208" s="4">
        <v>9</v>
      </c>
      <c r="G208" s="1" t="s">
        <v>25</v>
      </c>
      <c r="H208" s="1" t="s">
        <v>15</v>
      </c>
      <c r="I208" s="5" t="s">
        <v>440</v>
      </c>
      <c r="J208" s="4">
        <v>90</v>
      </c>
      <c r="K208" t="str">
        <f t="shared" si="6"/>
        <v>pass</v>
      </c>
      <c r="L208" t="str">
        <f t="shared" si="7"/>
        <v>A+</v>
      </c>
    </row>
    <row r="209" spans="1:12" x14ac:dyDescent="0.3">
      <c r="A209" s="1" t="s">
        <v>441</v>
      </c>
      <c r="B209" s="1" t="s">
        <v>35</v>
      </c>
      <c r="C209" s="1" t="s">
        <v>12</v>
      </c>
      <c r="D209" s="1" t="s">
        <v>13</v>
      </c>
      <c r="E209" s="4">
        <v>17</v>
      </c>
      <c r="F209" s="4">
        <v>10</v>
      </c>
      <c r="G209" s="1" t="s">
        <v>32</v>
      </c>
      <c r="H209" s="1" t="s">
        <v>15</v>
      </c>
      <c r="I209" s="5" t="s">
        <v>442</v>
      </c>
      <c r="J209" s="4">
        <v>91</v>
      </c>
      <c r="K209" t="str">
        <f t="shared" si="6"/>
        <v>pass</v>
      </c>
      <c r="L209" t="str">
        <f t="shared" si="7"/>
        <v>A+</v>
      </c>
    </row>
    <row r="210" spans="1:12" x14ac:dyDescent="0.3">
      <c r="A210" s="1" t="s">
        <v>443</v>
      </c>
      <c r="B210" s="1" t="s">
        <v>18</v>
      </c>
      <c r="C210" s="1" t="s">
        <v>96</v>
      </c>
      <c r="D210" s="1" t="s">
        <v>13</v>
      </c>
      <c r="E210" s="4">
        <v>17</v>
      </c>
      <c r="F210" s="4">
        <v>9</v>
      </c>
      <c r="G210" s="1" t="s">
        <v>43</v>
      </c>
      <c r="H210" s="1" t="s">
        <v>37</v>
      </c>
      <c r="I210" s="5" t="s">
        <v>444</v>
      </c>
      <c r="J210" s="4">
        <v>60</v>
      </c>
      <c r="K210" t="str">
        <f t="shared" si="6"/>
        <v>pass</v>
      </c>
      <c r="L210" t="str">
        <f t="shared" si="7"/>
        <v>C</v>
      </c>
    </row>
    <row r="211" spans="1:12" x14ac:dyDescent="0.3">
      <c r="A211" s="1" t="s">
        <v>445</v>
      </c>
      <c r="B211" s="1" t="s">
        <v>54</v>
      </c>
      <c r="C211" s="1" t="s">
        <v>96</v>
      </c>
      <c r="D211" s="1" t="s">
        <v>13</v>
      </c>
      <c r="E211" s="4">
        <v>20</v>
      </c>
      <c r="F211" s="4">
        <v>10</v>
      </c>
      <c r="G211" s="1" t="s">
        <v>32</v>
      </c>
      <c r="H211" s="1" t="s">
        <v>46</v>
      </c>
      <c r="I211" s="5" t="s">
        <v>182</v>
      </c>
      <c r="J211" s="4">
        <v>85</v>
      </c>
      <c r="K211" t="str">
        <f t="shared" si="6"/>
        <v>pass</v>
      </c>
      <c r="L211" t="str">
        <f t="shared" si="7"/>
        <v>A</v>
      </c>
    </row>
    <row r="212" spans="1:12" x14ac:dyDescent="0.3">
      <c r="A212" s="1" t="s">
        <v>446</v>
      </c>
      <c r="B212" s="1" t="s">
        <v>73</v>
      </c>
      <c r="C212" s="1" t="s">
        <v>24</v>
      </c>
      <c r="D212" s="1" t="s">
        <v>13</v>
      </c>
      <c r="E212" s="4">
        <v>17</v>
      </c>
      <c r="F212" s="4">
        <v>10</v>
      </c>
      <c r="G212" s="1" t="s">
        <v>14</v>
      </c>
      <c r="H212" s="1" t="s">
        <v>20</v>
      </c>
      <c r="I212" s="5" t="s">
        <v>447</v>
      </c>
      <c r="J212" s="4">
        <v>58</v>
      </c>
      <c r="K212" t="str">
        <f t="shared" si="6"/>
        <v>pass</v>
      </c>
      <c r="L212" t="str">
        <f t="shared" si="7"/>
        <v>D</v>
      </c>
    </row>
    <row r="213" spans="1:12" x14ac:dyDescent="0.3">
      <c r="A213" s="1" t="s">
        <v>448</v>
      </c>
      <c r="B213" s="1" t="s">
        <v>73</v>
      </c>
      <c r="C213" s="1" t="s">
        <v>36</v>
      </c>
      <c r="D213" s="1" t="s">
        <v>31</v>
      </c>
      <c r="E213" s="4">
        <v>19</v>
      </c>
      <c r="F213" s="4">
        <v>12</v>
      </c>
      <c r="G213" s="1" t="s">
        <v>14</v>
      </c>
      <c r="H213" s="1" t="s">
        <v>37</v>
      </c>
      <c r="I213" s="5" t="s">
        <v>449</v>
      </c>
      <c r="J213" s="4">
        <v>65</v>
      </c>
      <c r="K213" t="str">
        <f t="shared" si="6"/>
        <v>pass</v>
      </c>
      <c r="L213" t="str">
        <f t="shared" si="7"/>
        <v>C</v>
      </c>
    </row>
    <row r="214" spans="1:12" x14ac:dyDescent="0.3">
      <c r="A214" s="1" t="s">
        <v>450</v>
      </c>
      <c r="B214" s="1" t="s">
        <v>54</v>
      </c>
      <c r="C214" s="1" t="s">
        <v>55</v>
      </c>
      <c r="D214" s="1" t="s">
        <v>31</v>
      </c>
      <c r="E214" s="4">
        <v>19</v>
      </c>
      <c r="F214" s="4">
        <v>12</v>
      </c>
      <c r="G214" s="1" t="s">
        <v>43</v>
      </c>
      <c r="H214" s="1" t="s">
        <v>20</v>
      </c>
      <c r="I214" s="5" t="s">
        <v>451</v>
      </c>
      <c r="J214" s="4">
        <v>58</v>
      </c>
      <c r="K214" t="str">
        <f t="shared" si="6"/>
        <v>pass</v>
      </c>
      <c r="L214" t="str">
        <f t="shared" si="7"/>
        <v>D</v>
      </c>
    </row>
    <row r="215" spans="1:12" x14ac:dyDescent="0.3">
      <c r="A215" s="1" t="s">
        <v>452</v>
      </c>
      <c r="B215" s="1" t="s">
        <v>51</v>
      </c>
      <c r="C215" s="1" t="s">
        <v>12</v>
      </c>
      <c r="D215" s="1" t="s">
        <v>13</v>
      </c>
      <c r="E215" s="4">
        <v>18</v>
      </c>
      <c r="F215" s="4">
        <v>9</v>
      </c>
      <c r="G215" s="1" t="s">
        <v>32</v>
      </c>
      <c r="H215" s="1" t="s">
        <v>76</v>
      </c>
      <c r="I215" s="5" t="s">
        <v>453</v>
      </c>
      <c r="J215" s="4">
        <v>35</v>
      </c>
      <c r="K215" t="str">
        <f t="shared" si="6"/>
        <v>fail</v>
      </c>
      <c r="L215" t="str">
        <f t="shared" si="7"/>
        <v>F</v>
      </c>
    </row>
    <row r="216" spans="1:12" x14ac:dyDescent="0.3">
      <c r="A216" s="1" t="s">
        <v>454</v>
      </c>
      <c r="B216" s="1" t="s">
        <v>29</v>
      </c>
      <c r="C216" s="1" t="s">
        <v>12</v>
      </c>
      <c r="D216" s="1" t="s">
        <v>31</v>
      </c>
      <c r="E216" s="4">
        <v>16</v>
      </c>
      <c r="F216" s="4">
        <v>11</v>
      </c>
      <c r="G216" s="1" t="s">
        <v>43</v>
      </c>
      <c r="H216" s="1" t="s">
        <v>61</v>
      </c>
      <c r="I216" s="5" t="s">
        <v>385</v>
      </c>
      <c r="J216" s="4">
        <v>40</v>
      </c>
      <c r="K216" t="str">
        <f t="shared" si="6"/>
        <v>pass</v>
      </c>
      <c r="L216" t="str">
        <f t="shared" si="7"/>
        <v>E</v>
      </c>
    </row>
    <row r="217" spans="1:12" x14ac:dyDescent="0.3">
      <c r="A217" s="1" t="s">
        <v>455</v>
      </c>
      <c r="B217" s="1" t="s">
        <v>29</v>
      </c>
      <c r="C217" s="1" t="s">
        <v>30</v>
      </c>
      <c r="D217" s="1" t="s">
        <v>13</v>
      </c>
      <c r="E217" s="4">
        <v>16</v>
      </c>
      <c r="F217" s="4">
        <v>9</v>
      </c>
      <c r="G217" s="1" t="s">
        <v>14</v>
      </c>
      <c r="H217" s="1" t="s">
        <v>61</v>
      </c>
      <c r="I217" s="5" t="s">
        <v>447</v>
      </c>
      <c r="J217" s="4">
        <v>60</v>
      </c>
      <c r="K217" t="str">
        <f t="shared" si="6"/>
        <v>pass</v>
      </c>
      <c r="L217" t="str">
        <f t="shared" si="7"/>
        <v>C</v>
      </c>
    </row>
    <row r="218" spans="1:12" x14ac:dyDescent="0.3">
      <c r="A218" s="1" t="s">
        <v>456</v>
      </c>
      <c r="B218" s="1" t="s">
        <v>11</v>
      </c>
      <c r="C218" s="1" t="s">
        <v>55</v>
      </c>
      <c r="D218" s="1" t="s">
        <v>13</v>
      </c>
      <c r="E218" s="4">
        <v>15</v>
      </c>
      <c r="F218" s="4">
        <v>9</v>
      </c>
      <c r="G218" s="1" t="s">
        <v>32</v>
      </c>
      <c r="H218" s="1" t="s">
        <v>61</v>
      </c>
      <c r="I218" s="5" t="s">
        <v>457</v>
      </c>
      <c r="J218" s="4">
        <v>97</v>
      </c>
      <c r="K218" t="str">
        <f t="shared" si="6"/>
        <v>pass</v>
      </c>
      <c r="L218" t="str">
        <f t="shared" si="7"/>
        <v>A+</v>
      </c>
    </row>
    <row r="219" spans="1:12" x14ac:dyDescent="0.3">
      <c r="A219" s="1" t="s">
        <v>458</v>
      </c>
      <c r="B219" s="1" t="s">
        <v>11</v>
      </c>
      <c r="C219" s="1" t="s">
        <v>55</v>
      </c>
      <c r="D219" s="1" t="s">
        <v>13</v>
      </c>
      <c r="E219" s="4">
        <v>19</v>
      </c>
      <c r="F219" s="4">
        <v>11</v>
      </c>
      <c r="G219" s="1" t="s">
        <v>14</v>
      </c>
      <c r="H219" s="1" t="s">
        <v>46</v>
      </c>
      <c r="I219" s="5" t="s">
        <v>459</v>
      </c>
      <c r="J219" s="4">
        <v>81</v>
      </c>
      <c r="K219" t="str">
        <f t="shared" si="6"/>
        <v>pass</v>
      </c>
      <c r="L219" t="str">
        <f t="shared" si="7"/>
        <v>A</v>
      </c>
    </row>
    <row r="220" spans="1:12" x14ac:dyDescent="0.3">
      <c r="A220" s="1" t="s">
        <v>460</v>
      </c>
      <c r="B220" s="1" t="s">
        <v>51</v>
      </c>
      <c r="C220" s="1" t="s">
        <v>96</v>
      </c>
      <c r="D220" s="1" t="s">
        <v>31</v>
      </c>
      <c r="E220" s="4">
        <v>16</v>
      </c>
      <c r="F220" s="4">
        <v>12</v>
      </c>
      <c r="G220" s="1" t="s">
        <v>43</v>
      </c>
      <c r="H220" s="1" t="s">
        <v>15</v>
      </c>
      <c r="I220" s="5" t="s">
        <v>461</v>
      </c>
      <c r="J220" s="4">
        <v>65</v>
      </c>
      <c r="K220" t="str">
        <f t="shared" si="6"/>
        <v>pass</v>
      </c>
      <c r="L220" t="str">
        <f t="shared" si="7"/>
        <v>C</v>
      </c>
    </row>
    <row r="221" spans="1:12" x14ac:dyDescent="0.3">
      <c r="A221" s="1" t="s">
        <v>462</v>
      </c>
      <c r="B221" s="1" t="s">
        <v>11</v>
      </c>
      <c r="C221" s="1" t="s">
        <v>24</v>
      </c>
      <c r="D221" s="1" t="s">
        <v>31</v>
      </c>
      <c r="E221" s="4">
        <v>19</v>
      </c>
      <c r="F221" s="4">
        <v>12</v>
      </c>
      <c r="G221" s="1" t="s">
        <v>43</v>
      </c>
      <c r="H221" s="1" t="s">
        <v>37</v>
      </c>
      <c r="I221" s="5" t="s">
        <v>463</v>
      </c>
      <c r="J221" s="4">
        <v>45</v>
      </c>
      <c r="K221" t="str">
        <f t="shared" si="6"/>
        <v>pass</v>
      </c>
      <c r="L221" t="str">
        <f t="shared" si="7"/>
        <v>E</v>
      </c>
    </row>
    <row r="222" spans="1:12" x14ac:dyDescent="0.3">
      <c r="A222" s="1" t="s">
        <v>464</v>
      </c>
      <c r="B222" s="1" t="s">
        <v>11</v>
      </c>
      <c r="C222" s="1" t="s">
        <v>36</v>
      </c>
      <c r="D222" s="1" t="s">
        <v>13</v>
      </c>
      <c r="E222" s="4">
        <v>16</v>
      </c>
      <c r="F222" s="4">
        <v>11</v>
      </c>
      <c r="G222" s="1" t="s">
        <v>25</v>
      </c>
      <c r="H222" s="1" t="s">
        <v>40</v>
      </c>
      <c r="I222" s="5" t="s">
        <v>465</v>
      </c>
      <c r="J222" s="4">
        <v>79</v>
      </c>
      <c r="K222" t="str">
        <f t="shared" si="6"/>
        <v>pass</v>
      </c>
      <c r="L222" t="str">
        <f t="shared" si="7"/>
        <v>B</v>
      </c>
    </row>
    <row r="223" spans="1:12" x14ac:dyDescent="0.3">
      <c r="A223" s="1" t="s">
        <v>466</v>
      </c>
      <c r="B223" s="1" t="s">
        <v>11</v>
      </c>
      <c r="C223" s="1" t="s">
        <v>55</v>
      </c>
      <c r="D223" s="1" t="s">
        <v>31</v>
      </c>
      <c r="E223" s="4">
        <v>20</v>
      </c>
      <c r="F223" s="4">
        <v>11</v>
      </c>
      <c r="G223" s="1" t="s">
        <v>32</v>
      </c>
      <c r="H223" s="1" t="s">
        <v>40</v>
      </c>
      <c r="I223" s="5" t="s">
        <v>467</v>
      </c>
      <c r="J223" s="4">
        <v>46</v>
      </c>
      <c r="K223" t="str">
        <f t="shared" si="6"/>
        <v>pass</v>
      </c>
      <c r="L223" t="str">
        <f t="shared" si="7"/>
        <v>E</v>
      </c>
    </row>
    <row r="224" spans="1:12" x14ac:dyDescent="0.3">
      <c r="A224" s="1" t="s">
        <v>468</v>
      </c>
      <c r="B224" s="1" t="s">
        <v>73</v>
      </c>
      <c r="C224" s="1" t="s">
        <v>12</v>
      </c>
      <c r="D224" s="1" t="s">
        <v>13</v>
      </c>
      <c r="E224" s="4">
        <v>17</v>
      </c>
      <c r="F224" s="4">
        <v>10</v>
      </c>
      <c r="G224" s="1" t="s">
        <v>43</v>
      </c>
      <c r="H224" s="1" t="s">
        <v>15</v>
      </c>
      <c r="I224" s="5" t="s">
        <v>469</v>
      </c>
      <c r="J224" s="4">
        <v>75</v>
      </c>
      <c r="K224" t="str">
        <f t="shared" si="6"/>
        <v>pass</v>
      </c>
      <c r="L224" t="str">
        <f t="shared" si="7"/>
        <v>B</v>
      </c>
    </row>
    <row r="225" spans="1:12" x14ac:dyDescent="0.3">
      <c r="A225" s="1" t="s">
        <v>470</v>
      </c>
      <c r="B225" s="1" t="s">
        <v>35</v>
      </c>
      <c r="C225" s="1" t="s">
        <v>96</v>
      </c>
      <c r="D225" s="1" t="s">
        <v>31</v>
      </c>
      <c r="E225" s="4">
        <v>16</v>
      </c>
      <c r="F225" s="4">
        <v>11</v>
      </c>
      <c r="G225" s="1" t="s">
        <v>32</v>
      </c>
      <c r="H225" s="1" t="s">
        <v>61</v>
      </c>
      <c r="I225" s="5" t="s">
        <v>471</v>
      </c>
      <c r="J225" s="4">
        <v>65</v>
      </c>
      <c r="K225" t="str">
        <f t="shared" si="6"/>
        <v>pass</v>
      </c>
      <c r="L225" t="str">
        <f t="shared" si="7"/>
        <v>C</v>
      </c>
    </row>
    <row r="226" spans="1:12" x14ac:dyDescent="0.3">
      <c r="A226" s="1" t="s">
        <v>472</v>
      </c>
      <c r="B226" s="1" t="s">
        <v>84</v>
      </c>
      <c r="C226" s="1" t="s">
        <v>79</v>
      </c>
      <c r="D226" s="1" t="s">
        <v>31</v>
      </c>
      <c r="E226" s="4">
        <v>15</v>
      </c>
      <c r="F226" s="4">
        <v>11</v>
      </c>
      <c r="G226" s="1" t="s">
        <v>14</v>
      </c>
      <c r="H226" s="1" t="s">
        <v>40</v>
      </c>
      <c r="I226" s="5" t="s">
        <v>317</v>
      </c>
      <c r="J226" s="4">
        <v>72</v>
      </c>
      <c r="K226" t="str">
        <f t="shared" si="6"/>
        <v>pass</v>
      </c>
      <c r="L226" t="str">
        <f t="shared" si="7"/>
        <v>B</v>
      </c>
    </row>
    <row r="227" spans="1:12" x14ac:dyDescent="0.3">
      <c r="A227" s="1" t="s">
        <v>473</v>
      </c>
      <c r="B227" s="1" t="s">
        <v>18</v>
      </c>
      <c r="C227" s="1" t="s">
        <v>19</v>
      </c>
      <c r="D227" s="1" t="s">
        <v>31</v>
      </c>
      <c r="E227" s="4">
        <v>16</v>
      </c>
      <c r="F227" s="4">
        <v>11</v>
      </c>
      <c r="G227" s="1" t="s">
        <v>14</v>
      </c>
      <c r="H227" s="1" t="s">
        <v>61</v>
      </c>
      <c r="I227" s="5" t="s">
        <v>474</v>
      </c>
      <c r="J227" s="4">
        <v>75</v>
      </c>
      <c r="K227" t="str">
        <f t="shared" si="6"/>
        <v>pass</v>
      </c>
      <c r="L227" t="str">
        <f t="shared" si="7"/>
        <v>B</v>
      </c>
    </row>
    <row r="228" spans="1:12" x14ac:dyDescent="0.3">
      <c r="A228" s="1" t="s">
        <v>475</v>
      </c>
      <c r="B228" s="1" t="s">
        <v>35</v>
      </c>
      <c r="C228" s="1" t="s">
        <v>79</v>
      </c>
      <c r="D228" s="1" t="s">
        <v>13</v>
      </c>
      <c r="E228" s="4">
        <v>17</v>
      </c>
      <c r="F228" s="4">
        <v>9</v>
      </c>
      <c r="G228" s="1" t="s">
        <v>32</v>
      </c>
      <c r="H228" s="1" t="s">
        <v>15</v>
      </c>
      <c r="I228" s="5" t="s">
        <v>248</v>
      </c>
      <c r="J228" s="4">
        <v>50</v>
      </c>
      <c r="K228" t="str">
        <f t="shared" si="6"/>
        <v>pass</v>
      </c>
      <c r="L228" t="str">
        <f t="shared" si="7"/>
        <v>D</v>
      </c>
    </row>
    <row r="229" spans="1:12" x14ac:dyDescent="0.3">
      <c r="A229" s="1" t="s">
        <v>476</v>
      </c>
      <c r="B229" s="1" t="s">
        <v>29</v>
      </c>
      <c r="C229" s="1" t="s">
        <v>55</v>
      </c>
      <c r="D229" s="1" t="s">
        <v>13</v>
      </c>
      <c r="E229" s="4">
        <v>19</v>
      </c>
      <c r="F229" s="4">
        <v>10</v>
      </c>
      <c r="G229" s="1" t="s">
        <v>43</v>
      </c>
      <c r="H229" s="1" t="s">
        <v>26</v>
      </c>
      <c r="I229" s="5" t="s">
        <v>477</v>
      </c>
      <c r="J229" s="4">
        <v>88</v>
      </c>
      <c r="K229" t="str">
        <f t="shared" si="6"/>
        <v>pass</v>
      </c>
      <c r="L229" t="str">
        <f t="shared" si="7"/>
        <v>A</v>
      </c>
    </row>
    <row r="230" spans="1:12" x14ac:dyDescent="0.3">
      <c r="A230" s="1" t="s">
        <v>478</v>
      </c>
      <c r="B230" s="1" t="s">
        <v>11</v>
      </c>
      <c r="C230" s="1" t="s">
        <v>36</v>
      </c>
      <c r="D230" s="1" t="s">
        <v>13</v>
      </c>
      <c r="E230" s="4">
        <v>17</v>
      </c>
      <c r="F230" s="4">
        <v>12</v>
      </c>
      <c r="G230" s="1" t="s">
        <v>14</v>
      </c>
      <c r="H230" s="1" t="s">
        <v>37</v>
      </c>
      <c r="I230" s="5" t="s">
        <v>479</v>
      </c>
      <c r="J230" s="4">
        <v>63</v>
      </c>
      <c r="K230" t="str">
        <f t="shared" si="6"/>
        <v>pass</v>
      </c>
      <c r="L230" t="str">
        <f t="shared" si="7"/>
        <v>C</v>
      </c>
    </row>
    <row r="231" spans="1:12" x14ac:dyDescent="0.3">
      <c r="A231" s="1" t="s">
        <v>480</v>
      </c>
      <c r="B231" s="1" t="s">
        <v>35</v>
      </c>
      <c r="C231" s="1" t="s">
        <v>12</v>
      </c>
      <c r="D231" s="1" t="s">
        <v>31</v>
      </c>
      <c r="E231" s="4">
        <v>18</v>
      </c>
      <c r="F231" s="4">
        <v>10</v>
      </c>
      <c r="G231" s="1" t="s">
        <v>14</v>
      </c>
      <c r="H231" s="1" t="s">
        <v>37</v>
      </c>
      <c r="I231" s="5" t="s">
        <v>481</v>
      </c>
      <c r="J231" s="4">
        <v>36</v>
      </c>
      <c r="K231" t="str">
        <f t="shared" si="6"/>
        <v>fail</v>
      </c>
      <c r="L231" t="str">
        <f t="shared" si="7"/>
        <v>F</v>
      </c>
    </row>
    <row r="232" spans="1:12" x14ac:dyDescent="0.3">
      <c r="A232" s="1" t="s">
        <v>482</v>
      </c>
      <c r="B232" s="1" t="s">
        <v>35</v>
      </c>
      <c r="C232" s="1" t="s">
        <v>24</v>
      </c>
      <c r="D232" s="1" t="s">
        <v>13</v>
      </c>
      <c r="E232" s="4">
        <v>18</v>
      </c>
      <c r="F232" s="4">
        <v>11</v>
      </c>
      <c r="G232" s="1" t="s">
        <v>14</v>
      </c>
      <c r="H232" s="1" t="s">
        <v>61</v>
      </c>
      <c r="I232" s="5" t="s">
        <v>483</v>
      </c>
      <c r="J232" s="4">
        <v>86</v>
      </c>
      <c r="K232" t="str">
        <f t="shared" si="6"/>
        <v>pass</v>
      </c>
      <c r="L232" t="str">
        <f t="shared" si="7"/>
        <v>A</v>
      </c>
    </row>
    <row r="233" spans="1:12" x14ac:dyDescent="0.3">
      <c r="A233" s="1" t="s">
        <v>484</v>
      </c>
      <c r="B233" s="1" t="s">
        <v>29</v>
      </c>
      <c r="C233" s="1" t="s">
        <v>79</v>
      </c>
      <c r="D233" s="1" t="s">
        <v>31</v>
      </c>
      <c r="E233" s="4">
        <v>14</v>
      </c>
      <c r="F233" s="4">
        <v>11</v>
      </c>
      <c r="G233" s="1" t="s">
        <v>32</v>
      </c>
      <c r="H233" s="1" t="s">
        <v>40</v>
      </c>
      <c r="I233" s="5" t="s">
        <v>184</v>
      </c>
      <c r="J233" s="4">
        <v>42</v>
      </c>
      <c r="K233" t="str">
        <f t="shared" si="6"/>
        <v>pass</v>
      </c>
      <c r="L233" t="str">
        <f t="shared" si="7"/>
        <v>E</v>
      </c>
    </row>
    <row r="234" spans="1:12" x14ac:dyDescent="0.3">
      <c r="A234" s="1" t="s">
        <v>485</v>
      </c>
      <c r="B234" s="1" t="s">
        <v>18</v>
      </c>
      <c r="C234" s="1" t="s">
        <v>12</v>
      </c>
      <c r="D234" s="1" t="s">
        <v>31</v>
      </c>
      <c r="E234" s="4">
        <v>16</v>
      </c>
      <c r="F234" s="4">
        <v>12</v>
      </c>
      <c r="G234" s="1" t="s">
        <v>14</v>
      </c>
      <c r="H234" s="1" t="s">
        <v>76</v>
      </c>
      <c r="I234" s="5" t="s">
        <v>486</v>
      </c>
      <c r="J234" s="4">
        <v>70</v>
      </c>
      <c r="K234" t="str">
        <f t="shared" si="6"/>
        <v>pass</v>
      </c>
      <c r="L234" t="str">
        <f t="shared" si="7"/>
        <v>B</v>
      </c>
    </row>
    <row r="235" spans="1:12" x14ac:dyDescent="0.3">
      <c r="A235" s="1" t="s">
        <v>487</v>
      </c>
      <c r="B235" s="1" t="s">
        <v>18</v>
      </c>
      <c r="C235" s="1" t="s">
        <v>79</v>
      </c>
      <c r="D235" s="1" t="s">
        <v>13</v>
      </c>
      <c r="E235" s="4">
        <v>16</v>
      </c>
      <c r="F235" s="4">
        <v>11</v>
      </c>
      <c r="G235" s="1" t="s">
        <v>43</v>
      </c>
      <c r="H235" s="1" t="s">
        <v>61</v>
      </c>
      <c r="I235" s="5" t="s">
        <v>488</v>
      </c>
      <c r="J235" s="4">
        <v>86</v>
      </c>
      <c r="K235" t="str">
        <f t="shared" si="6"/>
        <v>pass</v>
      </c>
      <c r="L235" t="str">
        <f t="shared" si="7"/>
        <v>A</v>
      </c>
    </row>
    <row r="236" spans="1:12" x14ac:dyDescent="0.3">
      <c r="A236" s="1" t="s">
        <v>489</v>
      </c>
      <c r="B236" s="1" t="s">
        <v>68</v>
      </c>
      <c r="C236" s="1" t="s">
        <v>58</v>
      </c>
      <c r="D236" s="1" t="s">
        <v>31</v>
      </c>
      <c r="E236" s="4">
        <v>20</v>
      </c>
      <c r="F236" s="4">
        <v>10</v>
      </c>
      <c r="G236" s="1" t="s">
        <v>32</v>
      </c>
      <c r="H236" s="1" t="s">
        <v>20</v>
      </c>
      <c r="I236" s="5" t="s">
        <v>370</v>
      </c>
      <c r="J236" s="4">
        <v>93</v>
      </c>
      <c r="K236" t="str">
        <f t="shared" si="6"/>
        <v>pass</v>
      </c>
      <c r="L236" t="str">
        <f t="shared" si="7"/>
        <v>A+</v>
      </c>
    </row>
    <row r="237" spans="1:12" x14ac:dyDescent="0.3">
      <c r="A237" s="1" t="s">
        <v>490</v>
      </c>
      <c r="B237" s="1" t="s">
        <v>73</v>
      </c>
      <c r="C237" s="1" t="s">
        <v>96</v>
      </c>
      <c r="D237" s="1" t="s">
        <v>13</v>
      </c>
      <c r="E237" s="4">
        <v>17</v>
      </c>
      <c r="F237" s="4">
        <v>10</v>
      </c>
      <c r="G237" s="1" t="s">
        <v>32</v>
      </c>
      <c r="H237" s="1" t="s">
        <v>61</v>
      </c>
      <c r="I237" s="5" t="s">
        <v>491</v>
      </c>
      <c r="J237" s="4">
        <v>60</v>
      </c>
      <c r="K237" t="str">
        <f t="shared" si="6"/>
        <v>pass</v>
      </c>
      <c r="L237" t="str">
        <f t="shared" si="7"/>
        <v>C</v>
      </c>
    </row>
    <row r="238" spans="1:12" x14ac:dyDescent="0.3">
      <c r="A238" s="1" t="s">
        <v>492</v>
      </c>
      <c r="B238" s="1" t="s">
        <v>18</v>
      </c>
      <c r="C238" s="1" t="s">
        <v>85</v>
      </c>
      <c r="D238" s="1" t="s">
        <v>31</v>
      </c>
      <c r="E238" s="4">
        <v>19</v>
      </c>
      <c r="F238" s="4">
        <v>11</v>
      </c>
      <c r="G238" s="1" t="s">
        <v>43</v>
      </c>
      <c r="H238" s="1" t="s">
        <v>15</v>
      </c>
      <c r="I238" s="5" t="s">
        <v>394</v>
      </c>
      <c r="J238" s="4">
        <v>50</v>
      </c>
      <c r="K238" t="str">
        <f t="shared" si="6"/>
        <v>pass</v>
      </c>
      <c r="L238" t="str">
        <f t="shared" si="7"/>
        <v>D</v>
      </c>
    </row>
    <row r="239" spans="1:12" x14ac:dyDescent="0.3">
      <c r="A239" s="1" t="s">
        <v>493</v>
      </c>
      <c r="B239" s="1" t="s">
        <v>51</v>
      </c>
      <c r="C239" s="1" t="s">
        <v>96</v>
      </c>
      <c r="D239" s="1" t="s">
        <v>31</v>
      </c>
      <c r="E239" s="4">
        <v>14</v>
      </c>
      <c r="F239" s="4">
        <v>12</v>
      </c>
      <c r="G239" s="1" t="s">
        <v>14</v>
      </c>
      <c r="H239" s="1" t="s">
        <v>26</v>
      </c>
      <c r="I239" s="5" t="s">
        <v>494</v>
      </c>
      <c r="J239" s="4">
        <v>47</v>
      </c>
      <c r="K239" t="str">
        <f t="shared" si="6"/>
        <v>pass</v>
      </c>
      <c r="L239" t="str">
        <f t="shared" si="7"/>
        <v>E</v>
      </c>
    </row>
    <row r="240" spans="1:12" x14ac:dyDescent="0.3">
      <c r="A240" s="1" t="s">
        <v>495</v>
      </c>
      <c r="B240" s="1" t="s">
        <v>35</v>
      </c>
      <c r="C240" s="1" t="s">
        <v>12</v>
      </c>
      <c r="D240" s="1" t="s">
        <v>13</v>
      </c>
      <c r="E240" s="4">
        <v>15</v>
      </c>
      <c r="F240" s="4">
        <v>12</v>
      </c>
      <c r="G240" s="1" t="s">
        <v>43</v>
      </c>
      <c r="H240" s="1" t="s">
        <v>20</v>
      </c>
      <c r="I240" s="5" t="s">
        <v>496</v>
      </c>
      <c r="J240" s="4">
        <v>49</v>
      </c>
      <c r="K240" t="str">
        <f t="shared" si="6"/>
        <v>pass</v>
      </c>
      <c r="L240" t="str">
        <f t="shared" si="7"/>
        <v>E</v>
      </c>
    </row>
    <row r="241" spans="1:12" x14ac:dyDescent="0.3">
      <c r="A241" s="1" t="s">
        <v>497</v>
      </c>
      <c r="B241" s="1" t="s">
        <v>51</v>
      </c>
      <c r="C241" s="1" t="s">
        <v>96</v>
      </c>
      <c r="D241" s="1" t="s">
        <v>13</v>
      </c>
      <c r="E241" s="4">
        <v>16</v>
      </c>
      <c r="F241" s="4">
        <v>9</v>
      </c>
      <c r="G241" s="1" t="s">
        <v>25</v>
      </c>
      <c r="H241" s="1" t="s">
        <v>26</v>
      </c>
      <c r="I241" s="5" t="s">
        <v>498</v>
      </c>
      <c r="J241" s="4">
        <v>42</v>
      </c>
      <c r="K241" t="str">
        <f t="shared" si="6"/>
        <v>pass</v>
      </c>
      <c r="L241" t="str">
        <f t="shared" si="7"/>
        <v>E</v>
      </c>
    </row>
    <row r="242" spans="1:12" x14ac:dyDescent="0.3">
      <c r="A242" s="1" t="s">
        <v>499</v>
      </c>
      <c r="B242" s="1" t="s">
        <v>54</v>
      </c>
      <c r="C242" s="1" t="s">
        <v>19</v>
      </c>
      <c r="D242" s="1" t="s">
        <v>31</v>
      </c>
      <c r="E242" s="4">
        <v>20</v>
      </c>
      <c r="F242" s="4">
        <v>9</v>
      </c>
      <c r="G242" s="1" t="s">
        <v>32</v>
      </c>
      <c r="H242" s="1" t="s">
        <v>46</v>
      </c>
      <c r="I242" s="5" t="s">
        <v>500</v>
      </c>
      <c r="J242" s="4">
        <v>42</v>
      </c>
      <c r="K242" t="str">
        <f t="shared" si="6"/>
        <v>pass</v>
      </c>
      <c r="L242" t="str">
        <f t="shared" si="7"/>
        <v>E</v>
      </c>
    </row>
    <row r="243" spans="1:12" x14ac:dyDescent="0.3">
      <c r="A243" s="1" t="s">
        <v>501</v>
      </c>
      <c r="B243" s="1" t="s">
        <v>84</v>
      </c>
      <c r="C243" s="1" t="s">
        <v>19</v>
      </c>
      <c r="D243" s="1" t="s">
        <v>13</v>
      </c>
      <c r="E243" s="4">
        <v>18</v>
      </c>
      <c r="F243" s="4">
        <v>10</v>
      </c>
      <c r="G243" s="1" t="s">
        <v>14</v>
      </c>
      <c r="H243" s="1" t="s">
        <v>61</v>
      </c>
      <c r="I243" s="5" t="s">
        <v>502</v>
      </c>
      <c r="J243" s="4">
        <v>76</v>
      </c>
      <c r="K243" t="str">
        <f t="shared" si="6"/>
        <v>pass</v>
      </c>
      <c r="L243" t="str">
        <f t="shared" si="7"/>
        <v>B</v>
      </c>
    </row>
    <row r="244" spans="1:12" x14ac:dyDescent="0.3">
      <c r="A244" s="1" t="s">
        <v>503</v>
      </c>
      <c r="B244" s="1" t="s">
        <v>84</v>
      </c>
      <c r="C244" s="1" t="s">
        <v>19</v>
      </c>
      <c r="D244" s="1" t="s">
        <v>31</v>
      </c>
      <c r="E244" s="4">
        <v>15</v>
      </c>
      <c r="F244" s="4">
        <v>10</v>
      </c>
      <c r="G244" s="1" t="s">
        <v>43</v>
      </c>
      <c r="H244" s="1" t="s">
        <v>61</v>
      </c>
      <c r="I244" s="5" t="s">
        <v>504</v>
      </c>
      <c r="J244" s="4">
        <v>44</v>
      </c>
      <c r="K244" t="str">
        <f t="shared" si="6"/>
        <v>pass</v>
      </c>
      <c r="L244" t="str">
        <f t="shared" si="7"/>
        <v>E</v>
      </c>
    </row>
    <row r="245" spans="1:12" x14ac:dyDescent="0.3">
      <c r="A245" s="1" t="s">
        <v>505</v>
      </c>
      <c r="B245" s="1" t="s">
        <v>11</v>
      </c>
      <c r="C245" s="1" t="s">
        <v>12</v>
      </c>
      <c r="D245" s="1" t="s">
        <v>31</v>
      </c>
      <c r="E245" s="4">
        <v>19</v>
      </c>
      <c r="F245" s="4">
        <v>10</v>
      </c>
      <c r="G245" s="1" t="s">
        <v>14</v>
      </c>
      <c r="H245" s="1" t="s">
        <v>40</v>
      </c>
      <c r="I245" s="5" t="s">
        <v>506</v>
      </c>
      <c r="J245" s="4">
        <v>77</v>
      </c>
      <c r="K245" t="str">
        <f t="shared" si="6"/>
        <v>pass</v>
      </c>
      <c r="L245" t="str">
        <f t="shared" si="7"/>
        <v>B</v>
      </c>
    </row>
    <row r="246" spans="1:12" x14ac:dyDescent="0.3">
      <c r="A246" s="1" t="s">
        <v>507</v>
      </c>
      <c r="B246" s="1" t="s">
        <v>54</v>
      </c>
      <c r="C246" s="1" t="s">
        <v>12</v>
      </c>
      <c r="D246" s="1" t="s">
        <v>31</v>
      </c>
      <c r="E246" s="4">
        <v>16</v>
      </c>
      <c r="F246" s="4">
        <v>12</v>
      </c>
      <c r="G246" s="1" t="s">
        <v>43</v>
      </c>
      <c r="H246" s="1" t="s">
        <v>61</v>
      </c>
      <c r="I246" s="5" t="s">
        <v>483</v>
      </c>
      <c r="J246" s="4">
        <v>45</v>
      </c>
      <c r="K246" t="str">
        <f t="shared" si="6"/>
        <v>pass</v>
      </c>
      <c r="L246" t="str">
        <f t="shared" si="7"/>
        <v>E</v>
      </c>
    </row>
    <row r="247" spans="1:12" x14ac:dyDescent="0.3">
      <c r="A247" s="1" t="s">
        <v>508</v>
      </c>
      <c r="B247" s="1" t="s">
        <v>73</v>
      </c>
      <c r="C247" s="1" t="s">
        <v>55</v>
      </c>
      <c r="D247" s="1" t="s">
        <v>13</v>
      </c>
      <c r="E247" s="4">
        <v>15</v>
      </c>
      <c r="F247" s="4">
        <v>11</v>
      </c>
      <c r="G247" s="1" t="s">
        <v>43</v>
      </c>
      <c r="H247" s="1" t="s">
        <v>46</v>
      </c>
      <c r="I247" s="5" t="s">
        <v>509</v>
      </c>
      <c r="J247" s="4">
        <v>54</v>
      </c>
      <c r="K247" t="str">
        <f t="shared" si="6"/>
        <v>pass</v>
      </c>
      <c r="L247" t="str">
        <f t="shared" si="7"/>
        <v>D</v>
      </c>
    </row>
    <row r="248" spans="1:12" x14ac:dyDescent="0.3">
      <c r="A248" s="1" t="s">
        <v>510</v>
      </c>
      <c r="B248" s="1" t="s">
        <v>54</v>
      </c>
      <c r="C248" s="1" t="s">
        <v>79</v>
      </c>
      <c r="D248" s="1" t="s">
        <v>31</v>
      </c>
      <c r="E248" s="4">
        <v>15</v>
      </c>
      <c r="F248" s="4">
        <v>9</v>
      </c>
      <c r="G248" s="1" t="s">
        <v>14</v>
      </c>
      <c r="H248" s="1" t="s">
        <v>40</v>
      </c>
      <c r="I248" s="5" t="s">
        <v>479</v>
      </c>
      <c r="J248" s="4">
        <v>66</v>
      </c>
      <c r="K248" t="str">
        <f t="shared" si="6"/>
        <v>pass</v>
      </c>
      <c r="L248" t="str">
        <f t="shared" si="7"/>
        <v>C</v>
      </c>
    </row>
    <row r="249" spans="1:12" x14ac:dyDescent="0.3">
      <c r="A249" s="1" t="s">
        <v>511</v>
      </c>
      <c r="B249" s="1" t="s">
        <v>35</v>
      </c>
      <c r="C249" s="1" t="s">
        <v>19</v>
      </c>
      <c r="D249" s="1" t="s">
        <v>31</v>
      </c>
      <c r="E249" s="4">
        <v>15</v>
      </c>
      <c r="F249" s="4">
        <v>9</v>
      </c>
      <c r="G249" s="1" t="s">
        <v>25</v>
      </c>
      <c r="H249" s="1" t="s">
        <v>15</v>
      </c>
      <c r="I249" s="5" t="s">
        <v>512</v>
      </c>
      <c r="J249" s="4">
        <v>95</v>
      </c>
      <c r="K249" t="str">
        <f t="shared" si="6"/>
        <v>pass</v>
      </c>
      <c r="L249" t="str">
        <f t="shared" si="7"/>
        <v>A+</v>
      </c>
    </row>
    <row r="250" spans="1:12" x14ac:dyDescent="0.3">
      <c r="A250" s="1" t="s">
        <v>513</v>
      </c>
      <c r="B250" s="1" t="s">
        <v>11</v>
      </c>
      <c r="C250" s="1" t="s">
        <v>19</v>
      </c>
      <c r="D250" s="1" t="s">
        <v>31</v>
      </c>
      <c r="E250" s="4">
        <v>14</v>
      </c>
      <c r="F250" s="4">
        <v>12</v>
      </c>
      <c r="G250" s="1" t="s">
        <v>32</v>
      </c>
      <c r="H250" s="1" t="s">
        <v>15</v>
      </c>
      <c r="I250" s="5" t="s">
        <v>381</v>
      </c>
      <c r="J250" s="4">
        <v>65</v>
      </c>
      <c r="K250" t="str">
        <f t="shared" si="6"/>
        <v>pass</v>
      </c>
      <c r="L250" t="str">
        <f t="shared" si="7"/>
        <v>C</v>
      </c>
    </row>
    <row r="251" spans="1:12" x14ac:dyDescent="0.3">
      <c r="A251" s="1" t="s">
        <v>514</v>
      </c>
      <c r="B251" s="1" t="s">
        <v>11</v>
      </c>
      <c r="C251" s="1" t="s">
        <v>12</v>
      </c>
      <c r="D251" s="1" t="s">
        <v>31</v>
      </c>
      <c r="E251" s="4">
        <v>15</v>
      </c>
      <c r="F251" s="4">
        <v>11</v>
      </c>
      <c r="G251" s="1" t="s">
        <v>25</v>
      </c>
      <c r="H251" s="1" t="s">
        <v>20</v>
      </c>
      <c r="I251" s="5" t="s">
        <v>515</v>
      </c>
      <c r="J251" s="4">
        <v>61</v>
      </c>
      <c r="K251" t="str">
        <f t="shared" si="6"/>
        <v>pass</v>
      </c>
      <c r="L251" t="str">
        <f t="shared" si="7"/>
        <v>C</v>
      </c>
    </row>
    <row r="252" spans="1:12" x14ac:dyDescent="0.3">
      <c r="A252" s="1" t="s">
        <v>516</v>
      </c>
      <c r="B252" s="1" t="s">
        <v>18</v>
      </c>
      <c r="C252" s="1" t="s">
        <v>96</v>
      </c>
      <c r="D252" s="1" t="s">
        <v>31</v>
      </c>
      <c r="E252" s="4">
        <v>14</v>
      </c>
      <c r="F252" s="4">
        <v>11</v>
      </c>
      <c r="G252" s="1" t="s">
        <v>32</v>
      </c>
      <c r="H252" s="1" t="s">
        <v>46</v>
      </c>
      <c r="I252" s="5" t="s">
        <v>517</v>
      </c>
      <c r="J252" s="4">
        <v>86</v>
      </c>
      <c r="K252" t="str">
        <f t="shared" si="6"/>
        <v>pass</v>
      </c>
      <c r="L252" t="str">
        <f t="shared" si="7"/>
        <v>A</v>
      </c>
    </row>
    <row r="253" spans="1:12" x14ac:dyDescent="0.3">
      <c r="A253" s="1" t="s">
        <v>518</v>
      </c>
      <c r="B253" s="1" t="s">
        <v>51</v>
      </c>
      <c r="C253" s="1" t="s">
        <v>96</v>
      </c>
      <c r="D253" s="1" t="s">
        <v>31</v>
      </c>
      <c r="E253" s="4">
        <v>17</v>
      </c>
      <c r="F253" s="4">
        <v>11</v>
      </c>
      <c r="G253" s="1" t="s">
        <v>25</v>
      </c>
      <c r="H253" s="1" t="s">
        <v>61</v>
      </c>
      <c r="I253" s="5" t="s">
        <v>519</v>
      </c>
      <c r="J253" s="4">
        <v>52</v>
      </c>
      <c r="K253" t="str">
        <f t="shared" si="6"/>
        <v>pass</v>
      </c>
      <c r="L253" t="str">
        <f t="shared" si="7"/>
        <v>D</v>
      </c>
    </row>
    <row r="254" spans="1:12" x14ac:dyDescent="0.3">
      <c r="A254" s="1" t="s">
        <v>520</v>
      </c>
      <c r="B254" s="1" t="s">
        <v>68</v>
      </c>
      <c r="C254" s="1" t="s">
        <v>12</v>
      </c>
      <c r="D254" s="1" t="s">
        <v>31</v>
      </c>
      <c r="E254" s="4">
        <v>20</v>
      </c>
      <c r="F254" s="4">
        <v>10</v>
      </c>
      <c r="G254" s="1" t="s">
        <v>32</v>
      </c>
      <c r="H254" s="1" t="s">
        <v>26</v>
      </c>
      <c r="I254" s="5" t="s">
        <v>521</v>
      </c>
      <c r="J254" s="4">
        <v>42</v>
      </c>
      <c r="K254" t="str">
        <f t="shared" si="6"/>
        <v>pass</v>
      </c>
      <c r="L254" t="str">
        <f t="shared" si="7"/>
        <v>E</v>
      </c>
    </row>
    <row r="255" spans="1:12" x14ac:dyDescent="0.3">
      <c r="A255" s="1" t="s">
        <v>522</v>
      </c>
      <c r="B255" s="1" t="s">
        <v>54</v>
      </c>
      <c r="C255" s="1" t="s">
        <v>79</v>
      </c>
      <c r="D255" s="1" t="s">
        <v>31</v>
      </c>
      <c r="E255" s="4">
        <v>18</v>
      </c>
      <c r="F255" s="4">
        <v>10</v>
      </c>
      <c r="G255" s="1" t="s">
        <v>14</v>
      </c>
      <c r="H255" s="1" t="s">
        <v>61</v>
      </c>
      <c r="I255" s="5" t="s">
        <v>523</v>
      </c>
      <c r="J255" s="4">
        <v>82</v>
      </c>
      <c r="K255" t="str">
        <f t="shared" si="6"/>
        <v>pass</v>
      </c>
      <c r="L255" t="str">
        <f t="shared" si="7"/>
        <v>A</v>
      </c>
    </row>
    <row r="256" spans="1:12" x14ac:dyDescent="0.3">
      <c r="A256" s="1" t="s">
        <v>524</v>
      </c>
      <c r="B256" s="1" t="s">
        <v>35</v>
      </c>
      <c r="C256" s="1" t="s">
        <v>85</v>
      </c>
      <c r="D256" s="1" t="s">
        <v>13</v>
      </c>
      <c r="E256" s="4">
        <v>20</v>
      </c>
      <c r="F256" s="4">
        <v>10</v>
      </c>
      <c r="G256" s="1" t="s">
        <v>14</v>
      </c>
      <c r="H256" s="1" t="s">
        <v>40</v>
      </c>
      <c r="I256" s="5" t="s">
        <v>525</v>
      </c>
      <c r="J256" s="4">
        <v>92</v>
      </c>
      <c r="K256" t="str">
        <f t="shared" si="6"/>
        <v>pass</v>
      </c>
      <c r="L256" t="str">
        <f t="shared" si="7"/>
        <v>A+</v>
      </c>
    </row>
    <row r="257" spans="1:12" x14ac:dyDescent="0.3">
      <c r="A257" s="1" t="s">
        <v>526</v>
      </c>
      <c r="B257" s="1" t="s">
        <v>18</v>
      </c>
      <c r="C257" s="1" t="s">
        <v>12</v>
      </c>
      <c r="D257" s="1" t="s">
        <v>31</v>
      </c>
      <c r="E257" s="4">
        <v>18</v>
      </c>
      <c r="F257" s="4">
        <v>9</v>
      </c>
      <c r="G257" s="1" t="s">
        <v>14</v>
      </c>
      <c r="H257" s="1" t="s">
        <v>15</v>
      </c>
      <c r="I257" s="5" t="s">
        <v>346</v>
      </c>
      <c r="J257" s="4">
        <v>59</v>
      </c>
      <c r="K257" t="str">
        <f t="shared" si="6"/>
        <v>pass</v>
      </c>
      <c r="L257" t="str">
        <f t="shared" si="7"/>
        <v>D</v>
      </c>
    </row>
    <row r="258" spans="1:12" x14ac:dyDescent="0.3">
      <c r="A258" s="1" t="s">
        <v>527</v>
      </c>
      <c r="B258" s="1" t="s">
        <v>11</v>
      </c>
      <c r="C258" s="1" t="s">
        <v>85</v>
      </c>
      <c r="D258" s="1" t="s">
        <v>13</v>
      </c>
      <c r="E258" s="4">
        <v>20</v>
      </c>
      <c r="F258" s="4">
        <v>12</v>
      </c>
      <c r="G258" s="1" t="s">
        <v>25</v>
      </c>
      <c r="H258" s="1" t="s">
        <v>46</v>
      </c>
      <c r="I258" s="5" t="s">
        <v>451</v>
      </c>
      <c r="J258" s="4">
        <v>86</v>
      </c>
      <c r="K258" t="str">
        <f t="shared" si="6"/>
        <v>pass</v>
      </c>
      <c r="L258" t="str">
        <f t="shared" si="7"/>
        <v>A</v>
      </c>
    </row>
    <row r="259" spans="1:12" x14ac:dyDescent="0.3">
      <c r="A259" s="1" t="s">
        <v>528</v>
      </c>
      <c r="B259" s="1" t="s">
        <v>51</v>
      </c>
      <c r="C259" s="1" t="s">
        <v>19</v>
      </c>
      <c r="D259" s="1" t="s">
        <v>13</v>
      </c>
      <c r="E259" s="4">
        <v>19</v>
      </c>
      <c r="F259" s="4">
        <v>9</v>
      </c>
      <c r="G259" s="1" t="s">
        <v>43</v>
      </c>
      <c r="H259" s="1" t="s">
        <v>46</v>
      </c>
      <c r="I259" s="5" t="s">
        <v>222</v>
      </c>
      <c r="J259" s="4">
        <v>46</v>
      </c>
      <c r="K259" t="str">
        <f t="shared" ref="K259:K322" si="8">IF(J259&gt;=40,"pass","fail")</f>
        <v>pass</v>
      </c>
      <c r="L259" t="str">
        <f t="shared" ref="L259:L322" si="9">IF(J259&gt;=90,"A+",IF(J259&gt;=80,"A",IF(J259&gt;=70,"B",IF(J259&gt;=60,"C",IF(J259&gt;=50,"D",IF(J259&gt;=40,"E","F"))))))</f>
        <v>E</v>
      </c>
    </row>
    <row r="260" spans="1:12" x14ac:dyDescent="0.3">
      <c r="A260" s="1" t="s">
        <v>529</v>
      </c>
      <c r="B260" s="1" t="s">
        <v>84</v>
      </c>
      <c r="C260" s="1" t="s">
        <v>24</v>
      </c>
      <c r="D260" s="1" t="s">
        <v>31</v>
      </c>
      <c r="E260" s="4">
        <v>20</v>
      </c>
      <c r="F260" s="4">
        <v>12</v>
      </c>
      <c r="G260" s="1" t="s">
        <v>25</v>
      </c>
      <c r="H260" s="1" t="s">
        <v>76</v>
      </c>
      <c r="I260" s="5" t="s">
        <v>186</v>
      </c>
      <c r="J260" s="4">
        <v>51</v>
      </c>
      <c r="K260" t="str">
        <f t="shared" si="8"/>
        <v>pass</v>
      </c>
      <c r="L260" t="str">
        <f t="shared" si="9"/>
        <v>D</v>
      </c>
    </row>
    <row r="261" spans="1:12" x14ac:dyDescent="0.3">
      <c r="A261" s="1" t="s">
        <v>530</v>
      </c>
      <c r="B261" s="1" t="s">
        <v>54</v>
      </c>
      <c r="C261" s="1" t="s">
        <v>58</v>
      </c>
      <c r="D261" s="1" t="s">
        <v>13</v>
      </c>
      <c r="E261" s="4">
        <v>17</v>
      </c>
      <c r="F261" s="4">
        <v>10</v>
      </c>
      <c r="G261" s="1" t="s">
        <v>32</v>
      </c>
      <c r="H261" s="1" t="s">
        <v>15</v>
      </c>
      <c r="I261" s="5" t="s">
        <v>64</v>
      </c>
      <c r="J261" s="4">
        <v>46</v>
      </c>
      <c r="K261" t="str">
        <f t="shared" si="8"/>
        <v>pass</v>
      </c>
      <c r="L261" t="str">
        <f t="shared" si="9"/>
        <v>E</v>
      </c>
    </row>
    <row r="262" spans="1:12" x14ac:dyDescent="0.3">
      <c r="A262" s="1" t="s">
        <v>531</v>
      </c>
      <c r="B262" s="1" t="s">
        <v>23</v>
      </c>
      <c r="C262" s="1" t="s">
        <v>36</v>
      </c>
      <c r="D262" s="1" t="s">
        <v>13</v>
      </c>
      <c r="E262" s="4">
        <v>20</v>
      </c>
      <c r="F262" s="4">
        <v>11</v>
      </c>
      <c r="G262" s="1" t="s">
        <v>43</v>
      </c>
      <c r="H262" s="1" t="s">
        <v>20</v>
      </c>
      <c r="I262" s="5" t="s">
        <v>178</v>
      </c>
      <c r="J262" s="4">
        <v>44</v>
      </c>
      <c r="K262" t="str">
        <f t="shared" si="8"/>
        <v>pass</v>
      </c>
      <c r="L262" t="str">
        <f t="shared" si="9"/>
        <v>E</v>
      </c>
    </row>
    <row r="263" spans="1:12" x14ac:dyDescent="0.3">
      <c r="A263" s="1" t="s">
        <v>532</v>
      </c>
      <c r="B263" s="1" t="s">
        <v>51</v>
      </c>
      <c r="C263" s="1" t="s">
        <v>19</v>
      </c>
      <c r="D263" s="1" t="s">
        <v>31</v>
      </c>
      <c r="E263" s="4">
        <v>14</v>
      </c>
      <c r="F263" s="4">
        <v>11</v>
      </c>
      <c r="G263" s="1" t="s">
        <v>43</v>
      </c>
      <c r="H263" s="1" t="s">
        <v>20</v>
      </c>
      <c r="I263" s="5" t="s">
        <v>533</v>
      </c>
      <c r="J263" s="4">
        <v>93</v>
      </c>
      <c r="K263" t="str">
        <f t="shared" si="8"/>
        <v>pass</v>
      </c>
      <c r="L263" t="str">
        <f t="shared" si="9"/>
        <v>A+</v>
      </c>
    </row>
    <row r="264" spans="1:12" x14ac:dyDescent="0.3">
      <c r="A264" s="1" t="s">
        <v>534</v>
      </c>
      <c r="B264" s="1" t="s">
        <v>23</v>
      </c>
      <c r="C264" s="1" t="s">
        <v>19</v>
      </c>
      <c r="D264" s="1" t="s">
        <v>13</v>
      </c>
      <c r="E264" s="4">
        <v>20</v>
      </c>
      <c r="F264" s="4">
        <v>11</v>
      </c>
      <c r="G264" s="1" t="s">
        <v>32</v>
      </c>
      <c r="H264" s="1" t="s">
        <v>76</v>
      </c>
      <c r="I264" s="5" t="s">
        <v>358</v>
      </c>
      <c r="J264" s="4">
        <v>41</v>
      </c>
      <c r="K264" t="str">
        <f t="shared" si="8"/>
        <v>pass</v>
      </c>
      <c r="L264" t="str">
        <f t="shared" si="9"/>
        <v>E</v>
      </c>
    </row>
    <row r="265" spans="1:12" x14ac:dyDescent="0.3">
      <c r="A265" s="1" t="s">
        <v>535</v>
      </c>
      <c r="B265" s="1" t="s">
        <v>84</v>
      </c>
      <c r="C265" s="1" t="s">
        <v>58</v>
      </c>
      <c r="D265" s="1" t="s">
        <v>13</v>
      </c>
      <c r="E265" s="4">
        <v>20</v>
      </c>
      <c r="F265" s="4">
        <v>9</v>
      </c>
      <c r="G265" s="1" t="s">
        <v>25</v>
      </c>
      <c r="H265" s="1" t="s">
        <v>46</v>
      </c>
      <c r="I265" s="5" t="s">
        <v>536</v>
      </c>
      <c r="J265" s="4">
        <v>58</v>
      </c>
      <c r="K265" t="str">
        <f t="shared" si="8"/>
        <v>pass</v>
      </c>
      <c r="L265" t="str">
        <f t="shared" si="9"/>
        <v>D</v>
      </c>
    </row>
    <row r="266" spans="1:12" x14ac:dyDescent="0.3">
      <c r="A266" s="1" t="s">
        <v>537</v>
      </c>
      <c r="B266" s="1" t="s">
        <v>68</v>
      </c>
      <c r="C266" s="1" t="s">
        <v>36</v>
      </c>
      <c r="D266" s="1" t="s">
        <v>31</v>
      </c>
      <c r="E266" s="4">
        <v>16</v>
      </c>
      <c r="F266" s="4">
        <v>12</v>
      </c>
      <c r="G266" s="1" t="s">
        <v>25</v>
      </c>
      <c r="H266" s="1" t="s">
        <v>26</v>
      </c>
      <c r="I266" s="5" t="s">
        <v>538</v>
      </c>
      <c r="J266" s="4">
        <v>42</v>
      </c>
      <c r="K266" t="str">
        <f t="shared" si="8"/>
        <v>pass</v>
      </c>
      <c r="L266" t="str">
        <f t="shared" si="9"/>
        <v>E</v>
      </c>
    </row>
    <row r="267" spans="1:12" x14ac:dyDescent="0.3">
      <c r="A267" s="1" t="s">
        <v>539</v>
      </c>
      <c r="B267" s="1" t="s">
        <v>73</v>
      </c>
      <c r="C267" s="1" t="s">
        <v>36</v>
      </c>
      <c r="D267" s="1" t="s">
        <v>31</v>
      </c>
      <c r="E267" s="4">
        <v>14</v>
      </c>
      <c r="F267" s="4">
        <v>12</v>
      </c>
      <c r="G267" s="1" t="s">
        <v>43</v>
      </c>
      <c r="H267" s="1" t="s">
        <v>61</v>
      </c>
      <c r="I267" s="5" t="s">
        <v>387</v>
      </c>
      <c r="J267" s="4">
        <v>37</v>
      </c>
      <c r="K267" t="str">
        <f t="shared" si="8"/>
        <v>fail</v>
      </c>
      <c r="L267" t="str">
        <f t="shared" si="9"/>
        <v>F</v>
      </c>
    </row>
    <row r="268" spans="1:12" x14ac:dyDescent="0.3">
      <c r="A268" s="1" t="s">
        <v>540</v>
      </c>
      <c r="B268" s="1" t="s">
        <v>51</v>
      </c>
      <c r="C268" s="1" t="s">
        <v>85</v>
      </c>
      <c r="D268" s="1" t="s">
        <v>13</v>
      </c>
      <c r="E268" s="4">
        <v>18</v>
      </c>
      <c r="F268" s="4">
        <v>10</v>
      </c>
      <c r="G268" s="1" t="s">
        <v>14</v>
      </c>
      <c r="H268" s="1" t="s">
        <v>46</v>
      </c>
      <c r="I268" s="5" t="s">
        <v>541</v>
      </c>
      <c r="J268" s="4">
        <v>63</v>
      </c>
      <c r="K268" t="str">
        <f t="shared" si="8"/>
        <v>pass</v>
      </c>
      <c r="L268" t="str">
        <f t="shared" si="9"/>
        <v>C</v>
      </c>
    </row>
    <row r="269" spans="1:12" x14ac:dyDescent="0.3">
      <c r="A269" s="1" t="s">
        <v>542</v>
      </c>
      <c r="B269" s="1" t="s">
        <v>84</v>
      </c>
      <c r="C269" s="1" t="s">
        <v>55</v>
      </c>
      <c r="D269" s="1" t="s">
        <v>31</v>
      </c>
      <c r="E269" s="4">
        <v>18</v>
      </c>
      <c r="F269" s="4">
        <v>12</v>
      </c>
      <c r="G269" s="1" t="s">
        <v>32</v>
      </c>
      <c r="H269" s="1" t="s">
        <v>40</v>
      </c>
      <c r="I269" s="5" t="s">
        <v>543</v>
      </c>
      <c r="J269" s="4">
        <v>51</v>
      </c>
      <c r="K269" t="str">
        <f t="shared" si="8"/>
        <v>pass</v>
      </c>
      <c r="L269" t="str">
        <f t="shared" si="9"/>
        <v>D</v>
      </c>
    </row>
    <row r="270" spans="1:12" x14ac:dyDescent="0.3">
      <c r="A270" s="1" t="s">
        <v>544</v>
      </c>
      <c r="B270" s="1" t="s">
        <v>68</v>
      </c>
      <c r="C270" s="1" t="s">
        <v>19</v>
      </c>
      <c r="D270" s="1" t="s">
        <v>31</v>
      </c>
      <c r="E270" s="4">
        <v>16</v>
      </c>
      <c r="F270" s="4">
        <v>9</v>
      </c>
      <c r="G270" s="1" t="s">
        <v>14</v>
      </c>
      <c r="H270" s="1" t="s">
        <v>40</v>
      </c>
      <c r="I270" s="5" t="s">
        <v>545</v>
      </c>
      <c r="J270" s="4">
        <v>37</v>
      </c>
      <c r="K270" t="str">
        <f t="shared" si="8"/>
        <v>fail</v>
      </c>
      <c r="L270" t="str">
        <f t="shared" si="9"/>
        <v>F</v>
      </c>
    </row>
    <row r="271" spans="1:12" x14ac:dyDescent="0.3">
      <c r="A271" s="1" t="s">
        <v>546</v>
      </c>
      <c r="B271" s="1" t="s">
        <v>51</v>
      </c>
      <c r="C271" s="1" t="s">
        <v>36</v>
      </c>
      <c r="D271" s="1" t="s">
        <v>31</v>
      </c>
      <c r="E271" s="4">
        <v>14</v>
      </c>
      <c r="F271" s="4">
        <v>9</v>
      </c>
      <c r="G271" s="1" t="s">
        <v>14</v>
      </c>
      <c r="H271" s="1" t="s">
        <v>46</v>
      </c>
      <c r="I271" s="5" t="s">
        <v>547</v>
      </c>
      <c r="J271" s="4">
        <v>81</v>
      </c>
      <c r="K271" t="str">
        <f t="shared" si="8"/>
        <v>pass</v>
      </c>
      <c r="L271" t="str">
        <f t="shared" si="9"/>
        <v>A</v>
      </c>
    </row>
    <row r="272" spans="1:12" x14ac:dyDescent="0.3">
      <c r="A272" s="1" t="s">
        <v>548</v>
      </c>
      <c r="B272" s="1" t="s">
        <v>51</v>
      </c>
      <c r="C272" s="1" t="s">
        <v>24</v>
      </c>
      <c r="D272" s="1" t="s">
        <v>31</v>
      </c>
      <c r="E272" s="4">
        <v>15</v>
      </c>
      <c r="F272" s="4">
        <v>11</v>
      </c>
      <c r="G272" s="1" t="s">
        <v>32</v>
      </c>
      <c r="H272" s="1" t="s">
        <v>40</v>
      </c>
      <c r="I272" s="5" t="s">
        <v>549</v>
      </c>
      <c r="J272" s="4">
        <v>90</v>
      </c>
      <c r="K272" t="str">
        <f t="shared" si="8"/>
        <v>pass</v>
      </c>
      <c r="L272" t="str">
        <f t="shared" si="9"/>
        <v>A+</v>
      </c>
    </row>
    <row r="273" spans="1:12" x14ac:dyDescent="0.3">
      <c r="A273" s="1" t="s">
        <v>550</v>
      </c>
      <c r="B273" s="1" t="s">
        <v>73</v>
      </c>
      <c r="C273" s="1" t="s">
        <v>19</v>
      </c>
      <c r="D273" s="1" t="s">
        <v>13</v>
      </c>
      <c r="E273" s="4">
        <v>14</v>
      </c>
      <c r="F273" s="4">
        <v>11</v>
      </c>
      <c r="G273" s="1" t="s">
        <v>32</v>
      </c>
      <c r="H273" s="1" t="s">
        <v>26</v>
      </c>
      <c r="I273" s="5" t="s">
        <v>551</v>
      </c>
      <c r="J273" s="4">
        <v>90</v>
      </c>
      <c r="K273" t="str">
        <f t="shared" si="8"/>
        <v>pass</v>
      </c>
      <c r="L273" t="str">
        <f t="shared" si="9"/>
        <v>A+</v>
      </c>
    </row>
    <row r="274" spans="1:12" x14ac:dyDescent="0.3">
      <c r="A274" s="1" t="s">
        <v>552</v>
      </c>
      <c r="B274" s="1" t="s">
        <v>35</v>
      </c>
      <c r="C274" s="1" t="s">
        <v>30</v>
      </c>
      <c r="D274" s="1" t="s">
        <v>13</v>
      </c>
      <c r="E274" s="4">
        <v>19</v>
      </c>
      <c r="F274" s="4">
        <v>11</v>
      </c>
      <c r="G274" s="1" t="s">
        <v>14</v>
      </c>
      <c r="H274" s="1" t="s">
        <v>76</v>
      </c>
      <c r="I274" s="5" t="s">
        <v>553</v>
      </c>
      <c r="J274" s="4">
        <v>81</v>
      </c>
      <c r="K274" t="str">
        <f t="shared" si="8"/>
        <v>pass</v>
      </c>
      <c r="L274" t="str">
        <f t="shared" si="9"/>
        <v>A</v>
      </c>
    </row>
    <row r="275" spans="1:12" x14ac:dyDescent="0.3">
      <c r="A275" s="1" t="s">
        <v>554</v>
      </c>
      <c r="B275" s="1" t="s">
        <v>29</v>
      </c>
      <c r="C275" s="1" t="s">
        <v>79</v>
      </c>
      <c r="D275" s="1" t="s">
        <v>13</v>
      </c>
      <c r="E275" s="4">
        <v>15</v>
      </c>
      <c r="F275" s="4">
        <v>9</v>
      </c>
      <c r="G275" s="1" t="s">
        <v>32</v>
      </c>
      <c r="H275" s="1" t="s">
        <v>76</v>
      </c>
      <c r="I275" s="5" t="s">
        <v>184</v>
      </c>
      <c r="J275" s="4">
        <v>53</v>
      </c>
      <c r="K275" t="str">
        <f t="shared" si="8"/>
        <v>pass</v>
      </c>
      <c r="L275" t="str">
        <f t="shared" si="9"/>
        <v>D</v>
      </c>
    </row>
    <row r="276" spans="1:12" x14ac:dyDescent="0.3">
      <c r="A276" s="1" t="s">
        <v>555</v>
      </c>
      <c r="B276" s="1" t="s">
        <v>73</v>
      </c>
      <c r="C276" s="1" t="s">
        <v>55</v>
      </c>
      <c r="D276" s="1" t="s">
        <v>31</v>
      </c>
      <c r="E276" s="4">
        <v>16</v>
      </c>
      <c r="F276" s="4">
        <v>9</v>
      </c>
      <c r="G276" s="1" t="s">
        <v>14</v>
      </c>
      <c r="H276" s="1" t="s">
        <v>76</v>
      </c>
      <c r="I276" s="5" t="s">
        <v>556</v>
      </c>
      <c r="J276" s="4">
        <v>93</v>
      </c>
      <c r="K276" t="str">
        <f t="shared" si="8"/>
        <v>pass</v>
      </c>
      <c r="L276" t="str">
        <f t="shared" si="9"/>
        <v>A+</v>
      </c>
    </row>
    <row r="277" spans="1:12" x14ac:dyDescent="0.3">
      <c r="A277" s="1" t="s">
        <v>557</v>
      </c>
      <c r="B277" s="1" t="s">
        <v>23</v>
      </c>
      <c r="C277" s="1" t="s">
        <v>96</v>
      </c>
      <c r="D277" s="1" t="s">
        <v>13</v>
      </c>
      <c r="E277" s="4">
        <v>18</v>
      </c>
      <c r="F277" s="4">
        <v>11</v>
      </c>
      <c r="G277" s="1" t="s">
        <v>25</v>
      </c>
      <c r="H277" s="1" t="s">
        <v>76</v>
      </c>
      <c r="I277" s="5" t="s">
        <v>182</v>
      </c>
      <c r="J277" s="4">
        <v>77</v>
      </c>
      <c r="K277" t="str">
        <f t="shared" si="8"/>
        <v>pass</v>
      </c>
      <c r="L277" t="str">
        <f t="shared" si="9"/>
        <v>B</v>
      </c>
    </row>
    <row r="278" spans="1:12" x14ac:dyDescent="0.3">
      <c r="A278" s="1" t="s">
        <v>558</v>
      </c>
      <c r="B278" s="1" t="s">
        <v>54</v>
      </c>
      <c r="C278" s="1" t="s">
        <v>30</v>
      </c>
      <c r="D278" s="1" t="s">
        <v>31</v>
      </c>
      <c r="E278" s="4">
        <v>19</v>
      </c>
      <c r="F278" s="4">
        <v>10</v>
      </c>
      <c r="G278" s="1" t="s">
        <v>43</v>
      </c>
      <c r="H278" s="1" t="s">
        <v>76</v>
      </c>
      <c r="I278" s="5" t="s">
        <v>559</v>
      </c>
      <c r="J278" s="4">
        <v>40</v>
      </c>
      <c r="K278" t="str">
        <f t="shared" si="8"/>
        <v>pass</v>
      </c>
      <c r="L278" t="str">
        <f t="shared" si="9"/>
        <v>E</v>
      </c>
    </row>
    <row r="279" spans="1:12" x14ac:dyDescent="0.3">
      <c r="A279" s="1" t="s">
        <v>560</v>
      </c>
      <c r="B279" s="1" t="s">
        <v>68</v>
      </c>
      <c r="C279" s="1" t="s">
        <v>85</v>
      </c>
      <c r="D279" s="1" t="s">
        <v>31</v>
      </c>
      <c r="E279" s="4">
        <v>15</v>
      </c>
      <c r="F279" s="4">
        <v>10</v>
      </c>
      <c r="G279" s="1" t="s">
        <v>43</v>
      </c>
      <c r="H279" s="1" t="s">
        <v>26</v>
      </c>
      <c r="I279" s="5" t="s">
        <v>561</v>
      </c>
      <c r="J279" s="4">
        <v>63</v>
      </c>
      <c r="K279" t="str">
        <f t="shared" si="8"/>
        <v>pass</v>
      </c>
      <c r="L279" t="str">
        <f t="shared" si="9"/>
        <v>C</v>
      </c>
    </row>
    <row r="280" spans="1:12" x14ac:dyDescent="0.3">
      <c r="A280" s="1" t="s">
        <v>562</v>
      </c>
      <c r="B280" s="1" t="s">
        <v>29</v>
      </c>
      <c r="C280" s="1" t="s">
        <v>79</v>
      </c>
      <c r="D280" s="1" t="s">
        <v>31</v>
      </c>
      <c r="E280" s="4">
        <v>15</v>
      </c>
      <c r="F280" s="4">
        <v>12</v>
      </c>
      <c r="G280" s="1" t="s">
        <v>32</v>
      </c>
      <c r="H280" s="1" t="s">
        <v>46</v>
      </c>
      <c r="I280" s="5" t="s">
        <v>121</v>
      </c>
      <c r="J280" s="4">
        <v>53</v>
      </c>
      <c r="K280" t="str">
        <f t="shared" si="8"/>
        <v>pass</v>
      </c>
      <c r="L280" t="str">
        <f t="shared" si="9"/>
        <v>D</v>
      </c>
    </row>
    <row r="281" spans="1:12" x14ac:dyDescent="0.3">
      <c r="A281" s="1" t="s">
        <v>563</v>
      </c>
      <c r="B281" s="1" t="s">
        <v>35</v>
      </c>
      <c r="C281" s="1" t="s">
        <v>55</v>
      </c>
      <c r="D281" s="1" t="s">
        <v>31</v>
      </c>
      <c r="E281" s="4">
        <v>19</v>
      </c>
      <c r="F281" s="4">
        <v>10</v>
      </c>
      <c r="G281" s="1" t="s">
        <v>43</v>
      </c>
      <c r="H281" s="1" t="s">
        <v>46</v>
      </c>
      <c r="I281" s="5" t="s">
        <v>564</v>
      </c>
      <c r="J281" s="4">
        <v>72</v>
      </c>
      <c r="K281" t="str">
        <f t="shared" si="8"/>
        <v>pass</v>
      </c>
      <c r="L281" t="str">
        <f t="shared" si="9"/>
        <v>B</v>
      </c>
    </row>
    <row r="282" spans="1:12" x14ac:dyDescent="0.3">
      <c r="A282" s="1" t="s">
        <v>565</v>
      </c>
      <c r="B282" s="1" t="s">
        <v>54</v>
      </c>
      <c r="C282" s="1" t="s">
        <v>79</v>
      </c>
      <c r="D282" s="1" t="s">
        <v>31</v>
      </c>
      <c r="E282" s="4">
        <v>20</v>
      </c>
      <c r="F282" s="4">
        <v>9</v>
      </c>
      <c r="G282" s="1" t="s">
        <v>43</v>
      </c>
      <c r="H282" s="1" t="s">
        <v>20</v>
      </c>
      <c r="I282" s="5" t="s">
        <v>566</v>
      </c>
      <c r="J282" s="4">
        <v>67</v>
      </c>
      <c r="K282" t="str">
        <f t="shared" si="8"/>
        <v>pass</v>
      </c>
      <c r="L282" t="str">
        <f t="shared" si="9"/>
        <v>C</v>
      </c>
    </row>
    <row r="283" spans="1:12" x14ac:dyDescent="0.3">
      <c r="A283" s="1" t="s">
        <v>567</v>
      </c>
      <c r="B283" s="1" t="s">
        <v>54</v>
      </c>
      <c r="C283" s="1" t="s">
        <v>12</v>
      </c>
      <c r="D283" s="1" t="s">
        <v>31</v>
      </c>
      <c r="E283" s="4">
        <v>18</v>
      </c>
      <c r="F283" s="4">
        <v>12</v>
      </c>
      <c r="G283" s="1" t="s">
        <v>25</v>
      </c>
      <c r="H283" s="1" t="s">
        <v>26</v>
      </c>
      <c r="I283" s="5" t="s">
        <v>568</v>
      </c>
      <c r="J283" s="4">
        <v>96</v>
      </c>
      <c r="K283" t="str">
        <f t="shared" si="8"/>
        <v>pass</v>
      </c>
      <c r="L283" t="str">
        <f t="shared" si="9"/>
        <v>A+</v>
      </c>
    </row>
    <row r="284" spans="1:12" x14ac:dyDescent="0.3">
      <c r="A284" s="1" t="s">
        <v>569</v>
      </c>
      <c r="B284" s="1" t="s">
        <v>54</v>
      </c>
      <c r="C284" s="1" t="s">
        <v>12</v>
      </c>
      <c r="D284" s="1" t="s">
        <v>31</v>
      </c>
      <c r="E284" s="4">
        <v>17</v>
      </c>
      <c r="F284" s="4">
        <v>9</v>
      </c>
      <c r="G284" s="1" t="s">
        <v>25</v>
      </c>
      <c r="H284" s="1" t="s">
        <v>37</v>
      </c>
      <c r="I284" s="5" t="s">
        <v>570</v>
      </c>
      <c r="J284" s="4">
        <v>100</v>
      </c>
      <c r="K284" t="str">
        <f t="shared" si="8"/>
        <v>pass</v>
      </c>
      <c r="L284" t="str">
        <f t="shared" si="9"/>
        <v>A+</v>
      </c>
    </row>
    <row r="285" spans="1:12" x14ac:dyDescent="0.3">
      <c r="A285" s="1" t="s">
        <v>571</v>
      </c>
      <c r="B285" s="1" t="s">
        <v>68</v>
      </c>
      <c r="C285" s="1" t="s">
        <v>12</v>
      </c>
      <c r="D285" s="1" t="s">
        <v>13</v>
      </c>
      <c r="E285" s="4">
        <v>16</v>
      </c>
      <c r="F285" s="4">
        <v>10</v>
      </c>
      <c r="G285" s="1" t="s">
        <v>25</v>
      </c>
      <c r="H285" s="1" t="s">
        <v>26</v>
      </c>
      <c r="I285" s="5" t="s">
        <v>434</v>
      </c>
      <c r="J285" s="4">
        <v>63</v>
      </c>
      <c r="K285" t="str">
        <f t="shared" si="8"/>
        <v>pass</v>
      </c>
      <c r="L285" t="str">
        <f t="shared" si="9"/>
        <v>C</v>
      </c>
    </row>
    <row r="286" spans="1:12" x14ac:dyDescent="0.3">
      <c r="A286" s="1" t="s">
        <v>572</v>
      </c>
      <c r="B286" s="1" t="s">
        <v>23</v>
      </c>
      <c r="C286" s="1" t="s">
        <v>19</v>
      </c>
      <c r="D286" s="1" t="s">
        <v>31</v>
      </c>
      <c r="E286" s="4">
        <v>19</v>
      </c>
      <c r="F286" s="4">
        <v>10</v>
      </c>
      <c r="G286" s="1" t="s">
        <v>32</v>
      </c>
      <c r="H286" s="1" t="s">
        <v>20</v>
      </c>
      <c r="I286" s="5" t="s">
        <v>400</v>
      </c>
      <c r="J286" s="4">
        <v>53</v>
      </c>
      <c r="K286" t="str">
        <f t="shared" si="8"/>
        <v>pass</v>
      </c>
      <c r="L286" t="str">
        <f t="shared" si="9"/>
        <v>D</v>
      </c>
    </row>
    <row r="287" spans="1:12" x14ac:dyDescent="0.3">
      <c r="A287" s="1" t="s">
        <v>573</v>
      </c>
      <c r="B287" s="1" t="s">
        <v>54</v>
      </c>
      <c r="C287" s="1" t="s">
        <v>24</v>
      </c>
      <c r="D287" s="1" t="s">
        <v>13</v>
      </c>
      <c r="E287" s="4">
        <v>19</v>
      </c>
      <c r="F287" s="4">
        <v>9</v>
      </c>
      <c r="G287" s="1" t="s">
        <v>43</v>
      </c>
      <c r="H287" s="1" t="s">
        <v>46</v>
      </c>
      <c r="I287" s="5" t="s">
        <v>574</v>
      </c>
      <c r="J287" s="4">
        <v>94</v>
      </c>
      <c r="K287" t="str">
        <f t="shared" si="8"/>
        <v>pass</v>
      </c>
      <c r="L287" t="str">
        <f t="shared" si="9"/>
        <v>A+</v>
      </c>
    </row>
    <row r="288" spans="1:12" x14ac:dyDescent="0.3">
      <c r="A288" s="1" t="s">
        <v>575</v>
      </c>
      <c r="B288" s="1" t="s">
        <v>35</v>
      </c>
      <c r="C288" s="1" t="s">
        <v>30</v>
      </c>
      <c r="D288" s="1" t="s">
        <v>31</v>
      </c>
      <c r="E288" s="4">
        <v>14</v>
      </c>
      <c r="F288" s="4">
        <v>10</v>
      </c>
      <c r="G288" s="1" t="s">
        <v>32</v>
      </c>
      <c r="H288" s="1" t="s">
        <v>40</v>
      </c>
      <c r="I288" s="5" t="s">
        <v>576</v>
      </c>
      <c r="J288" s="4">
        <v>50</v>
      </c>
      <c r="K288" t="str">
        <f t="shared" si="8"/>
        <v>pass</v>
      </c>
      <c r="L288" t="str">
        <f t="shared" si="9"/>
        <v>D</v>
      </c>
    </row>
    <row r="289" spans="1:12" x14ac:dyDescent="0.3">
      <c r="A289" s="1" t="s">
        <v>577</v>
      </c>
      <c r="B289" s="1" t="s">
        <v>84</v>
      </c>
      <c r="C289" s="1" t="s">
        <v>79</v>
      </c>
      <c r="D289" s="1" t="s">
        <v>31</v>
      </c>
      <c r="E289" s="4">
        <v>15</v>
      </c>
      <c r="F289" s="4">
        <v>11</v>
      </c>
      <c r="G289" s="1" t="s">
        <v>25</v>
      </c>
      <c r="H289" s="1" t="s">
        <v>40</v>
      </c>
      <c r="I289" s="5" t="s">
        <v>578</v>
      </c>
      <c r="J289" s="4">
        <v>72</v>
      </c>
      <c r="K289" t="str">
        <f t="shared" si="8"/>
        <v>pass</v>
      </c>
      <c r="L289" t="str">
        <f t="shared" si="9"/>
        <v>B</v>
      </c>
    </row>
    <row r="290" spans="1:12" x14ac:dyDescent="0.3">
      <c r="A290" s="1" t="s">
        <v>579</v>
      </c>
      <c r="B290" s="1" t="s">
        <v>51</v>
      </c>
      <c r="C290" s="1" t="s">
        <v>55</v>
      </c>
      <c r="D290" s="1" t="s">
        <v>31</v>
      </c>
      <c r="E290" s="4">
        <v>20</v>
      </c>
      <c r="F290" s="4">
        <v>9</v>
      </c>
      <c r="G290" s="1" t="s">
        <v>25</v>
      </c>
      <c r="H290" s="1" t="s">
        <v>26</v>
      </c>
      <c r="I290" s="5" t="s">
        <v>212</v>
      </c>
      <c r="J290" s="4">
        <v>35</v>
      </c>
      <c r="K290" t="str">
        <f t="shared" si="8"/>
        <v>fail</v>
      </c>
      <c r="L290" t="str">
        <f t="shared" si="9"/>
        <v>F</v>
      </c>
    </row>
    <row r="291" spans="1:12" x14ac:dyDescent="0.3">
      <c r="A291" s="1" t="s">
        <v>580</v>
      </c>
      <c r="B291" s="1" t="s">
        <v>29</v>
      </c>
      <c r="C291" s="1" t="s">
        <v>36</v>
      </c>
      <c r="D291" s="1" t="s">
        <v>13</v>
      </c>
      <c r="E291" s="4">
        <v>17</v>
      </c>
      <c r="F291" s="4">
        <v>10</v>
      </c>
      <c r="G291" s="1" t="s">
        <v>32</v>
      </c>
      <c r="H291" s="1" t="s">
        <v>15</v>
      </c>
      <c r="I291" s="5" t="s">
        <v>581</v>
      </c>
      <c r="J291" s="4">
        <v>37</v>
      </c>
      <c r="K291" t="str">
        <f t="shared" si="8"/>
        <v>fail</v>
      </c>
      <c r="L291" t="str">
        <f t="shared" si="9"/>
        <v>F</v>
      </c>
    </row>
    <row r="292" spans="1:12" x14ac:dyDescent="0.3">
      <c r="A292" s="1" t="s">
        <v>582</v>
      </c>
      <c r="B292" s="1" t="s">
        <v>51</v>
      </c>
      <c r="C292" s="1" t="s">
        <v>55</v>
      </c>
      <c r="D292" s="1" t="s">
        <v>31</v>
      </c>
      <c r="E292" s="4">
        <v>14</v>
      </c>
      <c r="F292" s="4">
        <v>11</v>
      </c>
      <c r="G292" s="1" t="s">
        <v>25</v>
      </c>
      <c r="H292" s="1" t="s">
        <v>37</v>
      </c>
      <c r="I292" s="5" t="s">
        <v>583</v>
      </c>
      <c r="J292" s="4">
        <v>47</v>
      </c>
      <c r="K292" t="str">
        <f t="shared" si="8"/>
        <v>pass</v>
      </c>
      <c r="L292" t="str">
        <f t="shared" si="9"/>
        <v>E</v>
      </c>
    </row>
    <row r="293" spans="1:12" x14ac:dyDescent="0.3">
      <c r="A293" s="1" t="s">
        <v>584</v>
      </c>
      <c r="B293" s="1" t="s">
        <v>68</v>
      </c>
      <c r="C293" s="1" t="s">
        <v>55</v>
      </c>
      <c r="D293" s="1" t="s">
        <v>31</v>
      </c>
      <c r="E293" s="4">
        <v>16</v>
      </c>
      <c r="F293" s="4">
        <v>9</v>
      </c>
      <c r="G293" s="1" t="s">
        <v>14</v>
      </c>
      <c r="H293" s="1" t="s">
        <v>61</v>
      </c>
      <c r="I293" s="5" t="s">
        <v>585</v>
      </c>
      <c r="J293" s="4">
        <v>59</v>
      </c>
      <c r="K293" t="str">
        <f t="shared" si="8"/>
        <v>pass</v>
      </c>
      <c r="L293" t="str">
        <f t="shared" si="9"/>
        <v>D</v>
      </c>
    </row>
    <row r="294" spans="1:12" x14ac:dyDescent="0.3">
      <c r="A294" s="1" t="s">
        <v>586</v>
      </c>
      <c r="B294" s="1" t="s">
        <v>11</v>
      </c>
      <c r="C294" s="1" t="s">
        <v>24</v>
      </c>
      <c r="D294" s="1" t="s">
        <v>31</v>
      </c>
      <c r="E294" s="4">
        <v>17</v>
      </c>
      <c r="F294" s="4">
        <v>11</v>
      </c>
      <c r="G294" s="1" t="s">
        <v>43</v>
      </c>
      <c r="H294" s="1" t="s">
        <v>61</v>
      </c>
      <c r="I294" s="5" t="s">
        <v>587</v>
      </c>
      <c r="J294" s="4">
        <v>73</v>
      </c>
      <c r="K294" t="str">
        <f t="shared" si="8"/>
        <v>pass</v>
      </c>
      <c r="L294" t="str">
        <f t="shared" si="9"/>
        <v>B</v>
      </c>
    </row>
    <row r="295" spans="1:12" x14ac:dyDescent="0.3">
      <c r="A295" s="1" t="s">
        <v>588</v>
      </c>
      <c r="B295" s="1" t="s">
        <v>68</v>
      </c>
      <c r="C295" s="1" t="s">
        <v>85</v>
      </c>
      <c r="D295" s="1" t="s">
        <v>31</v>
      </c>
      <c r="E295" s="4">
        <v>17</v>
      </c>
      <c r="F295" s="4">
        <v>9</v>
      </c>
      <c r="G295" s="1" t="s">
        <v>25</v>
      </c>
      <c r="H295" s="1" t="s">
        <v>61</v>
      </c>
      <c r="I295" s="5" t="s">
        <v>589</v>
      </c>
      <c r="J295" s="4">
        <v>45</v>
      </c>
      <c r="K295" t="str">
        <f t="shared" si="8"/>
        <v>pass</v>
      </c>
      <c r="L295" t="str">
        <f t="shared" si="9"/>
        <v>E</v>
      </c>
    </row>
    <row r="296" spans="1:12" x14ac:dyDescent="0.3">
      <c r="A296" s="1" t="s">
        <v>590</v>
      </c>
      <c r="B296" s="1" t="s">
        <v>35</v>
      </c>
      <c r="C296" s="1" t="s">
        <v>12</v>
      </c>
      <c r="D296" s="1" t="s">
        <v>13</v>
      </c>
      <c r="E296" s="4">
        <v>14</v>
      </c>
      <c r="F296" s="4">
        <v>11</v>
      </c>
      <c r="G296" s="1" t="s">
        <v>25</v>
      </c>
      <c r="H296" s="1" t="s">
        <v>20</v>
      </c>
      <c r="I296" s="5" t="s">
        <v>591</v>
      </c>
      <c r="J296" s="4">
        <v>64</v>
      </c>
      <c r="K296" t="str">
        <f t="shared" si="8"/>
        <v>pass</v>
      </c>
      <c r="L296" t="str">
        <f t="shared" si="9"/>
        <v>C</v>
      </c>
    </row>
    <row r="297" spans="1:12" x14ac:dyDescent="0.3">
      <c r="A297" s="1" t="s">
        <v>592</v>
      </c>
      <c r="B297" s="1" t="s">
        <v>51</v>
      </c>
      <c r="C297" s="1" t="s">
        <v>19</v>
      </c>
      <c r="D297" s="1" t="s">
        <v>31</v>
      </c>
      <c r="E297" s="4">
        <v>18</v>
      </c>
      <c r="F297" s="4">
        <v>10</v>
      </c>
      <c r="G297" s="1" t="s">
        <v>43</v>
      </c>
      <c r="H297" s="1" t="s">
        <v>76</v>
      </c>
      <c r="I297" s="5" t="s">
        <v>593</v>
      </c>
      <c r="J297" s="4">
        <v>98</v>
      </c>
      <c r="K297" t="str">
        <f t="shared" si="8"/>
        <v>pass</v>
      </c>
      <c r="L297" t="str">
        <f t="shared" si="9"/>
        <v>A+</v>
      </c>
    </row>
    <row r="298" spans="1:12" x14ac:dyDescent="0.3">
      <c r="A298" s="1" t="s">
        <v>594</v>
      </c>
      <c r="B298" s="1" t="s">
        <v>54</v>
      </c>
      <c r="C298" s="1" t="s">
        <v>55</v>
      </c>
      <c r="D298" s="1" t="s">
        <v>13</v>
      </c>
      <c r="E298" s="4">
        <v>20</v>
      </c>
      <c r="F298" s="4">
        <v>11</v>
      </c>
      <c r="G298" s="1" t="s">
        <v>43</v>
      </c>
      <c r="H298" s="1" t="s">
        <v>40</v>
      </c>
      <c r="I298" s="5" t="s">
        <v>595</v>
      </c>
      <c r="J298" s="4">
        <v>84</v>
      </c>
      <c r="K298" t="str">
        <f t="shared" si="8"/>
        <v>pass</v>
      </c>
      <c r="L298" t="str">
        <f t="shared" si="9"/>
        <v>A</v>
      </c>
    </row>
    <row r="299" spans="1:12" x14ac:dyDescent="0.3">
      <c r="A299" s="1" t="s">
        <v>596</v>
      </c>
      <c r="B299" s="1" t="s">
        <v>11</v>
      </c>
      <c r="C299" s="1" t="s">
        <v>30</v>
      </c>
      <c r="D299" s="1" t="s">
        <v>13</v>
      </c>
      <c r="E299" s="4">
        <v>14</v>
      </c>
      <c r="F299" s="4">
        <v>9</v>
      </c>
      <c r="G299" s="1" t="s">
        <v>25</v>
      </c>
      <c r="H299" s="1" t="s">
        <v>76</v>
      </c>
      <c r="I299" s="5" t="s">
        <v>447</v>
      </c>
      <c r="J299" s="4">
        <v>62</v>
      </c>
      <c r="K299" t="str">
        <f t="shared" si="8"/>
        <v>pass</v>
      </c>
      <c r="L299" t="str">
        <f t="shared" si="9"/>
        <v>C</v>
      </c>
    </row>
    <row r="300" spans="1:12" x14ac:dyDescent="0.3">
      <c r="A300" s="1" t="s">
        <v>597</v>
      </c>
      <c r="B300" s="1" t="s">
        <v>18</v>
      </c>
      <c r="C300" s="1" t="s">
        <v>85</v>
      </c>
      <c r="D300" s="1" t="s">
        <v>31</v>
      </c>
      <c r="E300" s="4">
        <v>18</v>
      </c>
      <c r="F300" s="4">
        <v>11</v>
      </c>
      <c r="G300" s="1" t="s">
        <v>43</v>
      </c>
      <c r="H300" s="1" t="s">
        <v>40</v>
      </c>
      <c r="I300" s="5" t="s">
        <v>598</v>
      </c>
      <c r="J300" s="4">
        <v>55</v>
      </c>
      <c r="K300" t="str">
        <f t="shared" si="8"/>
        <v>pass</v>
      </c>
      <c r="L300" t="str">
        <f t="shared" si="9"/>
        <v>D</v>
      </c>
    </row>
    <row r="301" spans="1:12" x14ac:dyDescent="0.3">
      <c r="A301" s="1" t="s">
        <v>599</v>
      </c>
      <c r="B301" s="1" t="s">
        <v>84</v>
      </c>
      <c r="C301" s="1" t="s">
        <v>30</v>
      </c>
      <c r="D301" s="1" t="s">
        <v>13</v>
      </c>
      <c r="E301" s="4">
        <v>17</v>
      </c>
      <c r="F301" s="4">
        <v>11</v>
      </c>
      <c r="G301" s="1" t="s">
        <v>43</v>
      </c>
      <c r="H301" s="1" t="s">
        <v>15</v>
      </c>
      <c r="I301" s="5" t="s">
        <v>600</v>
      </c>
      <c r="J301" s="4">
        <v>73</v>
      </c>
      <c r="K301" t="str">
        <f t="shared" si="8"/>
        <v>pass</v>
      </c>
      <c r="L301" t="str">
        <f t="shared" si="9"/>
        <v>B</v>
      </c>
    </row>
    <row r="302" spans="1:12" x14ac:dyDescent="0.3">
      <c r="A302" s="1" t="s">
        <v>601</v>
      </c>
      <c r="B302" s="1" t="s">
        <v>73</v>
      </c>
      <c r="C302" s="1" t="s">
        <v>55</v>
      </c>
      <c r="D302" s="1" t="s">
        <v>31</v>
      </c>
      <c r="E302" s="4">
        <v>17</v>
      </c>
      <c r="F302" s="4">
        <v>11</v>
      </c>
      <c r="G302" s="1" t="s">
        <v>43</v>
      </c>
      <c r="H302" s="1" t="s">
        <v>61</v>
      </c>
      <c r="I302" s="5" t="s">
        <v>502</v>
      </c>
      <c r="J302" s="4">
        <v>76</v>
      </c>
      <c r="K302" t="str">
        <f t="shared" si="8"/>
        <v>pass</v>
      </c>
      <c r="L302" t="str">
        <f t="shared" si="9"/>
        <v>B</v>
      </c>
    </row>
    <row r="303" spans="1:12" x14ac:dyDescent="0.3">
      <c r="A303" s="1" t="s">
        <v>602</v>
      </c>
      <c r="B303" s="1" t="s">
        <v>23</v>
      </c>
      <c r="C303" s="1" t="s">
        <v>19</v>
      </c>
      <c r="D303" s="1" t="s">
        <v>13</v>
      </c>
      <c r="E303" s="4">
        <v>15</v>
      </c>
      <c r="F303" s="4">
        <v>12</v>
      </c>
      <c r="G303" s="1" t="s">
        <v>14</v>
      </c>
      <c r="H303" s="1" t="s">
        <v>61</v>
      </c>
      <c r="I303" s="5" t="s">
        <v>603</v>
      </c>
      <c r="J303" s="4">
        <v>54</v>
      </c>
      <c r="K303" t="str">
        <f t="shared" si="8"/>
        <v>pass</v>
      </c>
      <c r="L303" t="str">
        <f t="shared" si="9"/>
        <v>D</v>
      </c>
    </row>
    <row r="304" spans="1:12" x14ac:dyDescent="0.3">
      <c r="A304" s="1" t="s">
        <v>604</v>
      </c>
      <c r="B304" s="1" t="s">
        <v>51</v>
      </c>
      <c r="C304" s="1" t="s">
        <v>85</v>
      </c>
      <c r="D304" s="1" t="s">
        <v>31</v>
      </c>
      <c r="E304" s="4">
        <v>20</v>
      </c>
      <c r="F304" s="4">
        <v>12</v>
      </c>
      <c r="G304" s="1" t="s">
        <v>25</v>
      </c>
      <c r="H304" s="1" t="s">
        <v>26</v>
      </c>
      <c r="I304" s="5" t="s">
        <v>299</v>
      </c>
      <c r="J304" s="4">
        <v>69</v>
      </c>
      <c r="K304" t="str">
        <f t="shared" si="8"/>
        <v>pass</v>
      </c>
      <c r="L304" t="str">
        <f t="shared" si="9"/>
        <v>C</v>
      </c>
    </row>
    <row r="305" spans="1:12" x14ac:dyDescent="0.3">
      <c r="A305" s="1" t="s">
        <v>605</v>
      </c>
      <c r="B305" s="1" t="s">
        <v>54</v>
      </c>
      <c r="C305" s="1" t="s">
        <v>19</v>
      </c>
      <c r="D305" s="1" t="s">
        <v>31</v>
      </c>
      <c r="E305" s="4">
        <v>20</v>
      </c>
      <c r="F305" s="4">
        <v>10</v>
      </c>
      <c r="G305" s="1" t="s">
        <v>43</v>
      </c>
      <c r="H305" s="1" t="s">
        <v>37</v>
      </c>
      <c r="I305" s="5" t="s">
        <v>606</v>
      </c>
      <c r="J305" s="4">
        <v>99</v>
      </c>
      <c r="K305" t="str">
        <f t="shared" si="8"/>
        <v>pass</v>
      </c>
      <c r="L305" t="str">
        <f t="shared" si="9"/>
        <v>A+</v>
      </c>
    </row>
    <row r="306" spans="1:12" x14ac:dyDescent="0.3">
      <c r="A306" s="1" t="s">
        <v>607</v>
      </c>
      <c r="B306" s="1" t="s">
        <v>68</v>
      </c>
      <c r="C306" s="1" t="s">
        <v>55</v>
      </c>
      <c r="D306" s="1" t="s">
        <v>13</v>
      </c>
      <c r="E306" s="4">
        <v>19</v>
      </c>
      <c r="F306" s="4">
        <v>11</v>
      </c>
      <c r="G306" s="1" t="s">
        <v>25</v>
      </c>
      <c r="H306" s="1" t="s">
        <v>20</v>
      </c>
      <c r="I306" s="5" t="s">
        <v>608</v>
      </c>
      <c r="J306" s="4">
        <v>43</v>
      </c>
      <c r="K306" t="str">
        <f t="shared" si="8"/>
        <v>pass</v>
      </c>
      <c r="L306" t="str">
        <f t="shared" si="9"/>
        <v>E</v>
      </c>
    </row>
    <row r="307" spans="1:12" x14ac:dyDescent="0.3">
      <c r="A307" s="1" t="s">
        <v>609</v>
      </c>
      <c r="B307" s="1" t="s">
        <v>68</v>
      </c>
      <c r="C307" s="1" t="s">
        <v>58</v>
      </c>
      <c r="D307" s="1" t="s">
        <v>13</v>
      </c>
      <c r="E307" s="4">
        <v>14</v>
      </c>
      <c r="F307" s="4">
        <v>10</v>
      </c>
      <c r="G307" s="1" t="s">
        <v>25</v>
      </c>
      <c r="H307" s="1" t="s">
        <v>37</v>
      </c>
      <c r="I307" s="5" t="s">
        <v>610</v>
      </c>
      <c r="J307" s="4">
        <v>90</v>
      </c>
      <c r="K307" t="str">
        <f t="shared" si="8"/>
        <v>pass</v>
      </c>
      <c r="L307" t="str">
        <f t="shared" si="9"/>
        <v>A+</v>
      </c>
    </row>
    <row r="308" spans="1:12" x14ac:dyDescent="0.3">
      <c r="A308" s="1" t="s">
        <v>611</v>
      </c>
      <c r="B308" s="1" t="s">
        <v>18</v>
      </c>
      <c r="C308" s="1" t="s">
        <v>24</v>
      </c>
      <c r="D308" s="1" t="s">
        <v>31</v>
      </c>
      <c r="E308" s="4">
        <v>19</v>
      </c>
      <c r="F308" s="4">
        <v>12</v>
      </c>
      <c r="G308" s="1" t="s">
        <v>43</v>
      </c>
      <c r="H308" s="1" t="s">
        <v>26</v>
      </c>
      <c r="I308" s="5" t="s">
        <v>612</v>
      </c>
      <c r="J308" s="4">
        <v>82</v>
      </c>
      <c r="K308" t="str">
        <f t="shared" si="8"/>
        <v>pass</v>
      </c>
      <c r="L308" t="str">
        <f t="shared" si="9"/>
        <v>A</v>
      </c>
    </row>
    <row r="309" spans="1:12" x14ac:dyDescent="0.3">
      <c r="A309" s="1" t="s">
        <v>613</v>
      </c>
      <c r="B309" s="1" t="s">
        <v>68</v>
      </c>
      <c r="C309" s="1" t="s">
        <v>85</v>
      </c>
      <c r="D309" s="1" t="s">
        <v>31</v>
      </c>
      <c r="E309" s="4">
        <v>15</v>
      </c>
      <c r="F309" s="4">
        <v>9</v>
      </c>
      <c r="G309" s="1" t="s">
        <v>32</v>
      </c>
      <c r="H309" s="1" t="s">
        <v>37</v>
      </c>
      <c r="I309" s="5" t="s">
        <v>614</v>
      </c>
      <c r="J309" s="4">
        <v>39</v>
      </c>
      <c r="K309" t="str">
        <f t="shared" si="8"/>
        <v>fail</v>
      </c>
      <c r="L309" t="str">
        <f t="shared" si="9"/>
        <v>F</v>
      </c>
    </row>
    <row r="310" spans="1:12" x14ac:dyDescent="0.3">
      <c r="A310" s="1" t="s">
        <v>615</v>
      </c>
      <c r="B310" s="1" t="s">
        <v>18</v>
      </c>
      <c r="C310" s="1" t="s">
        <v>12</v>
      </c>
      <c r="D310" s="1" t="s">
        <v>13</v>
      </c>
      <c r="E310" s="4">
        <v>17</v>
      </c>
      <c r="F310" s="4">
        <v>12</v>
      </c>
      <c r="G310" s="1" t="s">
        <v>14</v>
      </c>
      <c r="H310" s="1" t="s">
        <v>61</v>
      </c>
      <c r="I310" s="5" t="s">
        <v>616</v>
      </c>
      <c r="J310" s="4">
        <v>99</v>
      </c>
      <c r="K310" t="str">
        <f t="shared" si="8"/>
        <v>pass</v>
      </c>
      <c r="L310" t="str">
        <f t="shared" si="9"/>
        <v>A+</v>
      </c>
    </row>
    <row r="311" spans="1:12" x14ac:dyDescent="0.3">
      <c r="A311" s="1" t="s">
        <v>617</v>
      </c>
      <c r="B311" s="1" t="s">
        <v>35</v>
      </c>
      <c r="C311" s="1" t="s">
        <v>12</v>
      </c>
      <c r="D311" s="1" t="s">
        <v>13</v>
      </c>
      <c r="E311" s="4">
        <v>15</v>
      </c>
      <c r="F311" s="4">
        <v>9</v>
      </c>
      <c r="G311" s="1" t="s">
        <v>25</v>
      </c>
      <c r="H311" s="1" t="s">
        <v>46</v>
      </c>
      <c r="I311" s="5" t="s">
        <v>155</v>
      </c>
      <c r="J311" s="4">
        <v>85</v>
      </c>
      <c r="K311" t="str">
        <f t="shared" si="8"/>
        <v>pass</v>
      </c>
      <c r="L311" t="str">
        <f t="shared" si="9"/>
        <v>A</v>
      </c>
    </row>
    <row r="312" spans="1:12" x14ac:dyDescent="0.3">
      <c r="A312" s="1" t="s">
        <v>618</v>
      </c>
      <c r="B312" s="1" t="s">
        <v>73</v>
      </c>
      <c r="C312" s="1" t="s">
        <v>85</v>
      </c>
      <c r="D312" s="1" t="s">
        <v>31</v>
      </c>
      <c r="E312" s="4">
        <v>14</v>
      </c>
      <c r="F312" s="4">
        <v>11</v>
      </c>
      <c r="G312" s="1" t="s">
        <v>25</v>
      </c>
      <c r="H312" s="1" t="s">
        <v>20</v>
      </c>
      <c r="I312" s="5" t="s">
        <v>619</v>
      </c>
      <c r="J312" s="4">
        <v>67</v>
      </c>
      <c r="K312" t="str">
        <f t="shared" si="8"/>
        <v>pass</v>
      </c>
      <c r="L312" t="str">
        <f t="shared" si="9"/>
        <v>C</v>
      </c>
    </row>
    <row r="313" spans="1:12" x14ac:dyDescent="0.3">
      <c r="A313" s="1" t="s">
        <v>620</v>
      </c>
      <c r="B313" s="1" t="s">
        <v>84</v>
      </c>
      <c r="C313" s="1" t="s">
        <v>24</v>
      </c>
      <c r="D313" s="1" t="s">
        <v>31</v>
      </c>
      <c r="E313" s="4">
        <v>19</v>
      </c>
      <c r="F313" s="4">
        <v>12</v>
      </c>
      <c r="G313" s="1" t="s">
        <v>14</v>
      </c>
      <c r="H313" s="1" t="s">
        <v>61</v>
      </c>
      <c r="I313" s="5" t="s">
        <v>621</v>
      </c>
      <c r="J313" s="4">
        <v>77</v>
      </c>
      <c r="K313" t="str">
        <f t="shared" si="8"/>
        <v>pass</v>
      </c>
      <c r="L313" t="str">
        <f t="shared" si="9"/>
        <v>B</v>
      </c>
    </row>
    <row r="314" spans="1:12" x14ac:dyDescent="0.3">
      <c r="A314" s="1" t="s">
        <v>622</v>
      </c>
      <c r="B314" s="1" t="s">
        <v>23</v>
      </c>
      <c r="C314" s="1" t="s">
        <v>96</v>
      </c>
      <c r="D314" s="1" t="s">
        <v>31</v>
      </c>
      <c r="E314" s="4">
        <v>17</v>
      </c>
      <c r="F314" s="4">
        <v>12</v>
      </c>
      <c r="G314" s="1" t="s">
        <v>43</v>
      </c>
      <c r="H314" s="1" t="s">
        <v>46</v>
      </c>
      <c r="I314" s="5" t="s">
        <v>170</v>
      </c>
      <c r="J314" s="4">
        <v>62</v>
      </c>
      <c r="K314" t="str">
        <f t="shared" si="8"/>
        <v>pass</v>
      </c>
      <c r="L314" t="str">
        <f t="shared" si="9"/>
        <v>C</v>
      </c>
    </row>
    <row r="315" spans="1:12" x14ac:dyDescent="0.3">
      <c r="A315" s="1" t="s">
        <v>623</v>
      </c>
      <c r="B315" s="1" t="s">
        <v>29</v>
      </c>
      <c r="C315" s="1" t="s">
        <v>12</v>
      </c>
      <c r="D315" s="1" t="s">
        <v>31</v>
      </c>
      <c r="E315" s="4">
        <v>19</v>
      </c>
      <c r="F315" s="4">
        <v>11</v>
      </c>
      <c r="G315" s="1" t="s">
        <v>25</v>
      </c>
      <c r="H315" s="1" t="s">
        <v>76</v>
      </c>
      <c r="I315" s="5" t="s">
        <v>624</v>
      </c>
      <c r="J315" s="4">
        <v>49</v>
      </c>
      <c r="K315" t="str">
        <f t="shared" si="8"/>
        <v>pass</v>
      </c>
      <c r="L315" t="str">
        <f t="shared" si="9"/>
        <v>E</v>
      </c>
    </row>
    <row r="316" spans="1:12" x14ac:dyDescent="0.3">
      <c r="A316" s="1" t="s">
        <v>625</v>
      </c>
      <c r="B316" s="1" t="s">
        <v>68</v>
      </c>
      <c r="C316" s="1" t="s">
        <v>96</v>
      </c>
      <c r="D316" s="1" t="s">
        <v>31</v>
      </c>
      <c r="E316" s="4">
        <v>19</v>
      </c>
      <c r="F316" s="4">
        <v>12</v>
      </c>
      <c r="G316" s="1" t="s">
        <v>32</v>
      </c>
      <c r="H316" s="1" t="s">
        <v>15</v>
      </c>
      <c r="I316" s="5" t="s">
        <v>626</v>
      </c>
      <c r="J316" s="4">
        <v>86</v>
      </c>
      <c r="K316" t="str">
        <f t="shared" si="8"/>
        <v>pass</v>
      </c>
      <c r="L316" t="str">
        <f t="shared" si="9"/>
        <v>A</v>
      </c>
    </row>
    <row r="317" spans="1:12" x14ac:dyDescent="0.3">
      <c r="A317" s="1" t="s">
        <v>627</v>
      </c>
      <c r="B317" s="1" t="s">
        <v>35</v>
      </c>
      <c r="C317" s="1" t="s">
        <v>85</v>
      </c>
      <c r="D317" s="1" t="s">
        <v>31</v>
      </c>
      <c r="E317" s="4">
        <v>16</v>
      </c>
      <c r="F317" s="4">
        <v>9</v>
      </c>
      <c r="G317" s="1" t="s">
        <v>43</v>
      </c>
      <c r="H317" s="1" t="s">
        <v>20</v>
      </c>
      <c r="I317" s="5" t="s">
        <v>628</v>
      </c>
      <c r="J317" s="4">
        <v>84</v>
      </c>
      <c r="K317" t="str">
        <f t="shared" si="8"/>
        <v>pass</v>
      </c>
      <c r="L317" t="str">
        <f t="shared" si="9"/>
        <v>A</v>
      </c>
    </row>
    <row r="318" spans="1:12" x14ac:dyDescent="0.3">
      <c r="A318" s="1" t="s">
        <v>629</v>
      </c>
      <c r="B318" s="1" t="s">
        <v>35</v>
      </c>
      <c r="C318" s="1" t="s">
        <v>58</v>
      </c>
      <c r="D318" s="1" t="s">
        <v>13</v>
      </c>
      <c r="E318" s="4">
        <v>18</v>
      </c>
      <c r="F318" s="4">
        <v>9</v>
      </c>
      <c r="G318" s="1" t="s">
        <v>25</v>
      </c>
      <c r="H318" s="1" t="s">
        <v>76</v>
      </c>
      <c r="I318" s="5" t="s">
        <v>105</v>
      </c>
      <c r="J318" s="4">
        <v>82</v>
      </c>
      <c r="K318" t="str">
        <f t="shared" si="8"/>
        <v>pass</v>
      </c>
      <c r="L318" t="str">
        <f t="shared" si="9"/>
        <v>A</v>
      </c>
    </row>
    <row r="319" spans="1:12" x14ac:dyDescent="0.3">
      <c r="A319" s="1" t="s">
        <v>630</v>
      </c>
      <c r="B319" s="1" t="s">
        <v>84</v>
      </c>
      <c r="C319" s="1" t="s">
        <v>96</v>
      </c>
      <c r="D319" s="1" t="s">
        <v>31</v>
      </c>
      <c r="E319" s="4">
        <v>19</v>
      </c>
      <c r="F319" s="4">
        <v>10</v>
      </c>
      <c r="G319" s="1" t="s">
        <v>43</v>
      </c>
      <c r="H319" s="1" t="s">
        <v>20</v>
      </c>
      <c r="I319" s="5" t="s">
        <v>631</v>
      </c>
      <c r="J319" s="4">
        <v>63</v>
      </c>
      <c r="K319" t="str">
        <f t="shared" si="8"/>
        <v>pass</v>
      </c>
      <c r="L319" t="str">
        <f t="shared" si="9"/>
        <v>C</v>
      </c>
    </row>
    <row r="320" spans="1:12" x14ac:dyDescent="0.3">
      <c r="A320" s="1" t="s">
        <v>632</v>
      </c>
      <c r="B320" s="1" t="s">
        <v>54</v>
      </c>
      <c r="C320" s="1" t="s">
        <v>55</v>
      </c>
      <c r="D320" s="1" t="s">
        <v>31</v>
      </c>
      <c r="E320" s="4">
        <v>19</v>
      </c>
      <c r="F320" s="4">
        <v>11</v>
      </c>
      <c r="G320" s="1" t="s">
        <v>25</v>
      </c>
      <c r="H320" s="1" t="s">
        <v>61</v>
      </c>
      <c r="I320" s="5" t="s">
        <v>633</v>
      </c>
      <c r="J320" s="4">
        <v>82</v>
      </c>
      <c r="K320" t="str">
        <f t="shared" si="8"/>
        <v>pass</v>
      </c>
      <c r="L320" t="str">
        <f t="shared" si="9"/>
        <v>A</v>
      </c>
    </row>
    <row r="321" spans="1:12" x14ac:dyDescent="0.3">
      <c r="A321" s="1" t="s">
        <v>634</v>
      </c>
      <c r="B321" s="1" t="s">
        <v>54</v>
      </c>
      <c r="C321" s="1" t="s">
        <v>30</v>
      </c>
      <c r="D321" s="1" t="s">
        <v>31</v>
      </c>
      <c r="E321" s="4">
        <v>15</v>
      </c>
      <c r="F321" s="4">
        <v>9</v>
      </c>
      <c r="G321" s="1" t="s">
        <v>25</v>
      </c>
      <c r="H321" s="1" t="s">
        <v>40</v>
      </c>
      <c r="I321" s="5" t="s">
        <v>635</v>
      </c>
      <c r="J321" s="4">
        <v>53</v>
      </c>
      <c r="K321" t="str">
        <f t="shared" si="8"/>
        <v>pass</v>
      </c>
      <c r="L321" t="str">
        <f t="shared" si="9"/>
        <v>D</v>
      </c>
    </row>
    <row r="322" spans="1:12" x14ac:dyDescent="0.3">
      <c r="A322" s="1" t="s">
        <v>636</v>
      </c>
      <c r="B322" s="1" t="s">
        <v>11</v>
      </c>
      <c r="C322" s="1" t="s">
        <v>79</v>
      </c>
      <c r="D322" s="1" t="s">
        <v>13</v>
      </c>
      <c r="E322" s="4">
        <v>19</v>
      </c>
      <c r="F322" s="4">
        <v>9</v>
      </c>
      <c r="G322" s="1" t="s">
        <v>32</v>
      </c>
      <c r="H322" s="1" t="s">
        <v>76</v>
      </c>
      <c r="I322" s="5" t="s">
        <v>637</v>
      </c>
      <c r="J322" s="4">
        <v>97</v>
      </c>
      <c r="K322" t="str">
        <f t="shared" si="8"/>
        <v>pass</v>
      </c>
      <c r="L322" t="str">
        <f t="shared" si="9"/>
        <v>A+</v>
      </c>
    </row>
    <row r="323" spans="1:12" x14ac:dyDescent="0.3">
      <c r="A323" s="1" t="s">
        <v>638</v>
      </c>
      <c r="B323" s="1" t="s">
        <v>54</v>
      </c>
      <c r="C323" s="1" t="s">
        <v>12</v>
      </c>
      <c r="D323" s="1" t="s">
        <v>31</v>
      </c>
      <c r="E323" s="4">
        <v>15</v>
      </c>
      <c r="F323" s="4">
        <v>12</v>
      </c>
      <c r="G323" s="1" t="s">
        <v>43</v>
      </c>
      <c r="H323" s="1" t="s">
        <v>76</v>
      </c>
      <c r="I323" s="5" t="s">
        <v>639</v>
      </c>
      <c r="J323" s="4">
        <v>51</v>
      </c>
      <c r="K323" t="str">
        <f t="shared" ref="K323:K386" si="10">IF(J323&gt;=40,"pass","fail")</f>
        <v>pass</v>
      </c>
      <c r="L323" t="str">
        <f t="shared" ref="L323:L386" si="11">IF(J323&gt;=90,"A+",IF(J323&gt;=80,"A",IF(J323&gt;=70,"B",IF(J323&gt;=60,"C",IF(J323&gt;=50,"D",IF(J323&gt;=40,"E","F"))))))</f>
        <v>D</v>
      </c>
    </row>
    <row r="324" spans="1:12" x14ac:dyDescent="0.3">
      <c r="A324" s="1" t="s">
        <v>640</v>
      </c>
      <c r="B324" s="1" t="s">
        <v>84</v>
      </c>
      <c r="C324" s="1" t="s">
        <v>79</v>
      </c>
      <c r="D324" s="1" t="s">
        <v>31</v>
      </c>
      <c r="E324" s="4">
        <v>14</v>
      </c>
      <c r="F324" s="4">
        <v>9</v>
      </c>
      <c r="G324" s="1" t="s">
        <v>14</v>
      </c>
      <c r="H324" s="1" t="s">
        <v>37</v>
      </c>
      <c r="I324" s="5" t="s">
        <v>641</v>
      </c>
      <c r="J324" s="4">
        <v>43</v>
      </c>
      <c r="K324" t="str">
        <f t="shared" si="10"/>
        <v>pass</v>
      </c>
      <c r="L324" t="str">
        <f t="shared" si="11"/>
        <v>E</v>
      </c>
    </row>
    <row r="325" spans="1:12" x14ac:dyDescent="0.3">
      <c r="A325" s="1" t="s">
        <v>642</v>
      </c>
      <c r="B325" s="1" t="s">
        <v>18</v>
      </c>
      <c r="C325" s="1" t="s">
        <v>19</v>
      </c>
      <c r="D325" s="1" t="s">
        <v>13</v>
      </c>
      <c r="E325" s="4">
        <v>14</v>
      </c>
      <c r="F325" s="4">
        <v>9</v>
      </c>
      <c r="G325" s="1" t="s">
        <v>43</v>
      </c>
      <c r="H325" s="1" t="s">
        <v>20</v>
      </c>
      <c r="I325" s="5" t="s">
        <v>643</v>
      </c>
      <c r="J325" s="4">
        <v>57</v>
      </c>
      <c r="K325" t="str">
        <f t="shared" si="10"/>
        <v>pass</v>
      </c>
      <c r="L325" t="str">
        <f t="shared" si="11"/>
        <v>D</v>
      </c>
    </row>
    <row r="326" spans="1:12" x14ac:dyDescent="0.3">
      <c r="A326" s="1" t="s">
        <v>644</v>
      </c>
      <c r="B326" s="1" t="s">
        <v>51</v>
      </c>
      <c r="C326" s="1" t="s">
        <v>36</v>
      </c>
      <c r="D326" s="1" t="s">
        <v>31</v>
      </c>
      <c r="E326" s="4">
        <v>16</v>
      </c>
      <c r="F326" s="4">
        <v>11</v>
      </c>
      <c r="G326" s="1" t="s">
        <v>43</v>
      </c>
      <c r="H326" s="1" t="s">
        <v>20</v>
      </c>
      <c r="I326" s="5" t="s">
        <v>645</v>
      </c>
      <c r="J326" s="4">
        <v>81</v>
      </c>
      <c r="K326" t="str">
        <f t="shared" si="10"/>
        <v>pass</v>
      </c>
      <c r="L326" t="str">
        <f t="shared" si="11"/>
        <v>A</v>
      </c>
    </row>
    <row r="327" spans="1:12" x14ac:dyDescent="0.3">
      <c r="A327" s="1" t="s">
        <v>646</v>
      </c>
      <c r="B327" s="1" t="s">
        <v>84</v>
      </c>
      <c r="C327" s="1" t="s">
        <v>12</v>
      </c>
      <c r="D327" s="1" t="s">
        <v>31</v>
      </c>
      <c r="E327" s="4">
        <v>17</v>
      </c>
      <c r="F327" s="4">
        <v>12</v>
      </c>
      <c r="G327" s="1" t="s">
        <v>25</v>
      </c>
      <c r="H327" s="1" t="s">
        <v>76</v>
      </c>
      <c r="I327" s="5" t="s">
        <v>647</v>
      </c>
      <c r="J327" s="4">
        <v>83</v>
      </c>
      <c r="K327" t="str">
        <f t="shared" si="10"/>
        <v>pass</v>
      </c>
      <c r="L327" t="str">
        <f t="shared" si="11"/>
        <v>A</v>
      </c>
    </row>
    <row r="328" spans="1:12" x14ac:dyDescent="0.3">
      <c r="A328" s="1" t="s">
        <v>648</v>
      </c>
      <c r="B328" s="1" t="s">
        <v>51</v>
      </c>
      <c r="C328" s="1" t="s">
        <v>79</v>
      </c>
      <c r="D328" s="1" t="s">
        <v>13</v>
      </c>
      <c r="E328" s="4">
        <v>14</v>
      </c>
      <c r="F328" s="4">
        <v>9</v>
      </c>
      <c r="G328" s="1" t="s">
        <v>25</v>
      </c>
      <c r="H328" s="1" t="s">
        <v>15</v>
      </c>
      <c r="I328" s="5" t="s">
        <v>649</v>
      </c>
      <c r="J328" s="4">
        <v>77</v>
      </c>
      <c r="K328" t="str">
        <f t="shared" si="10"/>
        <v>pass</v>
      </c>
      <c r="L328" t="str">
        <f t="shared" si="11"/>
        <v>B</v>
      </c>
    </row>
    <row r="329" spans="1:12" x14ac:dyDescent="0.3">
      <c r="A329" s="1" t="s">
        <v>650</v>
      </c>
      <c r="B329" s="1" t="s">
        <v>23</v>
      </c>
      <c r="C329" s="1" t="s">
        <v>24</v>
      </c>
      <c r="D329" s="1" t="s">
        <v>13</v>
      </c>
      <c r="E329" s="4">
        <v>17</v>
      </c>
      <c r="F329" s="4">
        <v>12</v>
      </c>
      <c r="G329" s="1" t="s">
        <v>25</v>
      </c>
      <c r="H329" s="1" t="s">
        <v>46</v>
      </c>
      <c r="I329" s="5" t="s">
        <v>651</v>
      </c>
      <c r="J329" s="4">
        <v>45</v>
      </c>
      <c r="K329" t="str">
        <f t="shared" si="10"/>
        <v>pass</v>
      </c>
      <c r="L329" t="str">
        <f t="shared" si="11"/>
        <v>E</v>
      </c>
    </row>
    <row r="330" spans="1:12" x14ac:dyDescent="0.3">
      <c r="A330" s="1" t="s">
        <v>652</v>
      </c>
      <c r="B330" s="1" t="s">
        <v>51</v>
      </c>
      <c r="C330" s="1" t="s">
        <v>55</v>
      </c>
      <c r="D330" s="1" t="s">
        <v>13</v>
      </c>
      <c r="E330" s="4">
        <v>16</v>
      </c>
      <c r="F330" s="4">
        <v>12</v>
      </c>
      <c r="G330" s="1" t="s">
        <v>32</v>
      </c>
      <c r="H330" s="1" t="s">
        <v>61</v>
      </c>
      <c r="I330" s="5" t="s">
        <v>653</v>
      </c>
      <c r="J330" s="4">
        <v>45</v>
      </c>
      <c r="K330" t="str">
        <f t="shared" si="10"/>
        <v>pass</v>
      </c>
      <c r="L330" t="str">
        <f t="shared" si="11"/>
        <v>E</v>
      </c>
    </row>
    <row r="331" spans="1:12" x14ac:dyDescent="0.3">
      <c r="A331" s="1" t="s">
        <v>654</v>
      </c>
      <c r="B331" s="1" t="s">
        <v>18</v>
      </c>
      <c r="C331" s="1" t="s">
        <v>24</v>
      </c>
      <c r="D331" s="1" t="s">
        <v>31</v>
      </c>
      <c r="E331" s="4">
        <v>14</v>
      </c>
      <c r="F331" s="4">
        <v>12</v>
      </c>
      <c r="G331" s="1" t="s">
        <v>14</v>
      </c>
      <c r="H331" s="1" t="s">
        <v>46</v>
      </c>
      <c r="I331" s="5" t="s">
        <v>655</v>
      </c>
      <c r="J331" s="4">
        <v>42</v>
      </c>
      <c r="K331" t="str">
        <f t="shared" si="10"/>
        <v>pass</v>
      </c>
      <c r="L331" t="str">
        <f t="shared" si="11"/>
        <v>E</v>
      </c>
    </row>
    <row r="332" spans="1:12" x14ac:dyDescent="0.3">
      <c r="A332" s="1" t="s">
        <v>656</v>
      </c>
      <c r="B332" s="1" t="s">
        <v>29</v>
      </c>
      <c r="C332" s="1" t="s">
        <v>30</v>
      </c>
      <c r="D332" s="1" t="s">
        <v>13</v>
      </c>
      <c r="E332" s="4">
        <v>19</v>
      </c>
      <c r="F332" s="4">
        <v>10</v>
      </c>
      <c r="G332" s="1" t="s">
        <v>43</v>
      </c>
      <c r="H332" s="1" t="s">
        <v>15</v>
      </c>
      <c r="I332" s="5" t="s">
        <v>657</v>
      </c>
      <c r="J332" s="4">
        <v>85</v>
      </c>
      <c r="K332" t="str">
        <f t="shared" si="10"/>
        <v>pass</v>
      </c>
      <c r="L332" t="str">
        <f t="shared" si="11"/>
        <v>A</v>
      </c>
    </row>
    <row r="333" spans="1:12" x14ac:dyDescent="0.3">
      <c r="A333" s="1" t="s">
        <v>658</v>
      </c>
      <c r="B333" s="1" t="s">
        <v>11</v>
      </c>
      <c r="C333" s="1" t="s">
        <v>96</v>
      </c>
      <c r="D333" s="1" t="s">
        <v>31</v>
      </c>
      <c r="E333" s="4">
        <v>20</v>
      </c>
      <c r="F333" s="4">
        <v>10</v>
      </c>
      <c r="G333" s="1" t="s">
        <v>43</v>
      </c>
      <c r="H333" s="1" t="s">
        <v>37</v>
      </c>
      <c r="I333" s="5" t="s">
        <v>659</v>
      </c>
      <c r="J333" s="4">
        <v>62</v>
      </c>
      <c r="K333" t="str">
        <f t="shared" si="10"/>
        <v>pass</v>
      </c>
      <c r="L333" t="str">
        <f t="shared" si="11"/>
        <v>C</v>
      </c>
    </row>
    <row r="334" spans="1:12" x14ac:dyDescent="0.3">
      <c r="A334" s="1" t="s">
        <v>660</v>
      </c>
      <c r="B334" s="1" t="s">
        <v>23</v>
      </c>
      <c r="C334" s="1" t="s">
        <v>12</v>
      </c>
      <c r="D334" s="1" t="s">
        <v>13</v>
      </c>
      <c r="E334" s="4">
        <v>16</v>
      </c>
      <c r="F334" s="4">
        <v>11</v>
      </c>
      <c r="G334" s="1" t="s">
        <v>25</v>
      </c>
      <c r="H334" s="1" t="s">
        <v>40</v>
      </c>
      <c r="I334" s="5" t="s">
        <v>41</v>
      </c>
      <c r="J334" s="4">
        <v>86</v>
      </c>
      <c r="K334" t="str">
        <f t="shared" si="10"/>
        <v>pass</v>
      </c>
      <c r="L334" t="str">
        <f t="shared" si="11"/>
        <v>A</v>
      </c>
    </row>
    <row r="335" spans="1:12" x14ac:dyDescent="0.3">
      <c r="A335" s="1" t="s">
        <v>661</v>
      </c>
      <c r="B335" s="1" t="s">
        <v>54</v>
      </c>
      <c r="C335" s="1" t="s">
        <v>12</v>
      </c>
      <c r="D335" s="1" t="s">
        <v>31</v>
      </c>
      <c r="E335" s="4">
        <v>19</v>
      </c>
      <c r="F335" s="4">
        <v>10</v>
      </c>
      <c r="G335" s="1" t="s">
        <v>14</v>
      </c>
      <c r="H335" s="1" t="s">
        <v>76</v>
      </c>
      <c r="I335" s="5" t="s">
        <v>662</v>
      </c>
      <c r="J335" s="4">
        <v>54</v>
      </c>
      <c r="K335" t="str">
        <f t="shared" si="10"/>
        <v>pass</v>
      </c>
      <c r="L335" t="str">
        <f t="shared" si="11"/>
        <v>D</v>
      </c>
    </row>
    <row r="336" spans="1:12" x14ac:dyDescent="0.3">
      <c r="A336" s="1" t="s">
        <v>663</v>
      </c>
      <c r="B336" s="1" t="s">
        <v>73</v>
      </c>
      <c r="C336" s="1" t="s">
        <v>36</v>
      </c>
      <c r="D336" s="1" t="s">
        <v>13</v>
      </c>
      <c r="E336" s="4">
        <v>20</v>
      </c>
      <c r="F336" s="4">
        <v>12</v>
      </c>
      <c r="G336" s="1" t="s">
        <v>25</v>
      </c>
      <c r="H336" s="1" t="s">
        <v>40</v>
      </c>
      <c r="I336" s="5" t="s">
        <v>664</v>
      </c>
      <c r="J336" s="4">
        <v>50</v>
      </c>
      <c r="K336" t="str">
        <f t="shared" si="10"/>
        <v>pass</v>
      </c>
      <c r="L336" t="str">
        <f t="shared" si="11"/>
        <v>D</v>
      </c>
    </row>
    <row r="337" spans="1:12" x14ac:dyDescent="0.3">
      <c r="A337" s="1" t="s">
        <v>665</v>
      </c>
      <c r="B337" s="1" t="s">
        <v>51</v>
      </c>
      <c r="C337" s="1" t="s">
        <v>96</v>
      </c>
      <c r="D337" s="1" t="s">
        <v>13</v>
      </c>
      <c r="E337" s="4">
        <v>14</v>
      </c>
      <c r="F337" s="4">
        <v>10</v>
      </c>
      <c r="G337" s="1" t="s">
        <v>14</v>
      </c>
      <c r="H337" s="1" t="s">
        <v>37</v>
      </c>
      <c r="I337" s="5" t="s">
        <v>666</v>
      </c>
      <c r="J337" s="4">
        <v>68</v>
      </c>
      <c r="K337" t="str">
        <f t="shared" si="10"/>
        <v>pass</v>
      </c>
      <c r="L337" t="str">
        <f t="shared" si="11"/>
        <v>C</v>
      </c>
    </row>
    <row r="338" spans="1:12" x14ac:dyDescent="0.3">
      <c r="A338" s="1" t="s">
        <v>667</v>
      </c>
      <c r="B338" s="1" t="s">
        <v>35</v>
      </c>
      <c r="C338" s="1" t="s">
        <v>12</v>
      </c>
      <c r="D338" s="1" t="s">
        <v>31</v>
      </c>
      <c r="E338" s="4">
        <v>15</v>
      </c>
      <c r="F338" s="4">
        <v>12</v>
      </c>
      <c r="G338" s="1" t="s">
        <v>14</v>
      </c>
      <c r="H338" s="1" t="s">
        <v>46</v>
      </c>
      <c r="I338" s="5" t="s">
        <v>668</v>
      </c>
      <c r="J338" s="4">
        <v>82</v>
      </c>
      <c r="K338" t="str">
        <f t="shared" si="10"/>
        <v>pass</v>
      </c>
      <c r="L338" t="str">
        <f t="shared" si="11"/>
        <v>A</v>
      </c>
    </row>
    <row r="339" spans="1:12" x14ac:dyDescent="0.3">
      <c r="A339" s="1" t="s">
        <v>669</v>
      </c>
      <c r="B339" s="1" t="s">
        <v>11</v>
      </c>
      <c r="C339" s="1" t="s">
        <v>24</v>
      </c>
      <c r="D339" s="1" t="s">
        <v>13</v>
      </c>
      <c r="E339" s="4">
        <v>19</v>
      </c>
      <c r="F339" s="4">
        <v>9</v>
      </c>
      <c r="G339" s="1" t="s">
        <v>32</v>
      </c>
      <c r="H339" s="1" t="s">
        <v>40</v>
      </c>
      <c r="I339" s="5" t="s">
        <v>670</v>
      </c>
      <c r="J339" s="4">
        <v>51</v>
      </c>
      <c r="K339" t="str">
        <f t="shared" si="10"/>
        <v>pass</v>
      </c>
      <c r="L339" t="str">
        <f t="shared" si="11"/>
        <v>D</v>
      </c>
    </row>
    <row r="340" spans="1:12" x14ac:dyDescent="0.3">
      <c r="A340" s="1" t="s">
        <v>671</v>
      </c>
      <c r="B340" s="1" t="s">
        <v>11</v>
      </c>
      <c r="C340" s="1" t="s">
        <v>36</v>
      </c>
      <c r="D340" s="1" t="s">
        <v>13</v>
      </c>
      <c r="E340" s="4">
        <v>14</v>
      </c>
      <c r="F340" s="4">
        <v>10</v>
      </c>
      <c r="G340" s="1" t="s">
        <v>32</v>
      </c>
      <c r="H340" s="1" t="s">
        <v>40</v>
      </c>
      <c r="I340" s="5" t="s">
        <v>672</v>
      </c>
      <c r="J340" s="4">
        <v>64</v>
      </c>
      <c r="K340" t="str">
        <f t="shared" si="10"/>
        <v>pass</v>
      </c>
      <c r="L340" t="str">
        <f t="shared" si="11"/>
        <v>C</v>
      </c>
    </row>
    <row r="341" spans="1:12" x14ac:dyDescent="0.3">
      <c r="A341" s="1" t="s">
        <v>673</v>
      </c>
      <c r="B341" s="1" t="s">
        <v>11</v>
      </c>
      <c r="C341" s="1" t="s">
        <v>19</v>
      </c>
      <c r="D341" s="1" t="s">
        <v>31</v>
      </c>
      <c r="E341" s="4">
        <v>17</v>
      </c>
      <c r="F341" s="4">
        <v>10</v>
      </c>
      <c r="G341" s="1" t="s">
        <v>32</v>
      </c>
      <c r="H341" s="1" t="s">
        <v>46</v>
      </c>
      <c r="I341" s="5" t="s">
        <v>674</v>
      </c>
      <c r="J341" s="4">
        <v>85</v>
      </c>
      <c r="K341" t="str">
        <f t="shared" si="10"/>
        <v>pass</v>
      </c>
      <c r="L341" t="str">
        <f t="shared" si="11"/>
        <v>A</v>
      </c>
    </row>
    <row r="342" spans="1:12" x14ac:dyDescent="0.3">
      <c r="A342" s="1" t="s">
        <v>675</v>
      </c>
      <c r="B342" s="1" t="s">
        <v>73</v>
      </c>
      <c r="C342" s="1" t="s">
        <v>24</v>
      </c>
      <c r="D342" s="1" t="s">
        <v>13</v>
      </c>
      <c r="E342" s="4">
        <v>19</v>
      </c>
      <c r="F342" s="4">
        <v>11</v>
      </c>
      <c r="G342" s="1" t="s">
        <v>14</v>
      </c>
      <c r="H342" s="1" t="s">
        <v>37</v>
      </c>
      <c r="I342" s="5" t="s">
        <v>676</v>
      </c>
      <c r="J342" s="4">
        <v>51</v>
      </c>
      <c r="K342" t="str">
        <f t="shared" si="10"/>
        <v>pass</v>
      </c>
      <c r="L342" t="str">
        <f t="shared" si="11"/>
        <v>D</v>
      </c>
    </row>
    <row r="343" spans="1:12" x14ac:dyDescent="0.3">
      <c r="A343" s="1" t="s">
        <v>677</v>
      </c>
      <c r="B343" s="1" t="s">
        <v>23</v>
      </c>
      <c r="C343" s="1" t="s">
        <v>85</v>
      </c>
      <c r="D343" s="1" t="s">
        <v>13</v>
      </c>
      <c r="E343" s="4">
        <v>20</v>
      </c>
      <c r="F343" s="4">
        <v>10</v>
      </c>
      <c r="G343" s="1" t="s">
        <v>32</v>
      </c>
      <c r="H343" s="1" t="s">
        <v>40</v>
      </c>
      <c r="I343" s="5" t="s">
        <v>678</v>
      </c>
      <c r="J343" s="4">
        <v>56</v>
      </c>
      <c r="K343" t="str">
        <f t="shared" si="10"/>
        <v>pass</v>
      </c>
      <c r="L343" t="str">
        <f t="shared" si="11"/>
        <v>D</v>
      </c>
    </row>
    <row r="344" spans="1:12" x14ac:dyDescent="0.3">
      <c r="A344" s="1" t="s">
        <v>679</v>
      </c>
      <c r="B344" s="1" t="s">
        <v>18</v>
      </c>
      <c r="C344" s="1" t="s">
        <v>96</v>
      </c>
      <c r="D344" s="1" t="s">
        <v>13</v>
      </c>
      <c r="E344" s="4">
        <v>14</v>
      </c>
      <c r="F344" s="4">
        <v>12</v>
      </c>
      <c r="G344" s="1" t="s">
        <v>32</v>
      </c>
      <c r="H344" s="1" t="s">
        <v>46</v>
      </c>
      <c r="I344" s="5" t="s">
        <v>680</v>
      </c>
      <c r="J344" s="4">
        <v>44</v>
      </c>
      <c r="K344" t="str">
        <f t="shared" si="10"/>
        <v>pass</v>
      </c>
      <c r="L344" t="str">
        <f t="shared" si="11"/>
        <v>E</v>
      </c>
    </row>
    <row r="345" spans="1:12" x14ac:dyDescent="0.3">
      <c r="A345" s="1" t="s">
        <v>681</v>
      </c>
      <c r="B345" s="1" t="s">
        <v>35</v>
      </c>
      <c r="C345" s="1" t="s">
        <v>36</v>
      </c>
      <c r="D345" s="1" t="s">
        <v>13</v>
      </c>
      <c r="E345" s="4">
        <v>14</v>
      </c>
      <c r="F345" s="4">
        <v>9</v>
      </c>
      <c r="G345" s="1" t="s">
        <v>43</v>
      </c>
      <c r="H345" s="1" t="s">
        <v>46</v>
      </c>
      <c r="I345" s="5" t="s">
        <v>682</v>
      </c>
      <c r="J345" s="4">
        <v>67</v>
      </c>
      <c r="K345" t="str">
        <f t="shared" si="10"/>
        <v>pass</v>
      </c>
      <c r="L345" t="str">
        <f t="shared" si="11"/>
        <v>C</v>
      </c>
    </row>
    <row r="346" spans="1:12" x14ac:dyDescent="0.3">
      <c r="A346" s="1" t="s">
        <v>683</v>
      </c>
      <c r="B346" s="1" t="s">
        <v>84</v>
      </c>
      <c r="C346" s="1" t="s">
        <v>55</v>
      </c>
      <c r="D346" s="1" t="s">
        <v>31</v>
      </c>
      <c r="E346" s="4">
        <v>16</v>
      </c>
      <c r="F346" s="4">
        <v>12</v>
      </c>
      <c r="G346" s="1" t="s">
        <v>14</v>
      </c>
      <c r="H346" s="1" t="s">
        <v>76</v>
      </c>
      <c r="I346" s="5" t="s">
        <v>125</v>
      </c>
      <c r="J346" s="4">
        <v>60</v>
      </c>
      <c r="K346" t="str">
        <f t="shared" si="10"/>
        <v>pass</v>
      </c>
      <c r="L346" t="str">
        <f t="shared" si="11"/>
        <v>C</v>
      </c>
    </row>
    <row r="347" spans="1:12" x14ac:dyDescent="0.3">
      <c r="A347" s="1" t="s">
        <v>684</v>
      </c>
      <c r="B347" s="1" t="s">
        <v>54</v>
      </c>
      <c r="C347" s="1" t="s">
        <v>24</v>
      </c>
      <c r="D347" s="1" t="s">
        <v>31</v>
      </c>
      <c r="E347" s="4">
        <v>17</v>
      </c>
      <c r="F347" s="4">
        <v>10</v>
      </c>
      <c r="G347" s="1" t="s">
        <v>43</v>
      </c>
      <c r="H347" s="1" t="s">
        <v>46</v>
      </c>
      <c r="I347" s="5" t="s">
        <v>685</v>
      </c>
      <c r="J347" s="4">
        <v>74</v>
      </c>
      <c r="K347" t="str">
        <f t="shared" si="10"/>
        <v>pass</v>
      </c>
      <c r="L347" t="str">
        <f t="shared" si="11"/>
        <v>B</v>
      </c>
    </row>
    <row r="348" spans="1:12" x14ac:dyDescent="0.3">
      <c r="A348" s="1" t="s">
        <v>686</v>
      </c>
      <c r="B348" s="1" t="s">
        <v>23</v>
      </c>
      <c r="C348" s="1" t="s">
        <v>96</v>
      </c>
      <c r="D348" s="1" t="s">
        <v>31</v>
      </c>
      <c r="E348" s="4">
        <v>16</v>
      </c>
      <c r="F348" s="4">
        <v>9</v>
      </c>
      <c r="G348" s="1" t="s">
        <v>25</v>
      </c>
      <c r="H348" s="1" t="s">
        <v>20</v>
      </c>
      <c r="I348" s="5" t="s">
        <v>277</v>
      </c>
      <c r="J348" s="4">
        <v>71</v>
      </c>
      <c r="K348" t="str">
        <f t="shared" si="10"/>
        <v>pass</v>
      </c>
      <c r="L348" t="str">
        <f t="shared" si="11"/>
        <v>B</v>
      </c>
    </row>
    <row r="349" spans="1:12" x14ac:dyDescent="0.3">
      <c r="A349" s="1" t="s">
        <v>687</v>
      </c>
      <c r="B349" s="1" t="s">
        <v>84</v>
      </c>
      <c r="C349" s="1" t="s">
        <v>19</v>
      </c>
      <c r="D349" s="1" t="s">
        <v>13</v>
      </c>
      <c r="E349" s="4">
        <v>16</v>
      </c>
      <c r="F349" s="4">
        <v>10</v>
      </c>
      <c r="G349" s="1" t="s">
        <v>25</v>
      </c>
      <c r="H349" s="1" t="s">
        <v>46</v>
      </c>
      <c r="I349" s="5" t="s">
        <v>564</v>
      </c>
      <c r="J349" s="4">
        <v>52</v>
      </c>
      <c r="K349" t="str">
        <f t="shared" si="10"/>
        <v>pass</v>
      </c>
      <c r="L349" t="str">
        <f t="shared" si="11"/>
        <v>D</v>
      </c>
    </row>
    <row r="350" spans="1:12" x14ac:dyDescent="0.3">
      <c r="A350" s="1" t="s">
        <v>688</v>
      </c>
      <c r="B350" s="1" t="s">
        <v>23</v>
      </c>
      <c r="C350" s="1" t="s">
        <v>96</v>
      </c>
      <c r="D350" s="1" t="s">
        <v>31</v>
      </c>
      <c r="E350" s="4">
        <v>19</v>
      </c>
      <c r="F350" s="4">
        <v>10</v>
      </c>
      <c r="G350" s="1" t="s">
        <v>25</v>
      </c>
      <c r="H350" s="1" t="s">
        <v>40</v>
      </c>
      <c r="I350" s="5" t="s">
        <v>195</v>
      </c>
      <c r="J350" s="4">
        <v>55</v>
      </c>
      <c r="K350" t="str">
        <f t="shared" si="10"/>
        <v>pass</v>
      </c>
      <c r="L350" t="str">
        <f t="shared" si="11"/>
        <v>D</v>
      </c>
    </row>
    <row r="351" spans="1:12" x14ac:dyDescent="0.3">
      <c r="A351" s="1" t="s">
        <v>689</v>
      </c>
      <c r="B351" s="1" t="s">
        <v>68</v>
      </c>
      <c r="C351" s="1" t="s">
        <v>96</v>
      </c>
      <c r="D351" s="1" t="s">
        <v>13</v>
      </c>
      <c r="E351" s="4">
        <v>20</v>
      </c>
      <c r="F351" s="4">
        <v>12</v>
      </c>
      <c r="G351" s="1" t="s">
        <v>43</v>
      </c>
      <c r="H351" s="1" t="s">
        <v>20</v>
      </c>
      <c r="I351" s="5" t="s">
        <v>626</v>
      </c>
      <c r="J351" s="4">
        <v>48</v>
      </c>
      <c r="K351" t="str">
        <f t="shared" si="10"/>
        <v>pass</v>
      </c>
      <c r="L351" t="str">
        <f t="shared" si="11"/>
        <v>E</v>
      </c>
    </row>
    <row r="352" spans="1:12" x14ac:dyDescent="0.3">
      <c r="A352" s="1" t="s">
        <v>690</v>
      </c>
      <c r="B352" s="1" t="s">
        <v>23</v>
      </c>
      <c r="C352" s="1" t="s">
        <v>85</v>
      </c>
      <c r="D352" s="1" t="s">
        <v>13</v>
      </c>
      <c r="E352" s="4">
        <v>19</v>
      </c>
      <c r="F352" s="4">
        <v>9</v>
      </c>
      <c r="G352" s="1" t="s">
        <v>14</v>
      </c>
      <c r="H352" s="1" t="s">
        <v>76</v>
      </c>
      <c r="I352" s="5" t="s">
        <v>635</v>
      </c>
      <c r="J352" s="4">
        <v>91</v>
      </c>
      <c r="K352" t="str">
        <f t="shared" si="10"/>
        <v>pass</v>
      </c>
      <c r="L352" t="str">
        <f t="shared" si="11"/>
        <v>A+</v>
      </c>
    </row>
    <row r="353" spans="1:12" x14ac:dyDescent="0.3">
      <c r="A353" s="1" t="s">
        <v>691</v>
      </c>
      <c r="B353" s="1" t="s">
        <v>84</v>
      </c>
      <c r="C353" s="1" t="s">
        <v>55</v>
      </c>
      <c r="D353" s="1" t="s">
        <v>13</v>
      </c>
      <c r="E353" s="4">
        <v>16</v>
      </c>
      <c r="F353" s="4">
        <v>10</v>
      </c>
      <c r="G353" s="1" t="s">
        <v>43</v>
      </c>
      <c r="H353" s="1" t="s">
        <v>46</v>
      </c>
      <c r="I353" s="5" t="s">
        <v>692</v>
      </c>
      <c r="J353" s="4">
        <v>91</v>
      </c>
      <c r="K353" t="str">
        <f t="shared" si="10"/>
        <v>pass</v>
      </c>
      <c r="L353" t="str">
        <f t="shared" si="11"/>
        <v>A+</v>
      </c>
    </row>
    <row r="354" spans="1:12" x14ac:dyDescent="0.3">
      <c r="A354" s="1" t="s">
        <v>693</v>
      </c>
      <c r="B354" s="1" t="s">
        <v>73</v>
      </c>
      <c r="C354" s="1" t="s">
        <v>58</v>
      </c>
      <c r="D354" s="1" t="s">
        <v>31</v>
      </c>
      <c r="E354" s="4">
        <v>16</v>
      </c>
      <c r="F354" s="4">
        <v>11</v>
      </c>
      <c r="G354" s="1" t="s">
        <v>25</v>
      </c>
      <c r="H354" s="1" t="s">
        <v>37</v>
      </c>
      <c r="I354" s="5" t="s">
        <v>694</v>
      </c>
      <c r="J354" s="4">
        <v>65</v>
      </c>
      <c r="K354" t="str">
        <f t="shared" si="10"/>
        <v>pass</v>
      </c>
      <c r="L354" t="str">
        <f t="shared" si="11"/>
        <v>C</v>
      </c>
    </row>
    <row r="355" spans="1:12" x14ac:dyDescent="0.3">
      <c r="A355" s="1" t="s">
        <v>695</v>
      </c>
      <c r="B355" s="1" t="s">
        <v>51</v>
      </c>
      <c r="C355" s="1" t="s">
        <v>24</v>
      </c>
      <c r="D355" s="1" t="s">
        <v>13</v>
      </c>
      <c r="E355" s="4">
        <v>17</v>
      </c>
      <c r="F355" s="4">
        <v>9</v>
      </c>
      <c r="G355" s="1" t="s">
        <v>32</v>
      </c>
      <c r="H355" s="1" t="s">
        <v>15</v>
      </c>
      <c r="I355" s="5" t="s">
        <v>696</v>
      </c>
      <c r="J355" s="4">
        <v>69</v>
      </c>
      <c r="K355" t="str">
        <f t="shared" si="10"/>
        <v>pass</v>
      </c>
      <c r="L355" t="str">
        <f t="shared" si="11"/>
        <v>C</v>
      </c>
    </row>
    <row r="356" spans="1:12" x14ac:dyDescent="0.3">
      <c r="A356" s="1" t="s">
        <v>697</v>
      </c>
      <c r="B356" s="1" t="s">
        <v>29</v>
      </c>
      <c r="C356" s="1" t="s">
        <v>30</v>
      </c>
      <c r="D356" s="1" t="s">
        <v>31</v>
      </c>
      <c r="E356" s="4">
        <v>19</v>
      </c>
      <c r="F356" s="4">
        <v>10</v>
      </c>
      <c r="G356" s="1" t="s">
        <v>25</v>
      </c>
      <c r="H356" s="1" t="s">
        <v>61</v>
      </c>
      <c r="I356" s="5" t="s">
        <v>698</v>
      </c>
      <c r="J356" s="4">
        <v>75</v>
      </c>
      <c r="K356" t="str">
        <f t="shared" si="10"/>
        <v>pass</v>
      </c>
      <c r="L356" t="str">
        <f t="shared" si="11"/>
        <v>B</v>
      </c>
    </row>
    <row r="357" spans="1:12" x14ac:dyDescent="0.3">
      <c r="A357" s="1" t="s">
        <v>699</v>
      </c>
      <c r="B357" s="1" t="s">
        <v>11</v>
      </c>
      <c r="C357" s="1" t="s">
        <v>30</v>
      </c>
      <c r="D357" s="1" t="s">
        <v>31</v>
      </c>
      <c r="E357" s="4">
        <v>16</v>
      </c>
      <c r="F357" s="4">
        <v>11</v>
      </c>
      <c r="G357" s="1" t="s">
        <v>43</v>
      </c>
      <c r="H357" s="1" t="s">
        <v>40</v>
      </c>
      <c r="I357" s="5" t="s">
        <v>97</v>
      </c>
      <c r="J357" s="4">
        <v>72</v>
      </c>
      <c r="K357" t="str">
        <f t="shared" si="10"/>
        <v>pass</v>
      </c>
      <c r="L357" t="str">
        <f t="shared" si="11"/>
        <v>B</v>
      </c>
    </row>
    <row r="358" spans="1:12" x14ac:dyDescent="0.3">
      <c r="A358" s="1" t="s">
        <v>700</v>
      </c>
      <c r="B358" s="1" t="s">
        <v>23</v>
      </c>
      <c r="C358" s="1" t="s">
        <v>55</v>
      </c>
      <c r="D358" s="1" t="s">
        <v>31</v>
      </c>
      <c r="E358" s="4">
        <v>20</v>
      </c>
      <c r="F358" s="4">
        <v>10</v>
      </c>
      <c r="G358" s="1" t="s">
        <v>14</v>
      </c>
      <c r="H358" s="1" t="s">
        <v>15</v>
      </c>
      <c r="I358" s="5" t="s">
        <v>678</v>
      </c>
      <c r="J358" s="4">
        <v>59</v>
      </c>
      <c r="K358" t="str">
        <f t="shared" si="10"/>
        <v>pass</v>
      </c>
      <c r="L358" t="str">
        <f t="shared" si="11"/>
        <v>D</v>
      </c>
    </row>
    <row r="359" spans="1:12" x14ac:dyDescent="0.3">
      <c r="A359" s="1" t="s">
        <v>701</v>
      </c>
      <c r="B359" s="1" t="s">
        <v>54</v>
      </c>
      <c r="C359" s="1" t="s">
        <v>30</v>
      </c>
      <c r="D359" s="1" t="s">
        <v>31</v>
      </c>
      <c r="E359" s="4">
        <v>15</v>
      </c>
      <c r="F359" s="4">
        <v>11</v>
      </c>
      <c r="G359" s="1" t="s">
        <v>14</v>
      </c>
      <c r="H359" s="1" t="s">
        <v>76</v>
      </c>
      <c r="I359" s="5" t="s">
        <v>702</v>
      </c>
      <c r="J359" s="4">
        <v>42</v>
      </c>
      <c r="K359" t="str">
        <f t="shared" si="10"/>
        <v>pass</v>
      </c>
      <c r="L359" t="str">
        <f t="shared" si="11"/>
        <v>E</v>
      </c>
    </row>
    <row r="360" spans="1:12" x14ac:dyDescent="0.3">
      <c r="A360" s="1" t="s">
        <v>703</v>
      </c>
      <c r="B360" s="1" t="s">
        <v>73</v>
      </c>
      <c r="C360" s="1" t="s">
        <v>30</v>
      </c>
      <c r="D360" s="1" t="s">
        <v>31</v>
      </c>
      <c r="E360" s="4">
        <v>17</v>
      </c>
      <c r="F360" s="4">
        <v>12</v>
      </c>
      <c r="G360" s="1" t="s">
        <v>32</v>
      </c>
      <c r="H360" s="1" t="s">
        <v>40</v>
      </c>
      <c r="I360" s="5" t="s">
        <v>704</v>
      </c>
      <c r="J360" s="4">
        <v>93</v>
      </c>
      <c r="K360" t="str">
        <f t="shared" si="10"/>
        <v>pass</v>
      </c>
      <c r="L360" t="str">
        <f t="shared" si="11"/>
        <v>A+</v>
      </c>
    </row>
    <row r="361" spans="1:12" x14ac:dyDescent="0.3">
      <c r="A361" s="1" t="s">
        <v>705</v>
      </c>
      <c r="B361" s="1" t="s">
        <v>84</v>
      </c>
      <c r="C361" s="1" t="s">
        <v>55</v>
      </c>
      <c r="D361" s="1" t="s">
        <v>31</v>
      </c>
      <c r="E361" s="4">
        <v>14</v>
      </c>
      <c r="F361" s="4">
        <v>12</v>
      </c>
      <c r="G361" s="1" t="s">
        <v>43</v>
      </c>
      <c r="H361" s="1" t="s">
        <v>76</v>
      </c>
      <c r="I361" s="5" t="s">
        <v>706</v>
      </c>
      <c r="J361" s="4">
        <v>63</v>
      </c>
      <c r="K361" t="str">
        <f t="shared" si="10"/>
        <v>pass</v>
      </c>
      <c r="L361" t="str">
        <f t="shared" si="11"/>
        <v>C</v>
      </c>
    </row>
    <row r="362" spans="1:12" x14ac:dyDescent="0.3">
      <c r="A362" s="1" t="s">
        <v>707</v>
      </c>
      <c r="B362" s="1" t="s">
        <v>68</v>
      </c>
      <c r="C362" s="1" t="s">
        <v>96</v>
      </c>
      <c r="D362" s="1" t="s">
        <v>31</v>
      </c>
      <c r="E362" s="4">
        <v>20</v>
      </c>
      <c r="F362" s="4">
        <v>12</v>
      </c>
      <c r="G362" s="1" t="s">
        <v>43</v>
      </c>
      <c r="H362" s="1" t="s">
        <v>37</v>
      </c>
      <c r="I362" s="5" t="s">
        <v>708</v>
      </c>
      <c r="J362" s="4">
        <v>35</v>
      </c>
      <c r="K362" t="str">
        <f t="shared" si="10"/>
        <v>fail</v>
      </c>
      <c r="L362" t="str">
        <f t="shared" si="11"/>
        <v>F</v>
      </c>
    </row>
    <row r="363" spans="1:12" x14ac:dyDescent="0.3">
      <c r="A363" s="1" t="s">
        <v>709</v>
      </c>
      <c r="B363" s="1" t="s">
        <v>54</v>
      </c>
      <c r="C363" s="1" t="s">
        <v>19</v>
      </c>
      <c r="D363" s="1" t="s">
        <v>31</v>
      </c>
      <c r="E363" s="4">
        <v>18</v>
      </c>
      <c r="F363" s="4">
        <v>10</v>
      </c>
      <c r="G363" s="1" t="s">
        <v>43</v>
      </c>
      <c r="H363" s="1" t="s">
        <v>37</v>
      </c>
      <c r="I363" s="5" t="s">
        <v>710</v>
      </c>
      <c r="J363" s="4">
        <v>89</v>
      </c>
      <c r="K363" t="str">
        <f t="shared" si="10"/>
        <v>pass</v>
      </c>
      <c r="L363" t="str">
        <f t="shared" si="11"/>
        <v>A</v>
      </c>
    </row>
    <row r="364" spans="1:12" x14ac:dyDescent="0.3">
      <c r="A364" s="1" t="s">
        <v>711</v>
      </c>
      <c r="B364" s="1" t="s">
        <v>29</v>
      </c>
      <c r="C364" s="1" t="s">
        <v>79</v>
      </c>
      <c r="D364" s="1" t="s">
        <v>13</v>
      </c>
      <c r="E364" s="4">
        <v>14</v>
      </c>
      <c r="F364" s="4">
        <v>9</v>
      </c>
      <c r="G364" s="1" t="s">
        <v>32</v>
      </c>
      <c r="H364" s="1" t="s">
        <v>15</v>
      </c>
      <c r="I364" s="5" t="s">
        <v>712</v>
      </c>
      <c r="J364" s="4">
        <v>72</v>
      </c>
      <c r="K364" t="str">
        <f t="shared" si="10"/>
        <v>pass</v>
      </c>
      <c r="L364" t="str">
        <f t="shared" si="11"/>
        <v>B</v>
      </c>
    </row>
    <row r="365" spans="1:12" x14ac:dyDescent="0.3">
      <c r="A365" s="1" t="s">
        <v>713</v>
      </c>
      <c r="B365" s="1" t="s">
        <v>29</v>
      </c>
      <c r="C365" s="1" t="s">
        <v>24</v>
      </c>
      <c r="D365" s="1" t="s">
        <v>31</v>
      </c>
      <c r="E365" s="4">
        <v>16</v>
      </c>
      <c r="F365" s="4">
        <v>12</v>
      </c>
      <c r="G365" s="1" t="s">
        <v>32</v>
      </c>
      <c r="H365" s="1" t="s">
        <v>26</v>
      </c>
      <c r="I365" s="5" t="s">
        <v>714</v>
      </c>
      <c r="J365" s="4">
        <v>57</v>
      </c>
      <c r="K365" t="str">
        <f t="shared" si="10"/>
        <v>pass</v>
      </c>
      <c r="L365" t="str">
        <f t="shared" si="11"/>
        <v>D</v>
      </c>
    </row>
    <row r="366" spans="1:12" x14ac:dyDescent="0.3">
      <c r="A366" s="1" t="s">
        <v>715</v>
      </c>
      <c r="B366" s="1" t="s">
        <v>51</v>
      </c>
      <c r="C366" s="1" t="s">
        <v>79</v>
      </c>
      <c r="D366" s="1" t="s">
        <v>13</v>
      </c>
      <c r="E366" s="4">
        <v>19</v>
      </c>
      <c r="F366" s="4">
        <v>10</v>
      </c>
      <c r="G366" s="1" t="s">
        <v>32</v>
      </c>
      <c r="H366" s="1" t="s">
        <v>40</v>
      </c>
      <c r="I366" s="5" t="s">
        <v>702</v>
      </c>
      <c r="J366" s="4">
        <v>84</v>
      </c>
      <c r="K366" t="str">
        <f t="shared" si="10"/>
        <v>pass</v>
      </c>
      <c r="L366" t="str">
        <f t="shared" si="11"/>
        <v>A</v>
      </c>
    </row>
    <row r="367" spans="1:12" x14ac:dyDescent="0.3">
      <c r="A367" s="1" t="s">
        <v>716</v>
      </c>
      <c r="B367" s="1" t="s">
        <v>23</v>
      </c>
      <c r="C367" s="1" t="s">
        <v>58</v>
      </c>
      <c r="D367" s="1" t="s">
        <v>31</v>
      </c>
      <c r="E367" s="4">
        <v>17</v>
      </c>
      <c r="F367" s="4">
        <v>9</v>
      </c>
      <c r="G367" s="1" t="s">
        <v>25</v>
      </c>
      <c r="H367" s="1" t="s">
        <v>15</v>
      </c>
      <c r="I367" s="5" t="s">
        <v>717</v>
      </c>
      <c r="J367" s="4">
        <v>51</v>
      </c>
      <c r="K367" t="str">
        <f t="shared" si="10"/>
        <v>pass</v>
      </c>
      <c r="L367" t="str">
        <f t="shared" si="11"/>
        <v>D</v>
      </c>
    </row>
    <row r="368" spans="1:12" x14ac:dyDescent="0.3">
      <c r="A368" s="1" t="s">
        <v>718</v>
      </c>
      <c r="B368" s="1" t="s">
        <v>84</v>
      </c>
      <c r="C368" s="1" t="s">
        <v>12</v>
      </c>
      <c r="D368" s="1" t="s">
        <v>31</v>
      </c>
      <c r="E368" s="4">
        <v>20</v>
      </c>
      <c r="F368" s="4">
        <v>10</v>
      </c>
      <c r="G368" s="1" t="s">
        <v>25</v>
      </c>
      <c r="H368" s="1" t="s">
        <v>61</v>
      </c>
      <c r="I368" s="5" t="s">
        <v>639</v>
      </c>
      <c r="J368" s="4">
        <v>35</v>
      </c>
      <c r="K368" t="str">
        <f t="shared" si="10"/>
        <v>fail</v>
      </c>
      <c r="L368" t="str">
        <f t="shared" si="11"/>
        <v>F</v>
      </c>
    </row>
    <row r="369" spans="1:12" x14ac:dyDescent="0.3">
      <c r="A369" s="1" t="s">
        <v>719</v>
      </c>
      <c r="B369" s="1" t="s">
        <v>18</v>
      </c>
      <c r="C369" s="1" t="s">
        <v>24</v>
      </c>
      <c r="D369" s="1" t="s">
        <v>31</v>
      </c>
      <c r="E369" s="4">
        <v>18</v>
      </c>
      <c r="F369" s="4">
        <v>11</v>
      </c>
      <c r="G369" s="1" t="s">
        <v>43</v>
      </c>
      <c r="H369" s="1" t="s">
        <v>40</v>
      </c>
      <c r="I369" s="5" t="s">
        <v>720</v>
      </c>
      <c r="J369" s="4">
        <v>83</v>
      </c>
      <c r="K369" t="str">
        <f t="shared" si="10"/>
        <v>pass</v>
      </c>
      <c r="L369" t="str">
        <f t="shared" si="11"/>
        <v>A</v>
      </c>
    </row>
    <row r="370" spans="1:12" x14ac:dyDescent="0.3">
      <c r="A370" s="1" t="s">
        <v>721</v>
      </c>
      <c r="B370" s="1" t="s">
        <v>23</v>
      </c>
      <c r="C370" s="1" t="s">
        <v>19</v>
      </c>
      <c r="D370" s="1" t="s">
        <v>31</v>
      </c>
      <c r="E370" s="4">
        <v>18</v>
      </c>
      <c r="F370" s="4">
        <v>10</v>
      </c>
      <c r="G370" s="1" t="s">
        <v>14</v>
      </c>
      <c r="H370" s="1" t="s">
        <v>26</v>
      </c>
      <c r="I370" s="5" t="s">
        <v>722</v>
      </c>
      <c r="J370" s="4">
        <v>43</v>
      </c>
      <c r="K370" t="str">
        <f t="shared" si="10"/>
        <v>pass</v>
      </c>
      <c r="L370" t="str">
        <f t="shared" si="11"/>
        <v>E</v>
      </c>
    </row>
    <row r="371" spans="1:12" x14ac:dyDescent="0.3">
      <c r="A371" s="1" t="s">
        <v>723</v>
      </c>
      <c r="B371" s="1" t="s">
        <v>68</v>
      </c>
      <c r="C371" s="1" t="s">
        <v>79</v>
      </c>
      <c r="D371" s="1" t="s">
        <v>31</v>
      </c>
      <c r="E371" s="4">
        <v>19</v>
      </c>
      <c r="F371" s="4">
        <v>12</v>
      </c>
      <c r="G371" s="1" t="s">
        <v>25</v>
      </c>
      <c r="H371" s="1" t="s">
        <v>40</v>
      </c>
      <c r="I371" s="5" t="s">
        <v>724</v>
      </c>
      <c r="J371" s="4">
        <v>65</v>
      </c>
      <c r="K371" t="str">
        <f t="shared" si="10"/>
        <v>pass</v>
      </c>
      <c r="L371" t="str">
        <f t="shared" si="11"/>
        <v>C</v>
      </c>
    </row>
    <row r="372" spans="1:12" x14ac:dyDescent="0.3">
      <c r="A372" s="1" t="s">
        <v>725</v>
      </c>
      <c r="B372" s="1" t="s">
        <v>11</v>
      </c>
      <c r="C372" s="1" t="s">
        <v>55</v>
      </c>
      <c r="D372" s="1" t="s">
        <v>31</v>
      </c>
      <c r="E372" s="4">
        <v>15</v>
      </c>
      <c r="F372" s="4">
        <v>9</v>
      </c>
      <c r="G372" s="1" t="s">
        <v>25</v>
      </c>
      <c r="H372" s="1" t="s">
        <v>37</v>
      </c>
      <c r="I372" s="5" t="s">
        <v>726</v>
      </c>
      <c r="J372" s="4">
        <v>72</v>
      </c>
      <c r="K372" t="str">
        <f t="shared" si="10"/>
        <v>pass</v>
      </c>
      <c r="L372" t="str">
        <f t="shared" si="11"/>
        <v>B</v>
      </c>
    </row>
    <row r="373" spans="1:12" x14ac:dyDescent="0.3">
      <c r="A373" s="1" t="s">
        <v>727</v>
      </c>
      <c r="B373" s="1" t="s">
        <v>68</v>
      </c>
      <c r="C373" s="1" t="s">
        <v>12</v>
      </c>
      <c r="D373" s="1" t="s">
        <v>13</v>
      </c>
      <c r="E373" s="4">
        <v>14</v>
      </c>
      <c r="F373" s="4">
        <v>9</v>
      </c>
      <c r="G373" s="1" t="s">
        <v>14</v>
      </c>
      <c r="H373" s="1" t="s">
        <v>20</v>
      </c>
      <c r="I373" s="5" t="s">
        <v>728</v>
      </c>
      <c r="J373" s="4">
        <v>68</v>
      </c>
      <c r="K373" t="str">
        <f t="shared" si="10"/>
        <v>pass</v>
      </c>
      <c r="L373" t="str">
        <f t="shared" si="11"/>
        <v>C</v>
      </c>
    </row>
    <row r="374" spans="1:12" x14ac:dyDescent="0.3">
      <c r="A374" s="1" t="s">
        <v>729</v>
      </c>
      <c r="B374" s="1" t="s">
        <v>35</v>
      </c>
      <c r="C374" s="1" t="s">
        <v>79</v>
      </c>
      <c r="D374" s="1" t="s">
        <v>13</v>
      </c>
      <c r="E374" s="4">
        <v>15</v>
      </c>
      <c r="F374" s="4">
        <v>9</v>
      </c>
      <c r="G374" s="1" t="s">
        <v>43</v>
      </c>
      <c r="H374" s="1" t="s">
        <v>76</v>
      </c>
      <c r="I374" s="5" t="s">
        <v>730</v>
      </c>
      <c r="J374" s="4">
        <v>39</v>
      </c>
      <c r="K374" t="str">
        <f t="shared" si="10"/>
        <v>fail</v>
      </c>
      <c r="L374" t="str">
        <f t="shared" si="11"/>
        <v>F</v>
      </c>
    </row>
    <row r="375" spans="1:12" x14ac:dyDescent="0.3">
      <c r="A375" s="1" t="s">
        <v>731</v>
      </c>
      <c r="B375" s="1" t="s">
        <v>84</v>
      </c>
      <c r="C375" s="1" t="s">
        <v>85</v>
      </c>
      <c r="D375" s="1" t="s">
        <v>31</v>
      </c>
      <c r="E375" s="4">
        <v>17</v>
      </c>
      <c r="F375" s="4">
        <v>9</v>
      </c>
      <c r="G375" s="1" t="s">
        <v>43</v>
      </c>
      <c r="H375" s="1" t="s">
        <v>76</v>
      </c>
      <c r="I375" s="5" t="s">
        <v>732</v>
      </c>
      <c r="J375" s="4">
        <v>97</v>
      </c>
      <c r="K375" t="str">
        <f t="shared" si="10"/>
        <v>pass</v>
      </c>
      <c r="L375" t="str">
        <f t="shared" si="11"/>
        <v>A+</v>
      </c>
    </row>
    <row r="376" spans="1:12" x14ac:dyDescent="0.3">
      <c r="A376" s="1" t="s">
        <v>733</v>
      </c>
      <c r="B376" s="1" t="s">
        <v>84</v>
      </c>
      <c r="C376" s="1" t="s">
        <v>85</v>
      </c>
      <c r="D376" s="1" t="s">
        <v>31</v>
      </c>
      <c r="E376" s="4">
        <v>17</v>
      </c>
      <c r="F376" s="4">
        <v>12</v>
      </c>
      <c r="G376" s="1" t="s">
        <v>43</v>
      </c>
      <c r="H376" s="1" t="s">
        <v>15</v>
      </c>
      <c r="I376" s="5" t="s">
        <v>734</v>
      </c>
      <c r="J376" s="4">
        <v>77</v>
      </c>
      <c r="K376" t="str">
        <f t="shared" si="10"/>
        <v>pass</v>
      </c>
      <c r="L376" t="str">
        <f t="shared" si="11"/>
        <v>B</v>
      </c>
    </row>
    <row r="377" spans="1:12" x14ac:dyDescent="0.3">
      <c r="A377" s="1" t="s">
        <v>735</v>
      </c>
      <c r="B377" s="1" t="s">
        <v>68</v>
      </c>
      <c r="C377" s="1" t="s">
        <v>24</v>
      </c>
      <c r="D377" s="1" t="s">
        <v>31</v>
      </c>
      <c r="E377" s="4">
        <v>16</v>
      </c>
      <c r="F377" s="4">
        <v>12</v>
      </c>
      <c r="G377" s="1" t="s">
        <v>43</v>
      </c>
      <c r="H377" s="1" t="s">
        <v>26</v>
      </c>
      <c r="I377" s="5" t="s">
        <v>736</v>
      </c>
      <c r="J377" s="4">
        <v>85</v>
      </c>
      <c r="K377" t="str">
        <f t="shared" si="10"/>
        <v>pass</v>
      </c>
      <c r="L377" t="str">
        <f t="shared" si="11"/>
        <v>A</v>
      </c>
    </row>
    <row r="378" spans="1:12" x14ac:dyDescent="0.3">
      <c r="A378" s="1" t="s">
        <v>737</v>
      </c>
      <c r="B378" s="1" t="s">
        <v>54</v>
      </c>
      <c r="C378" s="1" t="s">
        <v>96</v>
      </c>
      <c r="D378" s="1" t="s">
        <v>13</v>
      </c>
      <c r="E378" s="4">
        <v>19</v>
      </c>
      <c r="F378" s="4">
        <v>12</v>
      </c>
      <c r="G378" s="1" t="s">
        <v>25</v>
      </c>
      <c r="H378" s="1" t="s">
        <v>20</v>
      </c>
      <c r="I378" s="5" t="s">
        <v>738</v>
      </c>
      <c r="J378" s="4">
        <v>85</v>
      </c>
      <c r="K378" t="str">
        <f t="shared" si="10"/>
        <v>pass</v>
      </c>
      <c r="L378" t="str">
        <f t="shared" si="11"/>
        <v>A</v>
      </c>
    </row>
    <row r="379" spans="1:12" x14ac:dyDescent="0.3">
      <c r="A379" s="1" t="s">
        <v>739</v>
      </c>
      <c r="B379" s="1" t="s">
        <v>18</v>
      </c>
      <c r="C379" s="1" t="s">
        <v>79</v>
      </c>
      <c r="D379" s="1" t="s">
        <v>31</v>
      </c>
      <c r="E379" s="4">
        <v>14</v>
      </c>
      <c r="F379" s="4">
        <v>10</v>
      </c>
      <c r="G379" s="1" t="s">
        <v>32</v>
      </c>
      <c r="H379" s="1" t="s">
        <v>20</v>
      </c>
      <c r="I379" s="5" t="s">
        <v>740</v>
      </c>
      <c r="J379" s="4">
        <v>99</v>
      </c>
      <c r="K379" t="str">
        <f t="shared" si="10"/>
        <v>pass</v>
      </c>
      <c r="L379" t="str">
        <f t="shared" si="11"/>
        <v>A+</v>
      </c>
    </row>
    <row r="380" spans="1:12" x14ac:dyDescent="0.3">
      <c r="A380" s="1" t="s">
        <v>741</v>
      </c>
      <c r="B380" s="1" t="s">
        <v>54</v>
      </c>
      <c r="C380" s="1" t="s">
        <v>24</v>
      </c>
      <c r="D380" s="1" t="s">
        <v>13</v>
      </c>
      <c r="E380" s="4">
        <v>14</v>
      </c>
      <c r="F380" s="4">
        <v>9</v>
      </c>
      <c r="G380" s="1" t="s">
        <v>14</v>
      </c>
      <c r="H380" s="1" t="s">
        <v>76</v>
      </c>
      <c r="I380" s="5" t="s">
        <v>742</v>
      </c>
      <c r="J380" s="4">
        <v>55</v>
      </c>
      <c r="K380" t="str">
        <f t="shared" si="10"/>
        <v>pass</v>
      </c>
      <c r="L380" t="str">
        <f t="shared" si="11"/>
        <v>D</v>
      </c>
    </row>
    <row r="381" spans="1:12" x14ac:dyDescent="0.3">
      <c r="A381" s="1" t="s">
        <v>743</v>
      </c>
      <c r="B381" s="1" t="s">
        <v>84</v>
      </c>
      <c r="C381" s="1" t="s">
        <v>19</v>
      </c>
      <c r="D381" s="1" t="s">
        <v>13</v>
      </c>
      <c r="E381" s="4">
        <v>15</v>
      </c>
      <c r="F381" s="4">
        <v>10</v>
      </c>
      <c r="G381" s="1" t="s">
        <v>43</v>
      </c>
      <c r="H381" s="1" t="s">
        <v>26</v>
      </c>
      <c r="I381" s="5" t="s">
        <v>744</v>
      </c>
      <c r="J381" s="4">
        <v>60</v>
      </c>
      <c r="K381" t="str">
        <f t="shared" si="10"/>
        <v>pass</v>
      </c>
      <c r="L381" t="str">
        <f t="shared" si="11"/>
        <v>C</v>
      </c>
    </row>
    <row r="382" spans="1:12" x14ac:dyDescent="0.3">
      <c r="A382" s="1" t="s">
        <v>745</v>
      </c>
      <c r="B382" s="1" t="s">
        <v>73</v>
      </c>
      <c r="C382" s="1" t="s">
        <v>36</v>
      </c>
      <c r="D382" s="1" t="s">
        <v>13</v>
      </c>
      <c r="E382" s="4">
        <v>16</v>
      </c>
      <c r="F382" s="4">
        <v>9</v>
      </c>
      <c r="G382" s="1" t="s">
        <v>32</v>
      </c>
      <c r="H382" s="1" t="s">
        <v>76</v>
      </c>
      <c r="I382" s="5" t="s">
        <v>746</v>
      </c>
      <c r="J382" s="4">
        <v>38</v>
      </c>
      <c r="K382" t="str">
        <f t="shared" si="10"/>
        <v>fail</v>
      </c>
      <c r="L382" t="str">
        <f t="shared" si="11"/>
        <v>F</v>
      </c>
    </row>
    <row r="383" spans="1:12" x14ac:dyDescent="0.3">
      <c r="A383" s="1" t="s">
        <v>747</v>
      </c>
      <c r="B383" s="1" t="s">
        <v>51</v>
      </c>
      <c r="C383" s="1" t="s">
        <v>96</v>
      </c>
      <c r="D383" s="1" t="s">
        <v>13</v>
      </c>
      <c r="E383" s="4">
        <v>17</v>
      </c>
      <c r="F383" s="4">
        <v>12</v>
      </c>
      <c r="G383" s="1" t="s">
        <v>14</v>
      </c>
      <c r="H383" s="1" t="s">
        <v>26</v>
      </c>
      <c r="I383" s="5" t="s">
        <v>748</v>
      </c>
      <c r="J383" s="4">
        <v>67</v>
      </c>
      <c r="K383" t="str">
        <f t="shared" si="10"/>
        <v>pass</v>
      </c>
      <c r="L383" t="str">
        <f t="shared" si="11"/>
        <v>C</v>
      </c>
    </row>
    <row r="384" spans="1:12" x14ac:dyDescent="0.3">
      <c r="A384" s="1" t="s">
        <v>749</v>
      </c>
      <c r="B384" s="1" t="s">
        <v>84</v>
      </c>
      <c r="C384" s="1" t="s">
        <v>30</v>
      </c>
      <c r="D384" s="1" t="s">
        <v>13</v>
      </c>
      <c r="E384" s="4">
        <v>15</v>
      </c>
      <c r="F384" s="4">
        <v>12</v>
      </c>
      <c r="G384" s="1" t="s">
        <v>25</v>
      </c>
      <c r="H384" s="1" t="s">
        <v>61</v>
      </c>
      <c r="I384" s="5" t="s">
        <v>750</v>
      </c>
      <c r="J384" s="4">
        <v>95</v>
      </c>
      <c r="K384" t="str">
        <f t="shared" si="10"/>
        <v>pass</v>
      </c>
      <c r="L384" t="str">
        <f t="shared" si="11"/>
        <v>A+</v>
      </c>
    </row>
    <row r="385" spans="1:12" x14ac:dyDescent="0.3">
      <c r="A385" s="1" t="s">
        <v>751</v>
      </c>
      <c r="B385" s="1" t="s">
        <v>73</v>
      </c>
      <c r="C385" s="1" t="s">
        <v>79</v>
      </c>
      <c r="D385" s="1" t="s">
        <v>31</v>
      </c>
      <c r="E385" s="4">
        <v>20</v>
      </c>
      <c r="F385" s="4">
        <v>12</v>
      </c>
      <c r="G385" s="1" t="s">
        <v>25</v>
      </c>
      <c r="H385" s="1" t="s">
        <v>76</v>
      </c>
      <c r="I385" s="5" t="s">
        <v>752</v>
      </c>
      <c r="J385" s="4">
        <v>91</v>
      </c>
      <c r="K385" t="str">
        <f t="shared" si="10"/>
        <v>pass</v>
      </c>
      <c r="L385" t="str">
        <f t="shared" si="11"/>
        <v>A+</v>
      </c>
    </row>
    <row r="386" spans="1:12" x14ac:dyDescent="0.3">
      <c r="A386" s="1" t="s">
        <v>753</v>
      </c>
      <c r="B386" s="1" t="s">
        <v>73</v>
      </c>
      <c r="C386" s="1" t="s">
        <v>24</v>
      </c>
      <c r="D386" s="1" t="s">
        <v>13</v>
      </c>
      <c r="E386" s="4">
        <v>18</v>
      </c>
      <c r="F386" s="4">
        <v>11</v>
      </c>
      <c r="G386" s="1" t="s">
        <v>32</v>
      </c>
      <c r="H386" s="1" t="s">
        <v>40</v>
      </c>
      <c r="I386" s="5" t="s">
        <v>313</v>
      </c>
      <c r="J386" s="4">
        <v>58</v>
      </c>
      <c r="K386" t="str">
        <f t="shared" si="10"/>
        <v>pass</v>
      </c>
      <c r="L386" t="str">
        <f t="shared" si="11"/>
        <v>D</v>
      </c>
    </row>
    <row r="387" spans="1:12" x14ac:dyDescent="0.3">
      <c r="A387" s="1" t="s">
        <v>754</v>
      </c>
      <c r="B387" s="1" t="s">
        <v>54</v>
      </c>
      <c r="C387" s="1" t="s">
        <v>12</v>
      </c>
      <c r="D387" s="1" t="s">
        <v>13</v>
      </c>
      <c r="E387" s="4">
        <v>14</v>
      </c>
      <c r="F387" s="4">
        <v>12</v>
      </c>
      <c r="G387" s="1" t="s">
        <v>32</v>
      </c>
      <c r="H387" s="1" t="s">
        <v>20</v>
      </c>
      <c r="I387" s="5" t="s">
        <v>755</v>
      </c>
      <c r="J387" s="4">
        <v>98</v>
      </c>
      <c r="K387" t="str">
        <f t="shared" ref="K387:K450" si="12">IF(J387&gt;=40,"pass","fail")</f>
        <v>pass</v>
      </c>
      <c r="L387" t="str">
        <f t="shared" ref="L387:L450" si="13">IF(J387&gt;=90,"A+",IF(J387&gt;=80,"A",IF(J387&gt;=70,"B",IF(J387&gt;=60,"C",IF(J387&gt;=50,"D",IF(J387&gt;=40,"E","F"))))))</f>
        <v>A+</v>
      </c>
    </row>
    <row r="388" spans="1:12" x14ac:dyDescent="0.3">
      <c r="A388" s="1" t="s">
        <v>756</v>
      </c>
      <c r="B388" s="1" t="s">
        <v>11</v>
      </c>
      <c r="C388" s="1" t="s">
        <v>30</v>
      </c>
      <c r="D388" s="1" t="s">
        <v>13</v>
      </c>
      <c r="E388" s="4">
        <v>15</v>
      </c>
      <c r="F388" s="4">
        <v>11</v>
      </c>
      <c r="G388" s="1" t="s">
        <v>14</v>
      </c>
      <c r="H388" s="1" t="s">
        <v>76</v>
      </c>
      <c r="I388" s="5" t="s">
        <v>757</v>
      </c>
      <c r="J388" s="4">
        <v>39</v>
      </c>
      <c r="K388" t="str">
        <f t="shared" si="12"/>
        <v>fail</v>
      </c>
      <c r="L388" t="str">
        <f t="shared" si="13"/>
        <v>F</v>
      </c>
    </row>
    <row r="389" spans="1:12" x14ac:dyDescent="0.3">
      <c r="A389" s="1" t="s">
        <v>758</v>
      </c>
      <c r="B389" s="1" t="s">
        <v>73</v>
      </c>
      <c r="C389" s="1" t="s">
        <v>12</v>
      </c>
      <c r="D389" s="1" t="s">
        <v>31</v>
      </c>
      <c r="E389" s="4">
        <v>16</v>
      </c>
      <c r="F389" s="4">
        <v>11</v>
      </c>
      <c r="G389" s="1" t="s">
        <v>43</v>
      </c>
      <c r="H389" s="1" t="s">
        <v>40</v>
      </c>
      <c r="I389" s="5" t="s">
        <v>759</v>
      </c>
      <c r="J389" s="4">
        <v>70</v>
      </c>
      <c r="K389" t="str">
        <f t="shared" si="12"/>
        <v>pass</v>
      </c>
      <c r="L389" t="str">
        <f t="shared" si="13"/>
        <v>B</v>
      </c>
    </row>
    <row r="390" spans="1:12" x14ac:dyDescent="0.3">
      <c r="A390" s="1" t="s">
        <v>760</v>
      </c>
      <c r="B390" s="1" t="s">
        <v>84</v>
      </c>
      <c r="C390" s="1" t="s">
        <v>96</v>
      </c>
      <c r="D390" s="1" t="s">
        <v>31</v>
      </c>
      <c r="E390" s="4">
        <v>16</v>
      </c>
      <c r="F390" s="4">
        <v>11</v>
      </c>
      <c r="G390" s="1" t="s">
        <v>32</v>
      </c>
      <c r="H390" s="1" t="s">
        <v>76</v>
      </c>
      <c r="I390" s="5" t="s">
        <v>761</v>
      </c>
      <c r="J390" s="4">
        <v>83</v>
      </c>
      <c r="K390" t="str">
        <f t="shared" si="12"/>
        <v>pass</v>
      </c>
      <c r="L390" t="str">
        <f t="shared" si="13"/>
        <v>A</v>
      </c>
    </row>
    <row r="391" spans="1:12" x14ac:dyDescent="0.3">
      <c r="A391" s="1" t="s">
        <v>762</v>
      </c>
      <c r="B391" s="1" t="s">
        <v>68</v>
      </c>
      <c r="C391" s="1" t="s">
        <v>85</v>
      </c>
      <c r="D391" s="1" t="s">
        <v>31</v>
      </c>
      <c r="E391" s="4">
        <v>20</v>
      </c>
      <c r="F391" s="4">
        <v>12</v>
      </c>
      <c r="G391" s="1" t="s">
        <v>43</v>
      </c>
      <c r="H391" s="1" t="s">
        <v>20</v>
      </c>
      <c r="I391" s="5" t="s">
        <v>763</v>
      </c>
      <c r="J391" s="4">
        <v>82</v>
      </c>
      <c r="K391" t="str">
        <f t="shared" si="12"/>
        <v>pass</v>
      </c>
      <c r="L391" t="str">
        <f t="shared" si="13"/>
        <v>A</v>
      </c>
    </row>
    <row r="392" spans="1:12" x14ac:dyDescent="0.3">
      <c r="A392" s="1" t="s">
        <v>764</v>
      </c>
      <c r="B392" s="1" t="s">
        <v>18</v>
      </c>
      <c r="C392" s="1" t="s">
        <v>55</v>
      </c>
      <c r="D392" s="1" t="s">
        <v>13</v>
      </c>
      <c r="E392" s="4">
        <v>16</v>
      </c>
      <c r="F392" s="4">
        <v>12</v>
      </c>
      <c r="G392" s="1" t="s">
        <v>14</v>
      </c>
      <c r="H392" s="1" t="s">
        <v>40</v>
      </c>
      <c r="I392" s="5" t="s">
        <v>765</v>
      </c>
      <c r="J392" s="4">
        <v>61</v>
      </c>
      <c r="K392" t="str">
        <f t="shared" si="12"/>
        <v>pass</v>
      </c>
      <c r="L392" t="str">
        <f t="shared" si="13"/>
        <v>C</v>
      </c>
    </row>
    <row r="393" spans="1:12" x14ac:dyDescent="0.3">
      <c r="A393" s="1" t="s">
        <v>766</v>
      </c>
      <c r="B393" s="1" t="s">
        <v>35</v>
      </c>
      <c r="C393" s="1" t="s">
        <v>58</v>
      </c>
      <c r="D393" s="1" t="s">
        <v>13</v>
      </c>
      <c r="E393" s="4">
        <v>20</v>
      </c>
      <c r="F393" s="4">
        <v>11</v>
      </c>
      <c r="G393" s="1" t="s">
        <v>32</v>
      </c>
      <c r="H393" s="1" t="s">
        <v>46</v>
      </c>
      <c r="I393" s="5" t="s">
        <v>767</v>
      </c>
      <c r="J393" s="4">
        <v>54</v>
      </c>
      <c r="K393" t="str">
        <f t="shared" si="12"/>
        <v>pass</v>
      </c>
      <c r="L393" t="str">
        <f t="shared" si="13"/>
        <v>D</v>
      </c>
    </row>
    <row r="394" spans="1:12" x14ac:dyDescent="0.3">
      <c r="A394" s="1" t="s">
        <v>768</v>
      </c>
      <c r="B394" s="1" t="s">
        <v>23</v>
      </c>
      <c r="C394" s="1" t="s">
        <v>24</v>
      </c>
      <c r="D394" s="1" t="s">
        <v>13</v>
      </c>
      <c r="E394" s="4">
        <v>17</v>
      </c>
      <c r="F394" s="4">
        <v>11</v>
      </c>
      <c r="G394" s="1" t="s">
        <v>25</v>
      </c>
      <c r="H394" s="1" t="s">
        <v>40</v>
      </c>
      <c r="I394" s="5" t="s">
        <v>258</v>
      </c>
      <c r="J394" s="4">
        <v>61</v>
      </c>
      <c r="K394" t="str">
        <f t="shared" si="12"/>
        <v>pass</v>
      </c>
      <c r="L394" t="str">
        <f t="shared" si="13"/>
        <v>C</v>
      </c>
    </row>
    <row r="395" spans="1:12" x14ac:dyDescent="0.3">
      <c r="A395" s="1" t="s">
        <v>769</v>
      </c>
      <c r="B395" s="1" t="s">
        <v>35</v>
      </c>
      <c r="C395" s="1" t="s">
        <v>30</v>
      </c>
      <c r="D395" s="1" t="s">
        <v>13</v>
      </c>
      <c r="E395" s="4">
        <v>16</v>
      </c>
      <c r="F395" s="4">
        <v>11</v>
      </c>
      <c r="G395" s="1" t="s">
        <v>32</v>
      </c>
      <c r="H395" s="1" t="s">
        <v>46</v>
      </c>
      <c r="I395" s="5" t="s">
        <v>770</v>
      </c>
      <c r="J395" s="4">
        <v>85</v>
      </c>
      <c r="K395" t="str">
        <f t="shared" si="12"/>
        <v>pass</v>
      </c>
      <c r="L395" t="str">
        <f t="shared" si="13"/>
        <v>A</v>
      </c>
    </row>
    <row r="396" spans="1:12" x14ac:dyDescent="0.3">
      <c r="A396" s="1" t="s">
        <v>771</v>
      </c>
      <c r="B396" s="1" t="s">
        <v>23</v>
      </c>
      <c r="C396" s="1" t="s">
        <v>24</v>
      </c>
      <c r="D396" s="1" t="s">
        <v>31</v>
      </c>
      <c r="E396" s="4">
        <v>18</v>
      </c>
      <c r="F396" s="4">
        <v>11</v>
      </c>
      <c r="G396" s="1" t="s">
        <v>25</v>
      </c>
      <c r="H396" s="1" t="s">
        <v>46</v>
      </c>
      <c r="I396" s="5" t="s">
        <v>772</v>
      </c>
      <c r="J396" s="4">
        <v>89</v>
      </c>
      <c r="K396" t="str">
        <f t="shared" si="12"/>
        <v>pass</v>
      </c>
      <c r="L396" t="str">
        <f t="shared" si="13"/>
        <v>A</v>
      </c>
    </row>
    <row r="397" spans="1:12" x14ac:dyDescent="0.3">
      <c r="A397" s="1" t="s">
        <v>773</v>
      </c>
      <c r="B397" s="1" t="s">
        <v>68</v>
      </c>
      <c r="C397" s="1" t="s">
        <v>19</v>
      </c>
      <c r="D397" s="1" t="s">
        <v>13</v>
      </c>
      <c r="E397" s="4">
        <v>14</v>
      </c>
      <c r="F397" s="4">
        <v>11</v>
      </c>
      <c r="G397" s="1" t="s">
        <v>14</v>
      </c>
      <c r="H397" s="1" t="s">
        <v>20</v>
      </c>
      <c r="I397" s="5" t="s">
        <v>774</v>
      </c>
      <c r="J397" s="4">
        <v>72</v>
      </c>
      <c r="K397" t="str">
        <f t="shared" si="12"/>
        <v>pass</v>
      </c>
      <c r="L397" t="str">
        <f t="shared" si="13"/>
        <v>B</v>
      </c>
    </row>
    <row r="398" spans="1:12" x14ac:dyDescent="0.3">
      <c r="A398" s="1" t="s">
        <v>775</v>
      </c>
      <c r="B398" s="1" t="s">
        <v>29</v>
      </c>
      <c r="C398" s="1" t="s">
        <v>85</v>
      </c>
      <c r="D398" s="1" t="s">
        <v>31</v>
      </c>
      <c r="E398" s="4">
        <v>20</v>
      </c>
      <c r="F398" s="4">
        <v>10</v>
      </c>
      <c r="G398" s="1" t="s">
        <v>14</v>
      </c>
      <c r="H398" s="1" t="s">
        <v>46</v>
      </c>
      <c r="I398" s="5" t="s">
        <v>366</v>
      </c>
      <c r="J398" s="4">
        <v>100</v>
      </c>
      <c r="K398" t="str">
        <f t="shared" si="12"/>
        <v>pass</v>
      </c>
      <c r="L398" t="str">
        <f t="shared" si="13"/>
        <v>A+</v>
      </c>
    </row>
    <row r="399" spans="1:12" x14ac:dyDescent="0.3">
      <c r="A399" s="1" t="s">
        <v>776</v>
      </c>
      <c r="B399" s="1" t="s">
        <v>11</v>
      </c>
      <c r="C399" s="1" t="s">
        <v>12</v>
      </c>
      <c r="D399" s="1" t="s">
        <v>31</v>
      </c>
      <c r="E399" s="4">
        <v>20</v>
      </c>
      <c r="F399" s="4">
        <v>9</v>
      </c>
      <c r="G399" s="1" t="s">
        <v>14</v>
      </c>
      <c r="H399" s="1" t="s">
        <v>76</v>
      </c>
      <c r="I399" s="5" t="s">
        <v>777</v>
      </c>
      <c r="J399" s="4">
        <v>84</v>
      </c>
      <c r="K399" t="str">
        <f t="shared" si="12"/>
        <v>pass</v>
      </c>
      <c r="L399" t="str">
        <f t="shared" si="13"/>
        <v>A</v>
      </c>
    </row>
    <row r="400" spans="1:12" x14ac:dyDescent="0.3">
      <c r="A400" s="1" t="s">
        <v>778</v>
      </c>
      <c r="B400" s="1" t="s">
        <v>73</v>
      </c>
      <c r="C400" s="1" t="s">
        <v>19</v>
      </c>
      <c r="D400" s="1" t="s">
        <v>13</v>
      </c>
      <c r="E400" s="4">
        <v>17</v>
      </c>
      <c r="F400" s="4">
        <v>12</v>
      </c>
      <c r="G400" s="1" t="s">
        <v>14</v>
      </c>
      <c r="H400" s="1" t="s">
        <v>37</v>
      </c>
      <c r="I400" s="5" t="s">
        <v>779</v>
      </c>
      <c r="J400" s="4">
        <v>76</v>
      </c>
      <c r="K400" t="str">
        <f t="shared" si="12"/>
        <v>pass</v>
      </c>
      <c r="L400" t="str">
        <f t="shared" si="13"/>
        <v>B</v>
      </c>
    </row>
    <row r="401" spans="1:12" x14ac:dyDescent="0.3">
      <c r="A401" s="1" t="s">
        <v>780</v>
      </c>
      <c r="B401" s="1" t="s">
        <v>35</v>
      </c>
      <c r="C401" s="1" t="s">
        <v>36</v>
      </c>
      <c r="D401" s="1" t="s">
        <v>31</v>
      </c>
      <c r="E401" s="4">
        <v>14</v>
      </c>
      <c r="F401" s="4">
        <v>9</v>
      </c>
      <c r="G401" s="1" t="s">
        <v>25</v>
      </c>
      <c r="H401" s="1" t="s">
        <v>40</v>
      </c>
      <c r="I401" s="5" t="s">
        <v>781</v>
      </c>
      <c r="J401" s="4">
        <v>36</v>
      </c>
      <c r="K401" t="str">
        <f t="shared" si="12"/>
        <v>fail</v>
      </c>
      <c r="L401" t="str">
        <f t="shared" si="13"/>
        <v>F</v>
      </c>
    </row>
    <row r="402" spans="1:12" x14ac:dyDescent="0.3">
      <c r="A402" s="1" t="s">
        <v>782</v>
      </c>
      <c r="B402" s="1" t="s">
        <v>84</v>
      </c>
      <c r="C402" s="1" t="s">
        <v>12</v>
      </c>
      <c r="D402" s="1" t="s">
        <v>31</v>
      </c>
      <c r="E402" s="4">
        <v>14</v>
      </c>
      <c r="F402" s="4">
        <v>11</v>
      </c>
      <c r="G402" s="1" t="s">
        <v>14</v>
      </c>
      <c r="H402" s="1" t="s">
        <v>37</v>
      </c>
      <c r="I402" s="5" t="s">
        <v>252</v>
      </c>
      <c r="J402" s="4">
        <v>95</v>
      </c>
      <c r="K402" t="str">
        <f t="shared" si="12"/>
        <v>pass</v>
      </c>
      <c r="L402" t="str">
        <f t="shared" si="13"/>
        <v>A+</v>
      </c>
    </row>
    <row r="403" spans="1:12" x14ac:dyDescent="0.3">
      <c r="A403" s="1" t="s">
        <v>783</v>
      </c>
      <c r="B403" s="1" t="s">
        <v>54</v>
      </c>
      <c r="C403" s="1" t="s">
        <v>79</v>
      </c>
      <c r="D403" s="1" t="s">
        <v>31</v>
      </c>
      <c r="E403" s="4">
        <v>15</v>
      </c>
      <c r="F403" s="4">
        <v>11</v>
      </c>
      <c r="G403" s="1" t="s">
        <v>25</v>
      </c>
      <c r="H403" s="1" t="s">
        <v>61</v>
      </c>
      <c r="I403" s="5" t="s">
        <v>628</v>
      </c>
      <c r="J403" s="4">
        <v>39</v>
      </c>
      <c r="K403" t="str">
        <f t="shared" si="12"/>
        <v>fail</v>
      </c>
      <c r="L403" t="str">
        <f t="shared" si="13"/>
        <v>F</v>
      </c>
    </row>
    <row r="404" spans="1:12" x14ac:dyDescent="0.3">
      <c r="A404" s="1" t="s">
        <v>784</v>
      </c>
      <c r="B404" s="1" t="s">
        <v>84</v>
      </c>
      <c r="C404" s="1" t="s">
        <v>12</v>
      </c>
      <c r="D404" s="1" t="s">
        <v>13</v>
      </c>
      <c r="E404" s="4">
        <v>17</v>
      </c>
      <c r="F404" s="4">
        <v>9</v>
      </c>
      <c r="G404" s="1" t="s">
        <v>43</v>
      </c>
      <c r="H404" s="1" t="s">
        <v>76</v>
      </c>
      <c r="I404" s="5" t="s">
        <v>685</v>
      </c>
      <c r="J404" s="4">
        <v>89</v>
      </c>
      <c r="K404" t="str">
        <f t="shared" si="12"/>
        <v>pass</v>
      </c>
      <c r="L404" t="str">
        <f t="shared" si="13"/>
        <v>A</v>
      </c>
    </row>
    <row r="405" spans="1:12" x14ac:dyDescent="0.3">
      <c r="A405" s="1" t="s">
        <v>785</v>
      </c>
      <c r="B405" s="1" t="s">
        <v>35</v>
      </c>
      <c r="C405" s="1" t="s">
        <v>58</v>
      </c>
      <c r="D405" s="1" t="s">
        <v>13</v>
      </c>
      <c r="E405" s="4">
        <v>18</v>
      </c>
      <c r="F405" s="4">
        <v>12</v>
      </c>
      <c r="G405" s="1" t="s">
        <v>43</v>
      </c>
      <c r="H405" s="1" t="s">
        <v>20</v>
      </c>
      <c r="I405" s="5" t="s">
        <v>786</v>
      </c>
      <c r="J405" s="4">
        <v>93</v>
      </c>
      <c r="K405" t="str">
        <f t="shared" si="12"/>
        <v>pass</v>
      </c>
      <c r="L405" t="str">
        <f t="shared" si="13"/>
        <v>A+</v>
      </c>
    </row>
    <row r="406" spans="1:12" x14ac:dyDescent="0.3">
      <c r="A406" s="1" t="s">
        <v>787</v>
      </c>
      <c r="B406" s="1" t="s">
        <v>18</v>
      </c>
      <c r="C406" s="1" t="s">
        <v>36</v>
      </c>
      <c r="D406" s="1" t="s">
        <v>31</v>
      </c>
      <c r="E406" s="4">
        <v>16</v>
      </c>
      <c r="F406" s="4">
        <v>9</v>
      </c>
      <c r="G406" s="1" t="s">
        <v>14</v>
      </c>
      <c r="H406" s="1" t="s">
        <v>76</v>
      </c>
      <c r="I406" s="5" t="s">
        <v>788</v>
      </c>
      <c r="J406" s="4">
        <v>88</v>
      </c>
      <c r="K406" t="str">
        <f t="shared" si="12"/>
        <v>pass</v>
      </c>
      <c r="L406" t="str">
        <f t="shared" si="13"/>
        <v>A</v>
      </c>
    </row>
    <row r="407" spans="1:12" x14ac:dyDescent="0.3">
      <c r="A407" s="1" t="s">
        <v>789</v>
      </c>
      <c r="B407" s="1" t="s">
        <v>54</v>
      </c>
      <c r="C407" s="1" t="s">
        <v>12</v>
      </c>
      <c r="D407" s="1" t="s">
        <v>31</v>
      </c>
      <c r="E407" s="4">
        <v>18</v>
      </c>
      <c r="F407" s="4">
        <v>10</v>
      </c>
      <c r="G407" s="1" t="s">
        <v>25</v>
      </c>
      <c r="H407" s="1" t="s">
        <v>15</v>
      </c>
      <c r="I407" s="5" t="s">
        <v>790</v>
      </c>
      <c r="J407" s="4">
        <v>95</v>
      </c>
      <c r="K407" t="str">
        <f t="shared" si="12"/>
        <v>pass</v>
      </c>
      <c r="L407" t="str">
        <f t="shared" si="13"/>
        <v>A+</v>
      </c>
    </row>
    <row r="408" spans="1:12" x14ac:dyDescent="0.3">
      <c r="A408" s="1" t="s">
        <v>791</v>
      </c>
      <c r="B408" s="1" t="s">
        <v>51</v>
      </c>
      <c r="C408" s="1" t="s">
        <v>85</v>
      </c>
      <c r="D408" s="1" t="s">
        <v>13</v>
      </c>
      <c r="E408" s="4">
        <v>14</v>
      </c>
      <c r="F408" s="4">
        <v>9</v>
      </c>
      <c r="G408" s="1" t="s">
        <v>43</v>
      </c>
      <c r="H408" s="1" t="s">
        <v>61</v>
      </c>
      <c r="I408" s="5" t="s">
        <v>792</v>
      </c>
      <c r="J408" s="4">
        <v>96</v>
      </c>
      <c r="K408" t="str">
        <f t="shared" si="12"/>
        <v>pass</v>
      </c>
      <c r="L408" t="str">
        <f t="shared" si="13"/>
        <v>A+</v>
      </c>
    </row>
    <row r="409" spans="1:12" x14ac:dyDescent="0.3">
      <c r="A409" s="1" t="s">
        <v>793</v>
      </c>
      <c r="B409" s="1" t="s">
        <v>35</v>
      </c>
      <c r="C409" s="1" t="s">
        <v>19</v>
      </c>
      <c r="D409" s="1" t="s">
        <v>31</v>
      </c>
      <c r="E409" s="4">
        <v>20</v>
      </c>
      <c r="F409" s="4">
        <v>11</v>
      </c>
      <c r="G409" s="1" t="s">
        <v>32</v>
      </c>
      <c r="H409" s="1" t="s">
        <v>20</v>
      </c>
      <c r="I409" s="5" t="s">
        <v>794</v>
      </c>
      <c r="J409" s="4">
        <v>74</v>
      </c>
      <c r="K409" t="str">
        <f t="shared" si="12"/>
        <v>pass</v>
      </c>
      <c r="L409" t="str">
        <f t="shared" si="13"/>
        <v>B</v>
      </c>
    </row>
    <row r="410" spans="1:12" x14ac:dyDescent="0.3">
      <c r="A410" s="1" t="s">
        <v>795</v>
      </c>
      <c r="B410" s="1" t="s">
        <v>54</v>
      </c>
      <c r="C410" s="1" t="s">
        <v>30</v>
      </c>
      <c r="D410" s="1" t="s">
        <v>13</v>
      </c>
      <c r="E410" s="4">
        <v>18</v>
      </c>
      <c r="F410" s="4">
        <v>12</v>
      </c>
      <c r="G410" s="1" t="s">
        <v>32</v>
      </c>
      <c r="H410" s="1" t="s">
        <v>20</v>
      </c>
      <c r="I410" s="5" t="s">
        <v>796</v>
      </c>
      <c r="J410" s="4">
        <v>55</v>
      </c>
      <c r="K410" t="str">
        <f t="shared" si="12"/>
        <v>pass</v>
      </c>
      <c r="L410" t="str">
        <f t="shared" si="13"/>
        <v>D</v>
      </c>
    </row>
    <row r="411" spans="1:12" x14ac:dyDescent="0.3">
      <c r="A411" s="1" t="s">
        <v>797</v>
      </c>
      <c r="B411" s="1" t="s">
        <v>23</v>
      </c>
      <c r="C411" s="1" t="s">
        <v>85</v>
      </c>
      <c r="D411" s="1" t="s">
        <v>13</v>
      </c>
      <c r="E411" s="4">
        <v>17</v>
      </c>
      <c r="F411" s="4">
        <v>12</v>
      </c>
      <c r="G411" s="1" t="s">
        <v>14</v>
      </c>
      <c r="H411" s="1" t="s">
        <v>76</v>
      </c>
      <c r="I411" s="5" t="s">
        <v>71</v>
      </c>
      <c r="J411" s="4">
        <v>77</v>
      </c>
      <c r="K411" t="str">
        <f t="shared" si="12"/>
        <v>pass</v>
      </c>
      <c r="L411" t="str">
        <f t="shared" si="13"/>
        <v>B</v>
      </c>
    </row>
    <row r="412" spans="1:12" x14ac:dyDescent="0.3">
      <c r="A412" s="1" t="s">
        <v>798</v>
      </c>
      <c r="B412" s="1" t="s">
        <v>23</v>
      </c>
      <c r="C412" s="1" t="s">
        <v>19</v>
      </c>
      <c r="D412" s="1" t="s">
        <v>13</v>
      </c>
      <c r="E412" s="4">
        <v>17</v>
      </c>
      <c r="F412" s="4">
        <v>12</v>
      </c>
      <c r="G412" s="1" t="s">
        <v>14</v>
      </c>
      <c r="H412" s="1" t="s">
        <v>40</v>
      </c>
      <c r="I412" s="5" t="s">
        <v>159</v>
      </c>
      <c r="J412" s="4">
        <v>95</v>
      </c>
      <c r="K412" t="str">
        <f t="shared" si="12"/>
        <v>pass</v>
      </c>
      <c r="L412" t="str">
        <f t="shared" si="13"/>
        <v>A+</v>
      </c>
    </row>
    <row r="413" spans="1:12" x14ac:dyDescent="0.3">
      <c r="A413" s="1" t="s">
        <v>799</v>
      </c>
      <c r="B413" s="1" t="s">
        <v>54</v>
      </c>
      <c r="C413" s="1" t="s">
        <v>36</v>
      </c>
      <c r="D413" s="1" t="s">
        <v>31</v>
      </c>
      <c r="E413" s="4">
        <v>17</v>
      </c>
      <c r="F413" s="4">
        <v>12</v>
      </c>
      <c r="G413" s="1" t="s">
        <v>14</v>
      </c>
      <c r="H413" s="1" t="s">
        <v>46</v>
      </c>
      <c r="I413" s="5" t="s">
        <v>533</v>
      </c>
      <c r="J413" s="4">
        <v>59</v>
      </c>
      <c r="K413" t="str">
        <f t="shared" si="12"/>
        <v>pass</v>
      </c>
      <c r="L413" t="str">
        <f t="shared" si="13"/>
        <v>D</v>
      </c>
    </row>
    <row r="414" spans="1:12" x14ac:dyDescent="0.3">
      <c r="A414" s="1" t="s">
        <v>800</v>
      </c>
      <c r="B414" s="1" t="s">
        <v>23</v>
      </c>
      <c r="C414" s="1" t="s">
        <v>79</v>
      </c>
      <c r="D414" s="1" t="s">
        <v>31</v>
      </c>
      <c r="E414" s="4">
        <v>18</v>
      </c>
      <c r="F414" s="4">
        <v>11</v>
      </c>
      <c r="G414" s="1" t="s">
        <v>32</v>
      </c>
      <c r="H414" s="1" t="s">
        <v>76</v>
      </c>
      <c r="I414" s="5" t="s">
        <v>801</v>
      </c>
      <c r="J414" s="4">
        <v>97</v>
      </c>
      <c r="K414" t="str">
        <f t="shared" si="12"/>
        <v>pass</v>
      </c>
      <c r="L414" t="str">
        <f t="shared" si="13"/>
        <v>A+</v>
      </c>
    </row>
    <row r="415" spans="1:12" x14ac:dyDescent="0.3">
      <c r="A415" s="1" t="s">
        <v>802</v>
      </c>
      <c r="B415" s="1" t="s">
        <v>29</v>
      </c>
      <c r="C415" s="1" t="s">
        <v>96</v>
      </c>
      <c r="D415" s="1" t="s">
        <v>13</v>
      </c>
      <c r="E415" s="4">
        <v>14</v>
      </c>
      <c r="F415" s="4">
        <v>10</v>
      </c>
      <c r="G415" s="1" t="s">
        <v>25</v>
      </c>
      <c r="H415" s="1" t="s">
        <v>61</v>
      </c>
      <c r="I415" s="5" t="s">
        <v>803</v>
      </c>
      <c r="J415" s="4">
        <v>89</v>
      </c>
      <c r="K415" t="str">
        <f t="shared" si="12"/>
        <v>pass</v>
      </c>
      <c r="L415" t="str">
        <f t="shared" si="13"/>
        <v>A</v>
      </c>
    </row>
    <row r="416" spans="1:12" x14ac:dyDescent="0.3">
      <c r="A416" s="1" t="s">
        <v>804</v>
      </c>
      <c r="B416" s="1" t="s">
        <v>54</v>
      </c>
      <c r="C416" s="1" t="s">
        <v>79</v>
      </c>
      <c r="D416" s="1" t="s">
        <v>13</v>
      </c>
      <c r="E416" s="4">
        <v>19</v>
      </c>
      <c r="F416" s="4">
        <v>9</v>
      </c>
      <c r="G416" s="1" t="s">
        <v>25</v>
      </c>
      <c r="H416" s="1" t="s">
        <v>61</v>
      </c>
      <c r="I416" s="5" t="s">
        <v>56</v>
      </c>
      <c r="J416" s="4">
        <v>43</v>
      </c>
      <c r="K416" t="str">
        <f t="shared" si="12"/>
        <v>pass</v>
      </c>
      <c r="L416" t="str">
        <f t="shared" si="13"/>
        <v>E</v>
      </c>
    </row>
    <row r="417" spans="1:12" x14ac:dyDescent="0.3">
      <c r="A417" s="1" t="s">
        <v>805</v>
      </c>
      <c r="B417" s="1" t="s">
        <v>29</v>
      </c>
      <c r="C417" s="1" t="s">
        <v>36</v>
      </c>
      <c r="D417" s="1" t="s">
        <v>31</v>
      </c>
      <c r="E417" s="4">
        <v>17</v>
      </c>
      <c r="F417" s="4">
        <v>10</v>
      </c>
      <c r="G417" s="1" t="s">
        <v>25</v>
      </c>
      <c r="H417" s="1" t="s">
        <v>15</v>
      </c>
      <c r="I417" s="5" t="s">
        <v>806</v>
      </c>
      <c r="J417" s="4">
        <v>59</v>
      </c>
      <c r="K417" t="str">
        <f t="shared" si="12"/>
        <v>pass</v>
      </c>
      <c r="L417" t="str">
        <f t="shared" si="13"/>
        <v>D</v>
      </c>
    </row>
    <row r="418" spans="1:12" x14ac:dyDescent="0.3">
      <c r="A418" s="1" t="s">
        <v>807</v>
      </c>
      <c r="B418" s="1" t="s">
        <v>68</v>
      </c>
      <c r="C418" s="1" t="s">
        <v>79</v>
      </c>
      <c r="D418" s="1" t="s">
        <v>31</v>
      </c>
      <c r="E418" s="4">
        <v>16</v>
      </c>
      <c r="F418" s="4">
        <v>10</v>
      </c>
      <c r="G418" s="1" t="s">
        <v>43</v>
      </c>
      <c r="H418" s="1" t="s">
        <v>76</v>
      </c>
      <c r="I418" s="5" t="s">
        <v>305</v>
      </c>
      <c r="J418" s="4">
        <v>40</v>
      </c>
      <c r="K418" t="str">
        <f t="shared" si="12"/>
        <v>pass</v>
      </c>
      <c r="L418" t="str">
        <f t="shared" si="13"/>
        <v>E</v>
      </c>
    </row>
    <row r="419" spans="1:12" x14ac:dyDescent="0.3">
      <c r="A419" s="1" t="s">
        <v>808</v>
      </c>
      <c r="B419" s="1" t="s">
        <v>54</v>
      </c>
      <c r="C419" s="1" t="s">
        <v>24</v>
      </c>
      <c r="D419" s="1" t="s">
        <v>13</v>
      </c>
      <c r="E419" s="4">
        <v>14</v>
      </c>
      <c r="F419" s="4">
        <v>9</v>
      </c>
      <c r="G419" s="1" t="s">
        <v>25</v>
      </c>
      <c r="H419" s="1" t="s">
        <v>46</v>
      </c>
      <c r="I419" s="5" t="s">
        <v>809</v>
      </c>
      <c r="J419" s="4">
        <v>92</v>
      </c>
      <c r="K419" t="str">
        <f t="shared" si="12"/>
        <v>pass</v>
      </c>
      <c r="L419" t="str">
        <f t="shared" si="13"/>
        <v>A+</v>
      </c>
    </row>
    <row r="420" spans="1:12" x14ac:dyDescent="0.3">
      <c r="A420" s="1" t="s">
        <v>810</v>
      </c>
      <c r="B420" s="1" t="s">
        <v>73</v>
      </c>
      <c r="C420" s="1" t="s">
        <v>12</v>
      </c>
      <c r="D420" s="1" t="s">
        <v>13</v>
      </c>
      <c r="E420" s="4">
        <v>14</v>
      </c>
      <c r="F420" s="4">
        <v>10</v>
      </c>
      <c r="G420" s="1" t="s">
        <v>14</v>
      </c>
      <c r="H420" s="1" t="s">
        <v>46</v>
      </c>
      <c r="I420" s="5" t="s">
        <v>385</v>
      </c>
      <c r="J420" s="4">
        <v>49</v>
      </c>
      <c r="K420" t="str">
        <f t="shared" si="12"/>
        <v>pass</v>
      </c>
      <c r="L420" t="str">
        <f t="shared" si="13"/>
        <v>E</v>
      </c>
    </row>
    <row r="421" spans="1:12" x14ac:dyDescent="0.3">
      <c r="A421" s="1" t="s">
        <v>811</v>
      </c>
      <c r="B421" s="1" t="s">
        <v>29</v>
      </c>
      <c r="C421" s="1" t="s">
        <v>58</v>
      </c>
      <c r="D421" s="1" t="s">
        <v>13</v>
      </c>
      <c r="E421" s="4">
        <v>20</v>
      </c>
      <c r="F421" s="4">
        <v>11</v>
      </c>
      <c r="G421" s="1" t="s">
        <v>14</v>
      </c>
      <c r="H421" s="1" t="s">
        <v>61</v>
      </c>
      <c r="I421" s="5" t="s">
        <v>358</v>
      </c>
      <c r="J421" s="4">
        <v>44</v>
      </c>
      <c r="K421" t="str">
        <f t="shared" si="12"/>
        <v>pass</v>
      </c>
      <c r="L421" t="str">
        <f t="shared" si="13"/>
        <v>E</v>
      </c>
    </row>
    <row r="422" spans="1:12" x14ac:dyDescent="0.3">
      <c r="A422" s="1" t="s">
        <v>812</v>
      </c>
      <c r="B422" s="1" t="s">
        <v>51</v>
      </c>
      <c r="C422" s="1" t="s">
        <v>55</v>
      </c>
      <c r="D422" s="1" t="s">
        <v>13</v>
      </c>
      <c r="E422" s="4">
        <v>15</v>
      </c>
      <c r="F422" s="4">
        <v>10</v>
      </c>
      <c r="G422" s="1" t="s">
        <v>43</v>
      </c>
      <c r="H422" s="1" t="s">
        <v>46</v>
      </c>
      <c r="I422" s="5" t="s">
        <v>82</v>
      </c>
      <c r="J422" s="4">
        <v>62</v>
      </c>
      <c r="K422" t="str">
        <f t="shared" si="12"/>
        <v>pass</v>
      </c>
      <c r="L422" t="str">
        <f t="shared" si="13"/>
        <v>C</v>
      </c>
    </row>
    <row r="423" spans="1:12" x14ac:dyDescent="0.3">
      <c r="A423" s="1" t="s">
        <v>813</v>
      </c>
      <c r="B423" s="1" t="s">
        <v>73</v>
      </c>
      <c r="C423" s="1" t="s">
        <v>58</v>
      </c>
      <c r="D423" s="1" t="s">
        <v>13</v>
      </c>
      <c r="E423" s="4">
        <v>17</v>
      </c>
      <c r="F423" s="4">
        <v>12</v>
      </c>
      <c r="G423" s="1" t="s">
        <v>32</v>
      </c>
      <c r="H423" s="1" t="s">
        <v>46</v>
      </c>
      <c r="I423" s="5" t="s">
        <v>346</v>
      </c>
      <c r="J423" s="4">
        <v>60</v>
      </c>
      <c r="K423" t="str">
        <f t="shared" si="12"/>
        <v>pass</v>
      </c>
      <c r="L423" t="str">
        <f t="shared" si="13"/>
        <v>C</v>
      </c>
    </row>
    <row r="424" spans="1:12" x14ac:dyDescent="0.3">
      <c r="A424" s="1" t="s">
        <v>814</v>
      </c>
      <c r="B424" s="1" t="s">
        <v>18</v>
      </c>
      <c r="C424" s="1" t="s">
        <v>24</v>
      </c>
      <c r="D424" s="1" t="s">
        <v>31</v>
      </c>
      <c r="E424" s="4">
        <v>17</v>
      </c>
      <c r="F424" s="4">
        <v>10</v>
      </c>
      <c r="G424" s="1" t="s">
        <v>14</v>
      </c>
      <c r="H424" s="1" t="s">
        <v>76</v>
      </c>
      <c r="I424" s="5" t="s">
        <v>815</v>
      </c>
      <c r="J424" s="4">
        <v>47</v>
      </c>
      <c r="K424" t="str">
        <f t="shared" si="12"/>
        <v>pass</v>
      </c>
      <c r="L424" t="str">
        <f t="shared" si="13"/>
        <v>E</v>
      </c>
    </row>
    <row r="425" spans="1:12" x14ac:dyDescent="0.3">
      <c r="A425" s="1" t="s">
        <v>816</v>
      </c>
      <c r="B425" s="1" t="s">
        <v>23</v>
      </c>
      <c r="C425" s="1" t="s">
        <v>79</v>
      </c>
      <c r="D425" s="1" t="s">
        <v>31</v>
      </c>
      <c r="E425" s="4">
        <v>15</v>
      </c>
      <c r="F425" s="4">
        <v>9</v>
      </c>
      <c r="G425" s="1" t="s">
        <v>25</v>
      </c>
      <c r="H425" s="1" t="s">
        <v>76</v>
      </c>
      <c r="I425" s="5" t="s">
        <v>149</v>
      </c>
      <c r="J425" s="4">
        <v>79</v>
      </c>
      <c r="K425" t="str">
        <f t="shared" si="12"/>
        <v>pass</v>
      </c>
      <c r="L425" t="str">
        <f t="shared" si="13"/>
        <v>B</v>
      </c>
    </row>
    <row r="426" spans="1:12" x14ac:dyDescent="0.3">
      <c r="A426" s="1" t="s">
        <v>817</v>
      </c>
      <c r="B426" s="1" t="s">
        <v>51</v>
      </c>
      <c r="C426" s="1" t="s">
        <v>55</v>
      </c>
      <c r="D426" s="1" t="s">
        <v>31</v>
      </c>
      <c r="E426" s="4">
        <v>19</v>
      </c>
      <c r="F426" s="4">
        <v>11</v>
      </c>
      <c r="G426" s="1" t="s">
        <v>14</v>
      </c>
      <c r="H426" s="1" t="s">
        <v>26</v>
      </c>
      <c r="I426" s="5" t="s">
        <v>818</v>
      </c>
      <c r="J426" s="4">
        <v>56</v>
      </c>
      <c r="K426" t="str">
        <f t="shared" si="12"/>
        <v>pass</v>
      </c>
      <c r="L426" t="str">
        <f t="shared" si="13"/>
        <v>D</v>
      </c>
    </row>
    <row r="427" spans="1:12" x14ac:dyDescent="0.3">
      <c r="A427" s="1" t="s">
        <v>819</v>
      </c>
      <c r="B427" s="1" t="s">
        <v>18</v>
      </c>
      <c r="C427" s="1" t="s">
        <v>36</v>
      </c>
      <c r="D427" s="1" t="s">
        <v>31</v>
      </c>
      <c r="E427" s="4">
        <v>14</v>
      </c>
      <c r="F427" s="4">
        <v>10</v>
      </c>
      <c r="G427" s="1" t="s">
        <v>43</v>
      </c>
      <c r="H427" s="1" t="s">
        <v>76</v>
      </c>
      <c r="I427" s="5" t="s">
        <v>820</v>
      </c>
      <c r="J427" s="4">
        <v>56</v>
      </c>
      <c r="K427" t="str">
        <f t="shared" si="12"/>
        <v>pass</v>
      </c>
      <c r="L427" t="str">
        <f t="shared" si="13"/>
        <v>D</v>
      </c>
    </row>
    <row r="428" spans="1:12" x14ac:dyDescent="0.3">
      <c r="A428" s="1" t="s">
        <v>821</v>
      </c>
      <c r="B428" s="1" t="s">
        <v>18</v>
      </c>
      <c r="C428" s="1" t="s">
        <v>79</v>
      </c>
      <c r="D428" s="1" t="s">
        <v>13</v>
      </c>
      <c r="E428" s="4">
        <v>20</v>
      </c>
      <c r="F428" s="4">
        <v>12</v>
      </c>
      <c r="G428" s="1" t="s">
        <v>32</v>
      </c>
      <c r="H428" s="1" t="s">
        <v>26</v>
      </c>
      <c r="I428" s="5" t="s">
        <v>822</v>
      </c>
      <c r="J428" s="4">
        <v>52</v>
      </c>
      <c r="K428" t="str">
        <f t="shared" si="12"/>
        <v>pass</v>
      </c>
      <c r="L428" t="str">
        <f t="shared" si="13"/>
        <v>D</v>
      </c>
    </row>
    <row r="429" spans="1:12" x14ac:dyDescent="0.3">
      <c r="A429" s="1" t="s">
        <v>823</v>
      </c>
      <c r="B429" s="1" t="s">
        <v>11</v>
      </c>
      <c r="C429" s="1" t="s">
        <v>79</v>
      </c>
      <c r="D429" s="1" t="s">
        <v>31</v>
      </c>
      <c r="E429" s="4">
        <v>18</v>
      </c>
      <c r="F429" s="4">
        <v>12</v>
      </c>
      <c r="G429" s="1" t="s">
        <v>43</v>
      </c>
      <c r="H429" s="1" t="s">
        <v>37</v>
      </c>
      <c r="I429" s="5" t="s">
        <v>292</v>
      </c>
      <c r="J429" s="4">
        <v>94</v>
      </c>
      <c r="K429" t="str">
        <f t="shared" si="12"/>
        <v>pass</v>
      </c>
      <c r="L429" t="str">
        <f t="shared" si="13"/>
        <v>A+</v>
      </c>
    </row>
    <row r="430" spans="1:12" x14ac:dyDescent="0.3">
      <c r="A430" s="1" t="s">
        <v>824</v>
      </c>
      <c r="B430" s="1" t="s">
        <v>54</v>
      </c>
      <c r="C430" s="1" t="s">
        <v>19</v>
      </c>
      <c r="D430" s="1" t="s">
        <v>31</v>
      </c>
      <c r="E430" s="4">
        <v>20</v>
      </c>
      <c r="F430" s="4">
        <v>9</v>
      </c>
      <c r="G430" s="1" t="s">
        <v>14</v>
      </c>
      <c r="H430" s="1" t="s">
        <v>37</v>
      </c>
      <c r="I430" s="5" t="s">
        <v>825</v>
      </c>
      <c r="J430" s="4">
        <v>43</v>
      </c>
      <c r="K430" t="str">
        <f t="shared" si="12"/>
        <v>pass</v>
      </c>
      <c r="L430" t="str">
        <f t="shared" si="13"/>
        <v>E</v>
      </c>
    </row>
    <row r="431" spans="1:12" x14ac:dyDescent="0.3">
      <c r="A431" s="1" t="s">
        <v>826</v>
      </c>
      <c r="B431" s="1" t="s">
        <v>51</v>
      </c>
      <c r="C431" s="1" t="s">
        <v>55</v>
      </c>
      <c r="D431" s="1" t="s">
        <v>31</v>
      </c>
      <c r="E431" s="4">
        <v>15</v>
      </c>
      <c r="F431" s="4">
        <v>10</v>
      </c>
      <c r="G431" s="1" t="s">
        <v>43</v>
      </c>
      <c r="H431" s="1" t="s">
        <v>37</v>
      </c>
      <c r="I431" s="5" t="s">
        <v>174</v>
      </c>
      <c r="J431" s="4">
        <v>42</v>
      </c>
      <c r="K431" t="str">
        <f t="shared" si="12"/>
        <v>pass</v>
      </c>
      <c r="L431" t="str">
        <f t="shared" si="13"/>
        <v>E</v>
      </c>
    </row>
    <row r="432" spans="1:12" x14ac:dyDescent="0.3">
      <c r="A432" s="1" t="s">
        <v>827</v>
      </c>
      <c r="B432" s="1" t="s">
        <v>35</v>
      </c>
      <c r="C432" s="1" t="s">
        <v>12</v>
      </c>
      <c r="D432" s="1" t="s">
        <v>13</v>
      </c>
      <c r="E432" s="4">
        <v>14</v>
      </c>
      <c r="F432" s="4">
        <v>12</v>
      </c>
      <c r="G432" s="1" t="s">
        <v>25</v>
      </c>
      <c r="H432" s="1" t="s">
        <v>61</v>
      </c>
      <c r="I432" s="5" t="s">
        <v>570</v>
      </c>
      <c r="J432" s="4">
        <v>65</v>
      </c>
      <c r="K432" t="str">
        <f t="shared" si="12"/>
        <v>pass</v>
      </c>
      <c r="L432" t="str">
        <f t="shared" si="13"/>
        <v>C</v>
      </c>
    </row>
    <row r="433" spans="1:12" x14ac:dyDescent="0.3">
      <c r="A433" s="1" t="s">
        <v>828</v>
      </c>
      <c r="B433" s="1" t="s">
        <v>29</v>
      </c>
      <c r="C433" s="1" t="s">
        <v>55</v>
      </c>
      <c r="D433" s="1" t="s">
        <v>13</v>
      </c>
      <c r="E433" s="4">
        <v>15</v>
      </c>
      <c r="F433" s="4">
        <v>9</v>
      </c>
      <c r="G433" s="1" t="s">
        <v>32</v>
      </c>
      <c r="H433" s="1" t="s">
        <v>40</v>
      </c>
      <c r="I433" s="5" t="s">
        <v>829</v>
      </c>
      <c r="J433" s="4">
        <v>64</v>
      </c>
      <c r="K433" t="str">
        <f t="shared" si="12"/>
        <v>pass</v>
      </c>
      <c r="L433" t="str">
        <f t="shared" si="13"/>
        <v>C</v>
      </c>
    </row>
    <row r="434" spans="1:12" x14ac:dyDescent="0.3">
      <c r="A434" s="1" t="s">
        <v>830</v>
      </c>
      <c r="B434" s="1" t="s">
        <v>23</v>
      </c>
      <c r="C434" s="1" t="s">
        <v>58</v>
      </c>
      <c r="D434" s="1" t="s">
        <v>31</v>
      </c>
      <c r="E434" s="4">
        <v>17</v>
      </c>
      <c r="F434" s="4">
        <v>9</v>
      </c>
      <c r="G434" s="1" t="s">
        <v>43</v>
      </c>
      <c r="H434" s="1" t="s">
        <v>61</v>
      </c>
      <c r="I434" s="5" t="s">
        <v>820</v>
      </c>
      <c r="J434" s="4">
        <v>59</v>
      </c>
      <c r="K434" t="str">
        <f t="shared" si="12"/>
        <v>pass</v>
      </c>
      <c r="L434" t="str">
        <f t="shared" si="13"/>
        <v>D</v>
      </c>
    </row>
    <row r="435" spans="1:12" x14ac:dyDescent="0.3">
      <c r="A435" s="1" t="s">
        <v>831</v>
      </c>
      <c r="B435" s="1" t="s">
        <v>54</v>
      </c>
      <c r="C435" s="1" t="s">
        <v>36</v>
      </c>
      <c r="D435" s="1" t="s">
        <v>31</v>
      </c>
      <c r="E435" s="4">
        <v>19</v>
      </c>
      <c r="F435" s="4">
        <v>9</v>
      </c>
      <c r="G435" s="1" t="s">
        <v>32</v>
      </c>
      <c r="H435" s="1" t="s">
        <v>15</v>
      </c>
      <c r="I435" s="5" t="s">
        <v>832</v>
      </c>
      <c r="J435" s="4">
        <v>35</v>
      </c>
      <c r="K435" t="str">
        <f t="shared" si="12"/>
        <v>fail</v>
      </c>
      <c r="L435" t="str">
        <f t="shared" si="13"/>
        <v>F</v>
      </c>
    </row>
    <row r="436" spans="1:12" x14ac:dyDescent="0.3">
      <c r="A436" s="1" t="s">
        <v>833</v>
      </c>
      <c r="B436" s="1" t="s">
        <v>73</v>
      </c>
      <c r="C436" s="1" t="s">
        <v>96</v>
      </c>
      <c r="D436" s="1" t="s">
        <v>31</v>
      </c>
      <c r="E436" s="4">
        <v>15</v>
      </c>
      <c r="F436" s="4">
        <v>10</v>
      </c>
      <c r="G436" s="1" t="s">
        <v>43</v>
      </c>
      <c r="H436" s="1" t="s">
        <v>76</v>
      </c>
      <c r="I436" s="5" t="s">
        <v>834</v>
      </c>
      <c r="J436" s="4">
        <v>37</v>
      </c>
      <c r="K436" t="str">
        <f t="shared" si="12"/>
        <v>fail</v>
      </c>
      <c r="L436" t="str">
        <f t="shared" si="13"/>
        <v>F</v>
      </c>
    </row>
    <row r="437" spans="1:12" x14ac:dyDescent="0.3">
      <c r="A437" s="1" t="s">
        <v>835</v>
      </c>
      <c r="B437" s="1" t="s">
        <v>18</v>
      </c>
      <c r="C437" s="1" t="s">
        <v>55</v>
      </c>
      <c r="D437" s="1" t="s">
        <v>31</v>
      </c>
      <c r="E437" s="4">
        <v>16</v>
      </c>
      <c r="F437" s="4">
        <v>10</v>
      </c>
      <c r="G437" s="1" t="s">
        <v>14</v>
      </c>
      <c r="H437" s="1" t="s">
        <v>61</v>
      </c>
      <c r="I437" s="5" t="s">
        <v>411</v>
      </c>
      <c r="J437" s="4">
        <v>52</v>
      </c>
      <c r="K437" t="str">
        <f t="shared" si="12"/>
        <v>pass</v>
      </c>
      <c r="L437" t="str">
        <f t="shared" si="13"/>
        <v>D</v>
      </c>
    </row>
    <row r="438" spans="1:12" x14ac:dyDescent="0.3">
      <c r="A438" s="1" t="s">
        <v>836</v>
      </c>
      <c r="B438" s="1" t="s">
        <v>18</v>
      </c>
      <c r="C438" s="1" t="s">
        <v>58</v>
      </c>
      <c r="D438" s="1" t="s">
        <v>13</v>
      </c>
      <c r="E438" s="4">
        <v>16</v>
      </c>
      <c r="F438" s="4">
        <v>9</v>
      </c>
      <c r="G438" s="1" t="s">
        <v>14</v>
      </c>
      <c r="H438" s="1" t="s">
        <v>37</v>
      </c>
      <c r="I438" s="5" t="s">
        <v>837</v>
      </c>
      <c r="J438" s="4">
        <v>64</v>
      </c>
      <c r="K438" t="str">
        <f t="shared" si="12"/>
        <v>pass</v>
      </c>
      <c r="L438" t="str">
        <f t="shared" si="13"/>
        <v>C</v>
      </c>
    </row>
    <row r="439" spans="1:12" x14ac:dyDescent="0.3">
      <c r="A439" s="1" t="s">
        <v>838</v>
      </c>
      <c r="B439" s="1" t="s">
        <v>29</v>
      </c>
      <c r="C439" s="1" t="s">
        <v>36</v>
      </c>
      <c r="D439" s="1" t="s">
        <v>31</v>
      </c>
      <c r="E439" s="4">
        <v>17</v>
      </c>
      <c r="F439" s="4">
        <v>10</v>
      </c>
      <c r="G439" s="1" t="s">
        <v>25</v>
      </c>
      <c r="H439" s="1" t="s">
        <v>15</v>
      </c>
      <c r="I439" s="5" t="s">
        <v>839</v>
      </c>
      <c r="J439" s="4">
        <v>35</v>
      </c>
      <c r="K439" t="str">
        <f t="shared" si="12"/>
        <v>fail</v>
      </c>
      <c r="L439" t="str">
        <f t="shared" si="13"/>
        <v>F</v>
      </c>
    </row>
    <row r="440" spans="1:12" x14ac:dyDescent="0.3">
      <c r="A440" s="1" t="s">
        <v>840</v>
      </c>
      <c r="B440" s="1" t="s">
        <v>29</v>
      </c>
      <c r="C440" s="1" t="s">
        <v>12</v>
      </c>
      <c r="D440" s="1" t="s">
        <v>31</v>
      </c>
      <c r="E440" s="4">
        <v>20</v>
      </c>
      <c r="F440" s="4">
        <v>10</v>
      </c>
      <c r="G440" s="1" t="s">
        <v>43</v>
      </c>
      <c r="H440" s="1" t="s">
        <v>15</v>
      </c>
      <c r="I440" s="5" t="s">
        <v>841</v>
      </c>
      <c r="J440" s="4">
        <v>37</v>
      </c>
      <c r="K440" t="str">
        <f t="shared" si="12"/>
        <v>fail</v>
      </c>
      <c r="L440" t="str">
        <f t="shared" si="13"/>
        <v>F</v>
      </c>
    </row>
    <row r="441" spans="1:12" x14ac:dyDescent="0.3">
      <c r="A441" s="1" t="s">
        <v>842</v>
      </c>
      <c r="B441" s="1" t="s">
        <v>23</v>
      </c>
      <c r="C441" s="1" t="s">
        <v>30</v>
      </c>
      <c r="D441" s="1" t="s">
        <v>13</v>
      </c>
      <c r="E441" s="4">
        <v>15</v>
      </c>
      <c r="F441" s="4">
        <v>9</v>
      </c>
      <c r="G441" s="1" t="s">
        <v>32</v>
      </c>
      <c r="H441" s="1" t="s">
        <v>37</v>
      </c>
      <c r="I441" s="5" t="s">
        <v>477</v>
      </c>
      <c r="J441" s="4">
        <v>51</v>
      </c>
      <c r="K441" t="str">
        <f t="shared" si="12"/>
        <v>pass</v>
      </c>
      <c r="L441" t="str">
        <f t="shared" si="13"/>
        <v>D</v>
      </c>
    </row>
    <row r="442" spans="1:12" x14ac:dyDescent="0.3">
      <c r="A442" s="1" t="s">
        <v>843</v>
      </c>
      <c r="B442" s="1" t="s">
        <v>54</v>
      </c>
      <c r="C442" s="1" t="s">
        <v>12</v>
      </c>
      <c r="D442" s="1" t="s">
        <v>31</v>
      </c>
      <c r="E442" s="4">
        <v>17</v>
      </c>
      <c r="F442" s="4">
        <v>10</v>
      </c>
      <c r="G442" s="1" t="s">
        <v>25</v>
      </c>
      <c r="H442" s="1" t="s">
        <v>40</v>
      </c>
      <c r="I442" s="5" t="s">
        <v>844</v>
      </c>
      <c r="J442" s="4">
        <v>43</v>
      </c>
      <c r="K442" t="str">
        <f t="shared" si="12"/>
        <v>pass</v>
      </c>
      <c r="L442" t="str">
        <f t="shared" si="13"/>
        <v>E</v>
      </c>
    </row>
    <row r="443" spans="1:12" x14ac:dyDescent="0.3">
      <c r="A443" s="1" t="s">
        <v>845</v>
      </c>
      <c r="B443" s="1" t="s">
        <v>11</v>
      </c>
      <c r="C443" s="1" t="s">
        <v>19</v>
      </c>
      <c r="D443" s="1" t="s">
        <v>31</v>
      </c>
      <c r="E443" s="4">
        <v>19</v>
      </c>
      <c r="F443" s="4">
        <v>11</v>
      </c>
      <c r="G443" s="1" t="s">
        <v>43</v>
      </c>
      <c r="H443" s="1" t="s">
        <v>76</v>
      </c>
      <c r="I443" s="5" t="s">
        <v>282</v>
      </c>
      <c r="J443" s="4">
        <v>44</v>
      </c>
      <c r="K443" t="str">
        <f t="shared" si="12"/>
        <v>pass</v>
      </c>
      <c r="L443" t="str">
        <f t="shared" si="13"/>
        <v>E</v>
      </c>
    </row>
    <row r="444" spans="1:12" x14ac:dyDescent="0.3">
      <c r="A444" s="1" t="s">
        <v>846</v>
      </c>
      <c r="B444" s="1" t="s">
        <v>35</v>
      </c>
      <c r="C444" s="1" t="s">
        <v>79</v>
      </c>
      <c r="D444" s="1" t="s">
        <v>13</v>
      </c>
      <c r="E444" s="4">
        <v>17</v>
      </c>
      <c r="F444" s="4">
        <v>12</v>
      </c>
      <c r="G444" s="1" t="s">
        <v>25</v>
      </c>
      <c r="H444" s="1" t="s">
        <v>46</v>
      </c>
      <c r="I444" s="5" t="s">
        <v>847</v>
      </c>
      <c r="J444" s="4">
        <v>41</v>
      </c>
      <c r="K444" t="str">
        <f t="shared" si="12"/>
        <v>pass</v>
      </c>
      <c r="L444" t="str">
        <f t="shared" si="13"/>
        <v>E</v>
      </c>
    </row>
    <row r="445" spans="1:12" x14ac:dyDescent="0.3">
      <c r="A445" s="1" t="s">
        <v>848</v>
      </c>
      <c r="B445" s="1" t="s">
        <v>18</v>
      </c>
      <c r="C445" s="1" t="s">
        <v>24</v>
      </c>
      <c r="D445" s="1" t="s">
        <v>31</v>
      </c>
      <c r="E445" s="4">
        <v>16</v>
      </c>
      <c r="F445" s="4">
        <v>10</v>
      </c>
      <c r="G445" s="1" t="s">
        <v>25</v>
      </c>
      <c r="H445" s="1" t="s">
        <v>61</v>
      </c>
      <c r="I445" s="5" t="s">
        <v>849</v>
      </c>
      <c r="J445" s="4">
        <v>78</v>
      </c>
      <c r="K445" t="str">
        <f t="shared" si="12"/>
        <v>pass</v>
      </c>
      <c r="L445" t="str">
        <f t="shared" si="13"/>
        <v>B</v>
      </c>
    </row>
    <row r="446" spans="1:12" x14ac:dyDescent="0.3">
      <c r="A446" s="1" t="s">
        <v>850</v>
      </c>
      <c r="B446" s="1" t="s">
        <v>51</v>
      </c>
      <c r="C446" s="1" t="s">
        <v>96</v>
      </c>
      <c r="D446" s="1" t="s">
        <v>13</v>
      </c>
      <c r="E446" s="4">
        <v>14</v>
      </c>
      <c r="F446" s="4">
        <v>9</v>
      </c>
      <c r="G446" s="1" t="s">
        <v>25</v>
      </c>
      <c r="H446" s="1" t="s">
        <v>26</v>
      </c>
      <c r="I446" s="5" t="s">
        <v>851</v>
      </c>
      <c r="J446" s="4">
        <v>90</v>
      </c>
      <c r="K446" t="str">
        <f t="shared" si="12"/>
        <v>pass</v>
      </c>
      <c r="L446" t="str">
        <f t="shared" si="13"/>
        <v>A+</v>
      </c>
    </row>
    <row r="447" spans="1:12" x14ac:dyDescent="0.3">
      <c r="A447" s="1" t="s">
        <v>852</v>
      </c>
      <c r="B447" s="1" t="s">
        <v>29</v>
      </c>
      <c r="C447" s="1" t="s">
        <v>55</v>
      </c>
      <c r="D447" s="1" t="s">
        <v>13</v>
      </c>
      <c r="E447" s="4">
        <v>15</v>
      </c>
      <c r="F447" s="4">
        <v>9</v>
      </c>
      <c r="G447" s="1" t="s">
        <v>14</v>
      </c>
      <c r="H447" s="1" t="s">
        <v>20</v>
      </c>
      <c r="I447" s="5" t="s">
        <v>853</v>
      </c>
      <c r="J447" s="4">
        <v>74</v>
      </c>
      <c r="K447" t="str">
        <f t="shared" si="12"/>
        <v>pass</v>
      </c>
      <c r="L447" t="str">
        <f t="shared" si="13"/>
        <v>B</v>
      </c>
    </row>
    <row r="448" spans="1:12" x14ac:dyDescent="0.3">
      <c r="A448" s="1" t="s">
        <v>854</v>
      </c>
      <c r="B448" s="1" t="s">
        <v>51</v>
      </c>
      <c r="C448" s="1" t="s">
        <v>55</v>
      </c>
      <c r="D448" s="1" t="s">
        <v>13</v>
      </c>
      <c r="E448" s="4">
        <v>15</v>
      </c>
      <c r="F448" s="4">
        <v>11</v>
      </c>
      <c r="G448" s="1" t="s">
        <v>14</v>
      </c>
      <c r="H448" s="1" t="s">
        <v>61</v>
      </c>
      <c r="I448" s="5" t="s">
        <v>855</v>
      </c>
      <c r="J448" s="4">
        <v>84</v>
      </c>
      <c r="K448" t="str">
        <f t="shared" si="12"/>
        <v>pass</v>
      </c>
      <c r="L448" t="str">
        <f t="shared" si="13"/>
        <v>A</v>
      </c>
    </row>
    <row r="449" spans="1:12" x14ac:dyDescent="0.3">
      <c r="A449" s="1" t="s">
        <v>856</v>
      </c>
      <c r="B449" s="1" t="s">
        <v>29</v>
      </c>
      <c r="C449" s="1" t="s">
        <v>85</v>
      </c>
      <c r="D449" s="1" t="s">
        <v>13</v>
      </c>
      <c r="E449" s="4">
        <v>16</v>
      </c>
      <c r="F449" s="4">
        <v>9</v>
      </c>
      <c r="G449" s="1" t="s">
        <v>14</v>
      </c>
      <c r="H449" s="1" t="s">
        <v>61</v>
      </c>
      <c r="I449" s="5" t="s">
        <v>262</v>
      </c>
      <c r="J449" s="4">
        <v>78</v>
      </c>
      <c r="K449" t="str">
        <f t="shared" si="12"/>
        <v>pass</v>
      </c>
      <c r="L449" t="str">
        <f t="shared" si="13"/>
        <v>B</v>
      </c>
    </row>
    <row r="450" spans="1:12" x14ac:dyDescent="0.3">
      <c r="A450" s="1" t="s">
        <v>857</v>
      </c>
      <c r="B450" s="1" t="s">
        <v>18</v>
      </c>
      <c r="C450" s="1" t="s">
        <v>96</v>
      </c>
      <c r="D450" s="1" t="s">
        <v>13</v>
      </c>
      <c r="E450" s="4">
        <v>20</v>
      </c>
      <c r="F450" s="4">
        <v>11</v>
      </c>
      <c r="G450" s="1" t="s">
        <v>32</v>
      </c>
      <c r="H450" s="1" t="s">
        <v>61</v>
      </c>
      <c r="I450" s="5" t="s">
        <v>570</v>
      </c>
      <c r="J450" s="4">
        <v>94</v>
      </c>
      <c r="K450" t="str">
        <f t="shared" si="12"/>
        <v>pass</v>
      </c>
      <c r="L450" t="str">
        <f t="shared" si="13"/>
        <v>A+</v>
      </c>
    </row>
    <row r="451" spans="1:12" x14ac:dyDescent="0.3">
      <c r="A451" s="1" t="s">
        <v>858</v>
      </c>
      <c r="B451" s="1" t="s">
        <v>35</v>
      </c>
      <c r="C451" s="1" t="s">
        <v>12</v>
      </c>
      <c r="D451" s="1" t="s">
        <v>31</v>
      </c>
      <c r="E451" s="4">
        <v>19</v>
      </c>
      <c r="F451" s="4">
        <v>9</v>
      </c>
      <c r="G451" s="1" t="s">
        <v>43</v>
      </c>
      <c r="H451" s="1" t="s">
        <v>26</v>
      </c>
      <c r="I451" s="5" t="s">
        <v>859</v>
      </c>
      <c r="J451" s="4">
        <v>88</v>
      </c>
      <c r="K451" t="str">
        <f t="shared" ref="K451:K501" si="14">IF(J451&gt;=40,"pass","fail")</f>
        <v>pass</v>
      </c>
      <c r="L451" t="str">
        <f t="shared" ref="L451:L501" si="15">IF(J451&gt;=90,"A+",IF(J451&gt;=80,"A",IF(J451&gt;=70,"B",IF(J451&gt;=60,"C",IF(J451&gt;=50,"D",IF(J451&gt;=40,"E","F"))))))</f>
        <v>A</v>
      </c>
    </row>
    <row r="452" spans="1:12" x14ac:dyDescent="0.3">
      <c r="A452" s="1" t="s">
        <v>860</v>
      </c>
      <c r="B452" s="1" t="s">
        <v>68</v>
      </c>
      <c r="C452" s="1" t="s">
        <v>12</v>
      </c>
      <c r="D452" s="1" t="s">
        <v>13</v>
      </c>
      <c r="E452" s="4">
        <v>16</v>
      </c>
      <c r="F452" s="4">
        <v>12</v>
      </c>
      <c r="G452" s="1" t="s">
        <v>14</v>
      </c>
      <c r="H452" s="1" t="s">
        <v>37</v>
      </c>
      <c r="I452" s="5" t="s">
        <v>861</v>
      </c>
      <c r="J452" s="4">
        <v>84</v>
      </c>
      <c r="K452" t="str">
        <f t="shared" si="14"/>
        <v>pass</v>
      </c>
      <c r="L452" t="str">
        <f t="shared" si="15"/>
        <v>A</v>
      </c>
    </row>
    <row r="453" spans="1:12" x14ac:dyDescent="0.3">
      <c r="A453" s="1" t="s">
        <v>862</v>
      </c>
      <c r="B453" s="1" t="s">
        <v>51</v>
      </c>
      <c r="C453" s="1" t="s">
        <v>24</v>
      </c>
      <c r="D453" s="1" t="s">
        <v>13</v>
      </c>
      <c r="E453" s="4">
        <v>17</v>
      </c>
      <c r="F453" s="4">
        <v>9</v>
      </c>
      <c r="G453" s="1" t="s">
        <v>43</v>
      </c>
      <c r="H453" s="1" t="s">
        <v>15</v>
      </c>
      <c r="I453" s="5" t="s">
        <v>863</v>
      </c>
      <c r="J453" s="4">
        <v>86</v>
      </c>
      <c r="K453" t="str">
        <f t="shared" si="14"/>
        <v>pass</v>
      </c>
      <c r="L453" t="str">
        <f t="shared" si="15"/>
        <v>A</v>
      </c>
    </row>
    <row r="454" spans="1:12" x14ac:dyDescent="0.3">
      <c r="A454" s="1" t="s">
        <v>864</v>
      </c>
      <c r="B454" s="1" t="s">
        <v>35</v>
      </c>
      <c r="C454" s="1" t="s">
        <v>58</v>
      </c>
      <c r="D454" s="1" t="s">
        <v>13</v>
      </c>
      <c r="E454" s="4">
        <v>17</v>
      </c>
      <c r="F454" s="4">
        <v>10</v>
      </c>
      <c r="G454" s="1" t="s">
        <v>14</v>
      </c>
      <c r="H454" s="1" t="s">
        <v>20</v>
      </c>
      <c r="I454" s="5" t="s">
        <v>865</v>
      </c>
      <c r="J454" s="4">
        <v>92</v>
      </c>
      <c r="K454" t="str">
        <f t="shared" si="14"/>
        <v>pass</v>
      </c>
      <c r="L454" t="str">
        <f t="shared" si="15"/>
        <v>A+</v>
      </c>
    </row>
    <row r="455" spans="1:12" x14ac:dyDescent="0.3">
      <c r="A455" s="1" t="s">
        <v>866</v>
      </c>
      <c r="B455" s="1" t="s">
        <v>18</v>
      </c>
      <c r="C455" s="1" t="s">
        <v>24</v>
      </c>
      <c r="D455" s="1" t="s">
        <v>13</v>
      </c>
      <c r="E455" s="4">
        <v>15</v>
      </c>
      <c r="F455" s="4">
        <v>11</v>
      </c>
      <c r="G455" s="1" t="s">
        <v>14</v>
      </c>
      <c r="H455" s="1" t="s">
        <v>61</v>
      </c>
      <c r="I455" s="5" t="s">
        <v>867</v>
      </c>
      <c r="J455" s="4">
        <v>97</v>
      </c>
      <c r="K455" t="str">
        <f t="shared" si="14"/>
        <v>pass</v>
      </c>
      <c r="L455" t="str">
        <f t="shared" si="15"/>
        <v>A+</v>
      </c>
    </row>
    <row r="456" spans="1:12" x14ac:dyDescent="0.3">
      <c r="A456" s="1" t="s">
        <v>868</v>
      </c>
      <c r="B456" s="1" t="s">
        <v>84</v>
      </c>
      <c r="C456" s="1" t="s">
        <v>30</v>
      </c>
      <c r="D456" s="1" t="s">
        <v>31</v>
      </c>
      <c r="E456" s="4">
        <v>15</v>
      </c>
      <c r="F456" s="4">
        <v>9</v>
      </c>
      <c r="G456" s="1" t="s">
        <v>43</v>
      </c>
      <c r="H456" s="1" t="s">
        <v>61</v>
      </c>
      <c r="I456" s="5" t="s">
        <v>151</v>
      </c>
      <c r="J456" s="4">
        <v>45</v>
      </c>
      <c r="K456" t="str">
        <f t="shared" si="14"/>
        <v>pass</v>
      </c>
      <c r="L456" t="str">
        <f t="shared" si="15"/>
        <v>E</v>
      </c>
    </row>
    <row r="457" spans="1:12" x14ac:dyDescent="0.3">
      <c r="A457" s="1" t="s">
        <v>869</v>
      </c>
      <c r="B457" s="1" t="s">
        <v>73</v>
      </c>
      <c r="C457" s="1" t="s">
        <v>96</v>
      </c>
      <c r="D457" s="1" t="s">
        <v>31</v>
      </c>
      <c r="E457" s="4">
        <v>17</v>
      </c>
      <c r="F457" s="4">
        <v>9</v>
      </c>
      <c r="G457" s="1" t="s">
        <v>43</v>
      </c>
      <c r="H457" s="1" t="s">
        <v>26</v>
      </c>
      <c r="I457" s="5" t="s">
        <v>870</v>
      </c>
      <c r="J457" s="4">
        <v>53</v>
      </c>
      <c r="K457" t="str">
        <f t="shared" si="14"/>
        <v>pass</v>
      </c>
      <c r="L457" t="str">
        <f t="shared" si="15"/>
        <v>D</v>
      </c>
    </row>
    <row r="458" spans="1:12" x14ac:dyDescent="0.3">
      <c r="A458" s="1" t="s">
        <v>871</v>
      </c>
      <c r="B458" s="1" t="s">
        <v>11</v>
      </c>
      <c r="C458" s="1" t="s">
        <v>12</v>
      </c>
      <c r="D458" s="1" t="s">
        <v>13</v>
      </c>
      <c r="E458" s="4">
        <v>20</v>
      </c>
      <c r="F458" s="4">
        <v>10</v>
      </c>
      <c r="G458" s="1" t="s">
        <v>25</v>
      </c>
      <c r="H458" s="1" t="s">
        <v>76</v>
      </c>
      <c r="I458" s="5" t="s">
        <v>872</v>
      </c>
      <c r="J458" s="4">
        <v>66</v>
      </c>
      <c r="K458" t="str">
        <f t="shared" si="14"/>
        <v>pass</v>
      </c>
      <c r="L458" t="str">
        <f t="shared" si="15"/>
        <v>C</v>
      </c>
    </row>
    <row r="459" spans="1:12" x14ac:dyDescent="0.3">
      <c r="A459" s="1" t="s">
        <v>873</v>
      </c>
      <c r="B459" s="1" t="s">
        <v>18</v>
      </c>
      <c r="C459" s="1" t="s">
        <v>79</v>
      </c>
      <c r="D459" s="1" t="s">
        <v>31</v>
      </c>
      <c r="E459" s="4">
        <v>19</v>
      </c>
      <c r="F459" s="4">
        <v>12</v>
      </c>
      <c r="G459" s="1" t="s">
        <v>32</v>
      </c>
      <c r="H459" s="1" t="s">
        <v>76</v>
      </c>
      <c r="I459" s="5" t="s">
        <v>742</v>
      </c>
      <c r="J459" s="4">
        <v>83</v>
      </c>
      <c r="K459" t="str">
        <f t="shared" si="14"/>
        <v>pass</v>
      </c>
      <c r="L459" t="str">
        <f t="shared" si="15"/>
        <v>A</v>
      </c>
    </row>
    <row r="460" spans="1:12" x14ac:dyDescent="0.3">
      <c r="A460" s="1" t="s">
        <v>874</v>
      </c>
      <c r="B460" s="1" t="s">
        <v>35</v>
      </c>
      <c r="C460" s="1" t="s">
        <v>36</v>
      </c>
      <c r="D460" s="1" t="s">
        <v>13</v>
      </c>
      <c r="E460" s="4">
        <v>16</v>
      </c>
      <c r="F460" s="4">
        <v>10</v>
      </c>
      <c r="G460" s="1" t="s">
        <v>14</v>
      </c>
      <c r="H460" s="1" t="s">
        <v>61</v>
      </c>
      <c r="I460" s="5" t="s">
        <v>875</v>
      </c>
      <c r="J460" s="4">
        <v>35</v>
      </c>
      <c r="K460" t="str">
        <f t="shared" si="14"/>
        <v>fail</v>
      </c>
      <c r="L460" t="str">
        <f t="shared" si="15"/>
        <v>F</v>
      </c>
    </row>
    <row r="461" spans="1:12" x14ac:dyDescent="0.3">
      <c r="A461" s="1" t="s">
        <v>876</v>
      </c>
      <c r="B461" s="1" t="s">
        <v>18</v>
      </c>
      <c r="C461" s="1" t="s">
        <v>24</v>
      </c>
      <c r="D461" s="1" t="s">
        <v>31</v>
      </c>
      <c r="E461" s="4">
        <v>16</v>
      </c>
      <c r="F461" s="4">
        <v>9</v>
      </c>
      <c r="G461" s="1" t="s">
        <v>43</v>
      </c>
      <c r="H461" s="1" t="s">
        <v>26</v>
      </c>
      <c r="I461" s="5" t="s">
        <v>515</v>
      </c>
      <c r="J461" s="4">
        <v>48</v>
      </c>
      <c r="K461" t="str">
        <f t="shared" si="14"/>
        <v>pass</v>
      </c>
      <c r="L461" t="str">
        <f t="shared" si="15"/>
        <v>E</v>
      </c>
    </row>
    <row r="462" spans="1:12" x14ac:dyDescent="0.3">
      <c r="A462" s="1" t="s">
        <v>877</v>
      </c>
      <c r="B462" s="1" t="s">
        <v>73</v>
      </c>
      <c r="C462" s="1" t="s">
        <v>85</v>
      </c>
      <c r="D462" s="1" t="s">
        <v>13</v>
      </c>
      <c r="E462" s="4">
        <v>19</v>
      </c>
      <c r="F462" s="4">
        <v>10</v>
      </c>
      <c r="G462" s="1" t="s">
        <v>25</v>
      </c>
      <c r="H462" s="1" t="s">
        <v>26</v>
      </c>
      <c r="I462" s="5" t="s">
        <v>878</v>
      </c>
      <c r="J462" s="4">
        <v>81</v>
      </c>
      <c r="K462" t="str">
        <f t="shared" si="14"/>
        <v>pass</v>
      </c>
      <c r="L462" t="str">
        <f t="shared" si="15"/>
        <v>A</v>
      </c>
    </row>
    <row r="463" spans="1:12" x14ac:dyDescent="0.3">
      <c r="A463" s="1" t="s">
        <v>879</v>
      </c>
      <c r="B463" s="1" t="s">
        <v>18</v>
      </c>
      <c r="C463" s="1" t="s">
        <v>85</v>
      </c>
      <c r="D463" s="1" t="s">
        <v>13</v>
      </c>
      <c r="E463" s="4">
        <v>15</v>
      </c>
      <c r="F463" s="4">
        <v>11</v>
      </c>
      <c r="G463" s="1" t="s">
        <v>32</v>
      </c>
      <c r="H463" s="1" t="s">
        <v>37</v>
      </c>
      <c r="I463" s="5" t="s">
        <v>880</v>
      </c>
      <c r="J463" s="4">
        <v>86</v>
      </c>
      <c r="K463" t="str">
        <f t="shared" si="14"/>
        <v>pass</v>
      </c>
      <c r="L463" t="str">
        <f t="shared" si="15"/>
        <v>A</v>
      </c>
    </row>
    <row r="464" spans="1:12" x14ac:dyDescent="0.3">
      <c r="A464" s="1" t="s">
        <v>881</v>
      </c>
      <c r="B464" s="1" t="s">
        <v>73</v>
      </c>
      <c r="C464" s="1" t="s">
        <v>24</v>
      </c>
      <c r="D464" s="1" t="s">
        <v>31</v>
      </c>
      <c r="E464" s="4">
        <v>14</v>
      </c>
      <c r="F464" s="4">
        <v>12</v>
      </c>
      <c r="G464" s="1" t="s">
        <v>25</v>
      </c>
      <c r="H464" s="1" t="s">
        <v>46</v>
      </c>
      <c r="I464" s="5" t="s">
        <v>882</v>
      </c>
      <c r="J464" s="4">
        <v>58</v>
      </c>
      <c r="K464" t="str">
        <f t="shared" si="14"/>
        <v>pass</v>
      </c>
      <c r="L464" t="str">
        <f t="shared" si="15"/>
        <v>D</v>
      </c>
    </row>
    <row r="465" spans="1:12" x14ac:dyDescent="0.3">
      <c r="A465" s="1" t="s">
        <v>883</v>
      </c>
      <c r="B465" s="1" t="s">
        <v>23</v>
      </c>
      <c r="C465" s="1" t="s">
        <v>85</v>
      </c>
      <c r="D465" s="1" t="s">
        <v>13</v>
      </c>
      <c r="E465" s="4">
        <v>19</v>
      </c>
      <c r="F465" s="4">
        <v>9</v>
      </c>
      <c r="G465" s="1" t="s">
        <v>43</v>
      </c>
      <c r="H465" s="1" t="s">
        <v>20</v>
      </c>
      <c r="I465" s="5" t="s">
        <v>884</v>
      </c>
      <c r="J465" s="4">
        <v>69</v>
      </c>
      <c r="K465" t="str">
        <f t="shared" si="14"/>
        <v>pass</v>
      </c>
      <c r="L465" t="str">
        <f t="shared" si="15"/>
        <v>C</v>
      </c>
    </row>
    <row r="466" spans="1:12" x14ac:dyDescent="0.3">
      <c r="A466" s="1" t="s">
        <v>885</v>
      </c>
      <c r="B466" s="1" t="s">
        <v>51</v>
      </c>
      <c r="C466" s="1" t="s">
        <v>55</v>
      </c>
      <c r="D466" s="1" t="s">
        <v>13</v>
      </c>
      <c r="E466" s="4">
        <v>16</v>
      </c>
      <c r="F466" s="4">
        <v>11</v>
      </c>
      <c r="G466" s="1" t="s">
        <v>32</v>
      </c>
      <c r="H466" s="1" t="s">
        <v>76</v>
      </c>
      <c r="I466" s="5" t="s">
        <v>886</v>
      </c>
      <c r="J466" s="4">
        <v>65</v>
      </c>
      <c r="K466" t="str">
        <f t="shared" si="14"/>
        <v>pass</v>
      </c>
      <c r="L466" t="str">
        <f t="shared" si="15"/>
        <v>C</v>
      </c>
    </row>
    <row r="467" spans="1:12" x14ac:dyDescent="0.3">
      <c r="A467" s="1" t="s">
        <v>887</v>
      </c>
      <c r="B467" s="1" t="s">
        <v>11</v>
      </c>
      <c r="C467" s="1" t="s">
        <v>30</v>
      </c>
      <c r="D467" s="1" t="s">
        <v>31</v>
      </c>
      <c r="E467" s="4">
        <v>17</v>
      </c>
      <c r="F467" s="4">
        <v>9</v>
      </c>
      <c r="G467" s="1" t="s">
        <v>14</v>
      </c>
      <c r="H467" s="1" t="s">
        <v>76</v>
      </c>
      <c r="I467" s="5" t="s">
        <v>653</v>
      </c>
      <c r="J467" s="4">
        <v>53</v>
      </c>
      <c r="K467" t="str">
        <f t="shared" si="14"/>
        <v>pass</v>
      </c>
      <c r="L467" t="str">
        <f t="shared" si="15"/>
        <v>D</v>
      </c>
    </row>
    <row r="468" spans="1:12" x14ac:dyDescent="0.3">
      <c r="A468" s="1" t="s">
        <v>888</v>
      </c>
      <c r="B468" s="1" t="s">
        <v>23</v>
      </c>
      <c r="C468" s="1" t="s">
        <v>58</v>
      </c>
      <c r="D468" s="1" t="s">
        <v>31</v>
      </c>
      <c r="E468" s="4">
        <v>18</v>
      </c>
      <c r="F468" s="4">
        <v>10</v>
      </c>
      <c r="G468" s="1" t="s">
        <v>14</v>
      </c>
      <c r="H468" s="1" t="s">
        <v>20</v>
      </c>
      <c r="I468" s="5" t="s">
        <v>153</v>
      </c>
      <c r="J468" s="4">
        <v>92</v>
      </c>
      <c r="K468" t="str">
        <f t="shared" si="14"/>
        <v>pass</v>
      </c>
      <c r="L468" t="str">
        <f t="shared" si="15"/>
        <v>A+</v>
      </c>
    </row>
    <row r="469" spans="1:12" x14ac:dyDescent="0.3">
      <c r="A469" s="1" t="s">
        <v>889</v>
      </c>
      <c r="B469" s="1" t="s">
        <v>68</v>
      </c>
      <c r="C469" s="1" t="s">
        <v>19</v>
      </c>
      <c r="D469" s="1" t="s">
        <v>31</v>
      </c>
      <c r="E469" s="4">
        <v>18</v>
      </c>
      <c r="F469" s="4">
        <v>12</v>
      </c>
      <c r="G469" s="1" t="s">
        <v>32</v>
      </c>
      <c r="H469" s="1" t="s">
        <v>46</v>
      </c>
      <c r="I469" s="5" t="s">
        <v>890</v>
      </c>
      <c r="J469" s="4">
        <v>88</v>
      </c>
      <c r="K469" t="str">
        <f t="shared" si="14"/>
        <v>pass</v>
      </c>
      <c r="L469" t="str">
        <f t="shared" si="15"/>
        <v>A</v>
      </c>
    </row>
    <row r="470" spans="1:12" x14ac:dyDescent="0.3">
      <c r="A470" s="1" t="s">
        <v>891</v>
      </c>
      <c r="B470" s="1" t="s">
        <v>68</v>
      </c>
      <c r="C470" s="1" t="s">
        <v>79</v>
      </c>
      <c r="D470" s="1" t="s">
        <v>31</v>
      </c>
      <c r="E470" s="4">
        <v>17</v>
      </c>
      <c r="F470" s="4">
        <v>10</v>
      </c>
      <c r="G470" s="1" t="s">
        <v>32</v>
      </c>
      <c r="H470" s="1" t="s">
        <v>61</v>
      </c>
      <c r="I470" s="5" t="s">
        <v>892</v>
      </c>
      <c r="J470" s="4">
        <v>56</v>
      </c>
      <c r="K470" t="str">
        <f t="shared" si="14"/>
        <v>pass</v>
      </c>
      <c r="L470" t="str">
        <f t="shared" si="15"/>
        <v>D</v>
      </c>
    </row>
    <row r="471" spans="1:12" x14ac:dyDescent="0.3">
      <c r="A471" s="1" t="s">
        <v>893</v>
      </c>
      <c r="B471" s="1" t="s">
        <v>29</v>
      </c>
      <c r="C471" s="1" t="s">
        <v>30</v>
      </c>
      <c r="D471" s="1" t="s">
        <v>13</v>
      </c>
      <c r="E471" s="4">
        <v>17</v>
      </c>
      <c r="F471" s="4">
        <v>9</v>
      </c>
      <c r="G471" s="1" t="s">
        <v>14</v>
      </c>
      <c r="H471" s="1" t="s">
        <v>46</v>
      </c>
      <c r="I471" s="5" t="s">
        <v>423</v>
      </c>
      <c r="J471" s="4">
        <v>46</v>
      </c>
      <c r="K471" t="str">
        <f t="shared" si="14"/>
        <v>pass</v>
      </c>
      <c r="L471" t="str">
        <f t="shared" si="15"/>
        <v>E</v>
      </c>
    </row>
    <row r="472" spans="1:12" x14ac:dyDescent="0.3">
      <c r="A472" s="1" t="s">
        <v>894</v>
      </c>
      <c r="B472" s="1" t="s">
        <v>23</v>
      </c>
      <c r="C472" s="1" t="s">
        <v>79</v>
      </c>
      <c r="D472" s="1" t="s">
        <v>31</v>
      </c>
      <c r="E472" s="4">
        <v>20</v>
      </c>
      <c r="F472" s="4">
        <v>9</v>
      </c>
      <c r="G472" s="1" t="s">
        <v>14</v>
      </c>
      <c r="H472" s="1" t="s">
        <v>26</v>
      </c>
      <c r="I472" s="5" t="s">
        <v>895</v>
      </c>
      <c r="J472" s="4">
        <v>36</v>
      </c>
      <c r="K472" t="str">
        <f t="shared" si="14"/>
        <v>fail</v>
      </c>
      <c r="L472" t="str">
        <f t="shared" si="15"/>
        <v>F</v>
      </c>
    </row>
    <row r="473" spans="1:12" x14ac:dyDescent="0.3">
      <c r="A473" s="1" t="s">
        <v>896</v>
      </c>
      <c r="B473" s="1" t="s">
        <v>11</v>
      </c>
      <c r="C473" s="1" t="s">
        <v>36</v>
      </c>
      <c r="D473" s="1" t="s">
        <v>13</v>
      </c>
      <c r="E473" s="4">
        <v>15</v>
      </c>
      <c r="F473" s="4">
        <v>11</v>
      </c>
      <c r="G473" s="1" t="s">
        <v>14</v>
      </c>
      <c r="H473" s="1" t="s">
        <v>26</v>
      </c>
      <c r="I473" s="5" t="s">
        <v>897</v>
      </c>
      <c r="J473" s="4">
        <v>95</v>
      </c>
      <c r="K473" t="str">
        <f t="shared" si="14"/>
        <v>pass</v>
      </c>
      <c r="L473" t="str">
        <f t="shared" si="15"/>
        <v>A+</v>
      </c>
    </row>
    <row r="474" spans="1:12" x14ac:dyDescent="0.3">
      <c r="A474" s="1" t="s">
        <v>898</v>
      </c>
      <c r="B474" s="1" t="s">
        <v>18</v>
      </c>
      <c r="C474" s="1" t="s">
        <v>19</v>
      </c>
      <c r="D474" s="1" t="s">
        <v>13</v>
      </c>
      <c r="E474" s="4">
        <v>17</v>
      </c>
      <c r="F474" s="4">
        <v>10</v>
      </c>
      <c r="G474" s="1" t="s">
        <v>25</v>
      </c>
      <c r="H474" s="1" t="s">
        <v>61</v>
      </c>
      <c r="I474" s="5" t="s">
        <v>471</v>
      </c>
      <c r="J474" s="4">
        <v>58</v>
      </c>
      <c r="K474" t="str">
        <f t="shared" si="14"/>
        <v>pass</v>
      </c>
      <c r="L474" t="str">
        <f t="shared" si="15"/>
        <v>D</v>
      </c>
    </row>
    <row r="475" spans="1:12" x14ac:dyDescent="0.3">
      <c r="A475" s="1" t="s">
        <v>899</v>
      </c>
      <c r="B475" s="1" t="s">
        <v>11</v>
      </c>
      <c r="C475" s="1" t="s">
        <v>79</v>
      </c>
      <c r="D475" s="1" t="s">
        <v>13</v>
      </c>
      <c r="E475" s="4">
        <v>15</v>
      </c>
      <c r="F475" s="4">
        <v>10</v>
      </c>
      <c r="G475" s="1" t="s">
        <v>14</v>
      </c>
      <c r="H475" s="1" t="s">
        <v>37</v>
      </c>
      <c r="I475" s="5" t="s">
        <v>900</v>
      </c>
      <c r="J475" s="4">
        <v>88</v>
      </c>
      <c r="K475" t="str">
        <f t="shared" si="14"/>
        <v>pass</v>
      </c>
      <c r="L475" t="str">
        <f t="shared" si="15"/>
        <v>A</v>
      </c>
    </row>
    <row r="476" spans="1:12" x14ac:dyDescent="0.3">
      <c r="A476" s="1" t="s">
        <v>901</v>
      </c>
      <c r="B476" s="1" t="s">
        <v>68</v>
      </c>
      <c r="C476" s="1" t="s">
        <v>19</v>
      </c>
      <c r="D476" s="1" t="s">
        <v>31</v>
      </c>
      <c r="E476" s="4">
        <v>18</v>
      </c>
      <c r="F476" s="4">
        <v>11</v>
      </c>
      <c r="G476" s="1" t="s">
        <v>14</v>
      </c>
      <c r="H476" s="1" t="s">
        <v>40</v>
      </c>
      <c r="I476" s="5" t="s">
        <v>139</v>
      </c>
      <c r="J476" s="4">
        <v>75</v>
      </c>
      <c r="K476" t="str">
        <f t="shared" si="14"/>
        <v>pass</v>
      </c>
      <c r="L476" t="str">
        <f t="shared" si="15"/>
        <v>B</v>
      </c>
    </row>
    <row r="477" spans="1:12" x14ac:dyDescent="0.3">
      <c r="A477" s="1" t="s">
        <v>902</v>
      </c>
      <c r="B477" s="1" t="s">
        <v>35</v>
      </c>
      <c r="C477" s="1" t="s">
        <v>12</v>
      </c>
      <c r="D477" s="1" t="s">
        <v>31</v>
      </c>
      <c r="E477" s="4">
        <v>14</v>
      </c>
      <c r="F477" s="4">
        <v>11</v>
      </c>
      <c r="G477" s="1" t="s">
        <v>14</v>
      </c>
      <c r="H477" s="1" t="s">
        <v>37</v>
      </c>
      <c r="I477" s="5" t="s">
        <v>271</v>
      </c>
      <c r="J477" s="4">
        <v>59</v>
      </c>
      <c r="K477" t="str">
        <f t="shared" si="14"/>
        <v>pass</v>
      </c>
      <c r="L477" t="str">
        <f t="shared" si="15"/>
        <v>D</v>
      </c>
    </row>
    <row r="478" spans="1:12" x14ac:dyDescent="0.3">
      <c r="A478" s="1" t="s">
        <v>903</v>
      </c>
      <c r="B478" s="1" t="s">
        <v>54</v>
      </c>
      <c r="C478" s="1" t="s">
        <v>30</v>
      </c>
      <c r="D478" s="1" t="s">
        <v>31</v>
      </c>
      <c r="E478" s="4">
        <v>20</v>
      </c>
      <c r="F478" s="4">
        <v>12</v>
      </c>
      <c r="G478" s="1" t="s">
        <v>43</v>
      </c>
      <c r="H478" s="1" t="s">
        <v>40</v>
      </c>
      <c r="I478" s="5" t="s">
        <v>904</v>
      </c>
      <c r="J478" s="4">
        <v>55</v>
      </c>
      <c r="K478" t="str">
        <f t="shared" si="14"/>
        <v>pass</v>
      </c>
      <c r="L478" t="str">
        <f t="shared" si="15"/>
        <v>D</v>
      </c>
    </row>
    <row r="479" spans="1:12" x14ac:dyDescent="0.3">
      <c r="A479" s="1" t="s">
        <v>905</v>
      </c>
      <c r="B479" s="1" t="s">
        <v>54</v>
      </c>
      <c r="C479" s="1" t="s">
        <v>30</v>
      </c>
      <c r="D479" s="1" t="s">
        <v>13</v>
      </c>
      <c r="E479" s="4">
        <v>16</v>
      </c>
      <c r="F479" s="4">
        <v>12</v>
      </c>
      <c r="G479" s="1" t="s">
        <v>43</v>
      </c>
      <c r="H479" s="1" t="s">
        <v>40</v>
      </c>
      <c r="I479" s="5" t="s">
        <v>556</v>
      </c>
      <c r="J479" s="4">
        <v>81</v>
      </c>
      <c r="K479" t="str">
        <f t="shared" si="14"/>
        <v>pass</v>
      </c>
      <c r="L479" t="str">
        <f t="shared" si="15"/>
        <v>A</v>
      </c>
    </row>
    <row r="480" spans="1:12" x14ac:dyDescent="0.3">
      <c r="A480" s="1" t="s">
        <v>906</v>
      </c>
      <c r="B480" s="1" t="s">
        <v>73</v>
      </c>
      <c r="C480" s="1" t="s">
        <v>36</v>
      </c>
      <c r="D480" s="1" t="s">
        <v>13</v>
      </c>
      <c r="E480" s="4">
        <v>17</v>
      </c>
      <c r="F480" s="4">
        <v>12</v>
      </c>
      <c r="G480" s="1" t="s">
        <v>25</v>
      </c>
      <c r="H480" s="1" t="s">
        <v>76</v>
      </c>
      <c r="I480" s="5" t="s">
        <v>907</v>
      </c>
      <c r="J480" s="4">
        <v>75</v>
      </c>
      <c r="K480" t="str">
        <f t="shared" si="14"/>
        <v>pass</v>
      </c>
      <c r="L480" t="str">
        <f t="shared" si="15"/>
        <v>B</v>
      </c>
    </row>
    <row r="481" spans="1:12" x14ac:dyDescent="0.3">
      <c r="A481" s="1" t="s">
        <v>908</v>
      </c>
      <c r="B481" s="1" t="s">
        <v>11</v>
      </c>
      <c r="C481" s="1" t="s">
        <v>79</v>
      </c>
      <c r="D481" s="1" t="s">
        <v>31</v>
      </c>
      <c r="E481" s="4">
        <v>14</v>
      </c>
      <c r="F481" s="4">
        <v>10</v>
      </c>
      <c r="G481" s="1" t="s">
        <v>14</v>
      </c>
      <c r="H481" s="1" t="s">
        <v>46</v>
      </c>
      <c r="I481" s="5" t="s">
        <v>909</v>
      </c>
      <c r="J481" s="4">
        <v>55</v>
      </c>
      <c r="K481" t="str">
        <f t="shared" si="14"/>
        <v>pass</v>
      </c>
      <c r="L481" t="str">
        <f t="shared" si="15"/>
        <v>D</v>
      </c>
    </row>
    <row r="482" spans="1:12" x14ac:dyDescent="0.3">
      <c r="A482" s="1" t="s">
        <v>910</v>
      </c>
      <c r="B482" s="1" t="s">
        <v>84</v>
      </c>
      <c r="C482" s="1" t="s">
        <v>12</v>
      </c>
      <c r="D482" s="1" t="s">
        <v>31</v>
      </c>
      <c r="E482" s="4">
        <v>18</v>
      </c>
      <c r="F482" s="4">
        <v>11</v>
      </c>
      <c r="G482" s="1" t="s">
        <v>25</v>
      </c>
      <c r="H482" s="1" t="s">
        <v>15</v>
      </c>
      <c r="I482" s="5" t="s">
        <v>911</v>
      </c>
      <c r="J482" s="4">
        <v>87</v>
      </c>
      <c r="K482" t="str">
        <f t="shared" si="14"/>
        <v>pass</v>
      </c>
      <c r="L482" t="str">
        <f t="shared" si="15"/>
        <v>A</v>
      </c>
    </row>
    <row r="483" spans="1:12" x14ac:dyDescent="0.3">
      <c r="A483" s="1" t="s">
        <v>912</v>
      </c>
      <c r="B483" s="1" t="s">
        <v>23</v>
      </c>
      <c r="C483" s="1" t="s">
        <v>79</v>
      </c>
      <c r="D483" s="1" t="s">
        <v>31</v>
      </c>
      <c r="E483" s="4">
        <v>17</v>
      </c>
      <c r="F483" s="4">
        <v>12</v>
      </c>
      <c r="G483" s="1" t="s">
        <v>32</v>
      </c>
      <c r="H483" s="1" t="s">
        <v>46</v>
      </c>
      <c r="I483" s="5" t="s">
        <v>400</v>
      </c>
      <c r="J483" s="4">
        <v>70</v>
      </c>
      <c r="K483" t="str">
        <f t="shared" si="14"/>
        <v>pass</v>
      </c>
      <c r="L483" t="str">
        <f t="shared" si="15"/>
        <v>B</v>
      </c>
    </row>
    <row r="484" spans="1:12" x14ac:dyDescent="0.3">
      <c r="A484" s="1" t="s">
        <v>913</v>
      </c>
      <c r="B484" s="1" t="s">
        <v>68</v>
      </c>
      <c r="C484" s="1" t="s">
        <v>58</v>
      </c>
      <c r="D484" s="1" t="s">
        <v>13</v>
      </c>
      <c r="E484" s="4">
        <v>14</v>
      </c>
      <c r="F484" s="4">
        <v>10</v>
      </c>
      <c r="G484" s="1" t="s">
        <v>14</v>
      </c>
      <c r="H484" s="1" t="s">
        <v>15</v>
      </c>
      <c r="I484" s="5" t="s">
        <v>914</v>
      </c>
      <c r="J484" s="4">
        <v>69</v>
      </c>
      <c r="K484" t="str">
        <f t="shared" si="14"/>
        <v>pass</v>
      </c>
      <c r="L484" t="str">
        <f t="shared" si="15"/>
        <v>C</v>
      </c>
    </row>
    <row r="485" spans="1:12" x14ac:dyDescent="0.3">
      <c r="A485" s="1" t="s">
        <v>915</v>
      </c>
      <c r="B485" s="1" t="s">
        <v>23</v>
      </c>
      <c r="C485" s="1" t="s">
        <v>58</v>
      </c>
      <c r="D485" s="1" t="s">
        <v>31</v>
      </c>
      <c r="E485" s="4">
        <v>17</v>
      </c>
      <c r="F485" s="4">
        <v>9</v>
      </c>
      <c r="G485" s="1" t="s">
        <v>25</v>
      </c>
      <c r="H485" s="1" t="s">
        <v>46</v>
      </c>
      <c r="I485" s="5" t="s">
        <v>916</v>
      </c>
      <c r="J485" s="4">
        <v>85</v>
      </c>
      <c r="K485" t="str">
        <f t="shared" si="14"/>
        <v>pass</v>
      </c>
      <c r="L485" t="str">
        <f t="shared" si="15"/>
        <v>A</v>
      </c>
    </row>
    <row r="486" spans="1:12" x14ac:dyDescent="0.3">
      <c r="A486" s="1" t="s">
        <v>917</v>
      </c>
      <c r="B486" s="1" t="s">
        <v>11</v>
      </c>
      <c r="C486" s="1" t="s">
        <v>96</v>
      </c>
      <c r="D486" s="1" t="s">
        <v>31</v>
      </c>
      <c r="E486" s="4">
        <v>19</v>
      </c>
      <c r="F486" s="4">
        <v>11</v>
      </c>
      <c r="G486" s="1" t="s">
        <v>43</v>
      </c>
      <c r="H486" s="1" t="s">
        <v>26</v>
      </c>
      <c r="I486" s="5" t="s">
        <v>918</v>
      </c>
      <c r="J486" s="4">
        <v>87</v>
      </c>
      <c r="K486" t="str">
        <f t="shared" si="14"/>
        <v>pass</v>
      </c>
      <c r="L486" t="str">
        <f t="shared" si="15"/>
        <v>A</v>
      </c>
    </row>
    <row r="487" spans="1:12" x14ac:dyDescent="0.3">
      <c r="A487" s="1" t="s">
        <v>919</v>
      </c>
      <c r="B487" s="1" t="s">
        <v>23</v>
      </c>
      <c r="C487" s="1" t="s">
        <v>19</v>
      </c>
      <c r="D487" s="1" t="s">
        <v>13</v>
      </c>
      <c r="E487" s="4">
        <v>14</v>
      </c>
      <c r="F487" s="4">
        <v>12</v>
      </c>
      <c r="G487" s="1" t="s">
        <v>14</v>
      </c>
      <c r="H487" s="1" t="s">
        <v>15</v>
      </c>
      <c r="I487" s="5" t="s">
        <v>920</v>
      </c>
      <c r="J487" s="4">
        <v>92</v>
      </c>
      <c r="K487" t="str">
        <f t="shared" si="14"/>
        <v>pass</v>
      </c>
      <c r="L487" t="str">
        <f t="shared" si="15"/>
        <v>A+</v>
      </c>
    </row>
    <row r="488" spans="1:12" x14ac:dyDescent="0.3">
      <c r="A488" s="1" t="s">
        <v>921</v>
      </c>
      <c r="B488" s="1" t="s">
        <v>18</v>
      </c>
      <c r="C488" s="1" t="s">
        <v>24</v>
      </c>
      <c r="D488" s="1" t="s">
        <v>13</v>
      </c>
      <c r="E488" s="4">
        <v>19</v>
      </c>
      <c r="F488" s="4">
        <v>10</v>
      </c>
      <c r="G488" s="1" t="s">
        <v>14</v>
      </c>
      <c r="H488" s="1" t="s">
        <v>20</v>
      </c>
      <c r="I488" s="5" t="s">
        <v>922</v>
      </c>
      <c r="J488" s="4">
        <v>58</v>
      </c>
      <c r="K488" t="str">
        <f t="shared" si="14"/>
        <v>pass</v>
      </c>
      <c r="L488" t="str">
        <f t="shared" si="15"/>
        <v>D</v>
      </c>
    </row>
    <row r="489" spans="1:12" x14ac:dyDescent="0.3">
      <c r="A489" s="1" t="s">
        <v>923</v>
      </c>
      <c r="B489" s="1" t="s">
        <v>68</v>
      </c>
      <c r="C489" s="1" t="s">
        <v>55</v>
      </c>
      <c r="D489" s="1" t="s">
        <v>31</v>
      </c>
      <c r="E489" s="4">
        <v>16</v>
      </c>
      <c r="F489" s="4">
        <v>12</v>
      </c>
      <c r="G489" s="1" t="s">
        <v>43</v>
      </c>
      <c r="H489" s="1" t="s">
        <v>37</v>
      </c>
      <c r="I489" s="5" t="s">
        <v>924</v>
      </c>
      <c r="J489" s="4">
        <v>77</v>
      </c>
      <c r="K489" t="str">
        <f t="shared" si="14"/>
        <v>pass</v>
      </c>
      <c r="L489" t="str">
        <f t="shared" si="15"/>
        <v>B</v>
      </c>
    </row>
    <row r="490" spans="1:12" x14ac:dyDescent="0.3">
      <c r="A490" s="1" t="s">
        <v>925</v>
      </c>
      <c r="B490" s="1" t="s">
        <v>68</v>
      </c>
      <c r="C490" s="1" t="s">
        <v>30</v>
      </c>
      <c r="D490" s="1" t="s">
        <v>31</v>
      </c>
      <c r="E490" s="4">
        <v>18</v>
      </c>
      <c r="F490" s="4">
        <v>9</v>
      </c>
      <c r="G490" s="1" t="s">
        <v>32</v>
      </c>
      <c r="H490" s="1" t="s">
        <v>20</v>
      </c>
      <c r="I490" s="5" t="s">
        <v>732</v>
      </c>
      <c r="J490" s="4">
        <v>86</v>
      </c>
      <c r="K490" t="str">
        <f t="shared" si="14"/>
        <v>pass</v>
      </c>
      <c r="L490" t="str">
        <f t="shared" si="15"/>
        <v>A</v>
      </c>
    </row>
    <row r="491" spans="1:12" x14ac:dyDescent="0.3">
      <c r="A491" s="1" t="s">
        <v>926</v>
      </c>
      <c r="B491" s="1" t="s">
        <v>73</v>
      </c>
      <c r="C491" s="1" t="s">
        <v>85</v>
      </c>
      <c r="D491" s="1" t="s">
        <v>13</v>
      </c>
      <c r="E491" s="4">
        <v>14</v>
      </c>
      <c r="F491" s="4">
        <v>9</v>
      </c>
      <c r="G491" s="1" t="s">
        <v>32</v>
      </c>
      <c r="H491" s="1" t="s">
        <v>20</v>
      </c>
      <c r="I491" s="5" t="s">
        <v>927</v>
      </c>
      <c r="J491" s="4">
        <v>94</v>
      </c>
      <c r="K491" t="str">
        <f t="shared" si="14"/>
        <v>pass</v>
      </c>
      <c r="L491" t="str">
        <f t="shared" si="15"/>
        <v>A+</v>
      </c>
    </row>
    <row r="492" spans="1:12" x14ac:dyDescent="0.3">
      <c r="A492" s="1" t="s">
        <v>928</v>
      </c>
      <c r="B492" s="1" t="s">
        <v>23</v>
      </c>
      <c r="C492" s="1" t="s">
        <v>55</v>
      </c>
      <c r="D492" s="1" t="s">
        <v>13</v>
      </c>
      <c r="E492" s="4">
        <v>20</v>
      </c>
      <c r="F492" s="4">
        <v>11</v>
      </c>
      <c r="G492" s="1" t="s">
        <v>14</v>
      </c>
      <c r="H492" s="1" t="s">
        <v>15</v>
      </c>
      <c r="I492" s="5" t="s">
        <v>608</v>
      </c>
      <c r="J492" s="4">
        <v>49</v>
      </c>
      <c r="K492" t="str">
        <f t="shared" si="14"/>
        <v>pass</v>
      </c>
      <c r="L492" t="str">
        <f t="shared" si="15"/>
        <v>E</v>
      </c>
    </row>
    <row r="493" spans="1:12" x14ac:dyDescent="0.3">
      <c r="A493" s="1" t="s">
        <v>929</v>
      </c>
      <c r="B493" s="1" t="s">
        <v>35</v>
      </c>
      <c r="C493" s="1" t="s">
        <v>30</v>
      </c>
      <c r="D493" s="1" t="s">
        <v>13</v>
      </c>
      <c r="E493" s="4">
        <v>15</v>
      </c>
      <c r="F493" s="4">
        <v>12</v>
      </c>
      <c r="G493" s="1" t="s">
        <v>32</v>
      </c>
      <c r="H493" s="1" t="s">
        <v>26</v>
      </c>
      <c r="I493" s="5" t="s">
        <v>262</v>
      </c>
      <c r="J493" s="4">
        <v>55</v>
      </c>
      <c r="K493" t="str">
        <f t="shared" si="14"/>
        <v>pass</v>
      </c>
      <c r="L493" t="str">
        <f t="shared" si="15"/>
        <v>D</v>
      </c>
    </row>
    <row r="494" spans="1:12" x14ac:dyDescent="0.3">
      <c r="A494" s="1" t="s">
        <v>930</v>
      </c>
      <c r="B494" s="1" t="s">
        <v>35</v>
      </c>
      <c r="C494" s="1" t="s">
        <v>96</v>
      </c>
      <c r="D494" s="1" t="s">
        <v>31</v>
      </c>
      <c r="E494" s="4">
        <v>20</v>
      </c>
      <c r="F494" s="4">
        <v>9</v>
      </c>
      <c r="G494" s="1" t="s">
        <v>25</v>
      </c>
      <c r="H494" s="1" t="s">
        <v>61</v>
      </c>
      <c r="I494" s="5" t="s">
        <v>342</v>
      </c>
      <c r="J494" s="4">
        <v>62</v>
      </c>
      <c r="K494" t="str">
        <f t="shared" si="14"/>
        <v>pass</v>
      </c>
      <c r="L494" t="str">
        <f t="shared" si="15"/>
        <v>C</v>
      </c>
    </row>
    <row r="495" spans="1:12" x14ac:dyDescent="0.3">
      <c r="A495" s="1" t="s">
        <v>931</v>
      </c>
      <c r="B495" s="1" t="s">
        <v>23</v>
      </c>
      <c r="C495" s="1" t="s">
        <v>36</v>
      </c>
      <c r="D495" s="1" t="s">
        <v>13</v>
      </c>
      <c r="E495" s="4">
        <v>20</v>
      </c>
      <c r="F495" s="4">
        <v>9</v>
      </c>
      <c r="G495" s="1" t="s">
        <v>43</v>
      </c>
      <c r="H495" s="1" t="s">
        <v>40</v>
      </c>
      <c r="I495" s="5" t="s">
        <v>932</v>
      </c>
      <c r="J495" s="4">
        <v>85</v>
      </c>
      <c r="K495" t="str">
        <f t="shared" si="14"/>
        <v>pass</v>
      </c>
      <c r="L495" t="str">
        <f t="shared" si="15"/>
        <v>A</v>
      </c>
    </row>
    <row r="496" spans="1:12" x14ac:dyDescent="0.3">
      <c r="A496" s="1" t="s">
        <v>933</v>
      </c>
      <c r="B496" s="1" t="s">
        <v>51</v>
      </c>
      <c r="C496" s="1" t="s">
        <v>96</v>
      </c>
      <c r="D496" s="1" t="s">
        <v>13</v>
      </c>
      <c r="E496" s="4">
        <v>20</v>
      </c>
      <c r="F496" s="4">
        <v>11</v>
      </c>
      <c r="G496" s="1" t="s">
        <v>25</v>
      </c>
      <c r="H496" s="1" t="s">
        <v>15</v>
      </c>
      <c r="I496" s="5" t="s">
        <v>494</v>
      </c>
      <c r="J496" s="4">
        <v>42</v>
      </c>
      <c r="K496" t="str">
        <f t="shared" si="14"/>
        <v>pass</v>
      </c>
      <c r="L496" t="str">
        <f t="shared" si="15"/>
        <v>E</v>
      </c>
    </row>
    <row r="497" spans="1:12" x14ac:dyDescent="0.3">
      <c r="A497" s="1" t="s">
        <v>934</v>
      </c>
      <c r="B497" s="1" t="s">
        <v>51</v>
      </c>
      <c r="C497" s="1" t="s">
        <v>58</v>
      </c>
      <c r="D497" s="1" t="s">
        <v>31</v>
      </c>
      <c r="E497" s="4">
        <v>18</v>
      </c>
      <c r="F497" s="4">
        <v>11</v>
      </c>
      <c r="G497" s="1" t="s">
        <v>14</v>
      </c>
      <c r="H497" s="1" t="s">
        <v>37</v>
      </c>
      <c r="I497" s="5" t="s">
        <v>806</v>
      </c>
      <c r="J497" s="4">
        <v>88</v>
      </c>
      <c r="K497" t="str">
        <f t="shared" si="14"/>
        <v>pass</v>
      </c>
      <c r="L497" t="str">
        <f t="shared" si="15"/>
        <v>A</v>
      </c>
    </row>
    <row r="498" spans="1:12" x14ac:dyDescent="0.3">
      <c r="A498" s="1" t="s">
        <v>935</v>
      </c>
      <c r="B498" s="1" t="s">
        <v>18</v>
      </c>
      <c r="C498" s="1" t="s">
        <v>12</v>
      </c>
      <c r="D498" s="1" t="s">
        <v>13</v>
      </c>
      <c r="E498" s="4">
        <v>20</v>
      </c>
      <c r="F498" s="4">
        <v>11</v>
      </c>
      <c r="G498" s="1" t="s">
        <v>43</v>
      </c>
      <c r="H498" s="1" t="s">
        <v>46</v>
      </c>
      <c r="I498" s="5" t="s">
        <v>936</v>
      </c>
      <c r="J498" s="4">
        <v>94</v>
      </c>
      <c r="K498" t="str">
        <f t="shared" si="14"/>
        <v>pass</v>
      </c>
      <c r="L498" t="str">
        <f t="shared" si="15"/>
        <v>A+</v>
      </c>
    </row>
    <row r="499" spans="1:12" x14ac:dyDescent="0.3">
      <c r="A499" s="1" t="s">
        <v>937</v>
      </c>
      <c r="B499" s="1" t="s">
        <v>73</v>
      </c>
      <c r="C499" s="1" t="s">
        <v>85</v>
      </c>
      <c r="D499" s="1" t="s">
        <v>31</v>
      </c>
      <c r="E499" s="4">
        <v>16</v>
      </c>
      <c r="F499" s="4">
        <v>10</v>
      </c>
      <c r="G499" s="1" t="s">
        <v>25</v>
      </c>
      <c r="H499" s="1" t="s">
        <v>76</v>
      </c>
      <c r="I499" s="5" t="s">
        <v>305</v>
      </c>
      <c r="J499" s="4">
        <v>90</v>
      </c>
      <c r="K499" t="str">
        <f t="shared" si="14"/>
        <v>pass</v>
      </c>
      <c r="L499" t="str">
        <f t="shared" si="15"/>
        <v>A+</v>
      </c>
    </row>
    <row r="500" spans="1:12" x14ac:dyDescent="0.3">
      <c r="A500" s="1" t="s">
        <v>938</v>
      </c>
      <c r="B500" s="1" t="s">
        <v>18</v>
      </c>
      <c r="C500" s="1" t="s">
        <v>58</v>
      </c>
      <c r="D500" s="1" t="s">
        <v>13</v>
      </c>
      <c r="E500" s="4">
        <v>16</v>
      </c>
      <c r="F500" s="4">
        <v>12</v>
      </c>
      <c r="G500" s="1" t="s">
        <v>25</v>
      </c>
      <c r="H500" s="1" t="s">
        <v>26</v>
      </c>
      <c r="I500" s="5" t="s">
        <v>939</v>
      </c>
      <c r="J500" s="4">
        <v>41</v>
      </c>
      <c r="K500" t="str">
        <f t="shared" si="14"/>
        <v>pass</v>
      </c>
      <c r="L500" t="str">
        <f t="shared" si="15"/>
        <v>E</v>
      </c>
    </row>
    <row r="501" spans="1:12" x14ac:dyDescent="0.3">
      <c r="A501" s="1" t="s">
        <v>940</v>
      </c>
      <c r="B501" s="1" t="s">
        <v>51</v>
      </c>
      <c r="C501" s="1" t="s">
        <v>96</v>
      </c>
      <c r="D501" s="1" t="s">
        <v>31</v>
      </c>
      <c r="E501" s="4">
        <v>18</v>
      </c>
      <c r="F501" s="4">
        <v>9</v>
      </c>
      <c r="G501" s="1" t="s">
        <v>43</v>
      </c>
      <c r="H501" s="1" t="s">
        <v>76</v>
      </c>
      <c r="I501" s="5" t="s">
        <v>506</v>
      </c>
      <c r="J501" s="4">
        <v>36</v>
      </c>
      <c r="K501" t="str">
        <f t="shared" si="14"/>
        <v>fail</v>
      </c>
      <c r="L501" t="str">
        <f t="shared" si="15"/>
        <v>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3A3C-6F53-4546-8667-D2AD2CCC8D86}">
  <dimension ref="A1:V503"/>
  <sheetViews>
    <sheetView workbookViewId="0">
      <selection activeCell="L21" sqref="L21"/>
    </sheetView>
  </sheetViews>
  <sheetFormatPr defaultRowHeight="14.4" x14ac:dyDescent="0.3"/>
  <cols>
    <col min="13" max="14" width="10.44140625" bestFit="1" customWidth="1"/>
    <col min="15" max="15" width="10.33203125" bestFit="1" customWidth="1"/>
    <col min="16" max="16" width="7.109375" bestFit="1" customWidth="1"/>
    <col min="17" max="17" width="4.21875" bestFit="1" customWidth="1"/>
    <col min="18" max="18" width="5.109375" bestFit="1" customWidth="1"/>
    <col min="19" max="19" width="7.21875" bestFit="1" customWidth="1"/>
    <col min="20" max="20" width="9.77734375" bestFit="1" customWidth="1"/>
    <col min="21" max="21" width="14.6640625" bestFit="1" customWidth="1"/>
    <col min="22" max="22" width="6.21875" bestFit="1" customWidth="1"/>
  </cols>
  <sheetData>
    <row r="1" spans="1:22" x14ac:dyDescent="0.3">
      <c r="A1" s="6" t="s">
        <v>948</v>
      </c>
      <c r="M1" s="6" t="s">
        <v>949</v>
      </c>
    </row>
    <row r="3" spans="1:22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M3" s="2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 t="s">
        <v>7</v>
      </c>
      <c r="U3" s="2" t="s">
        <v>8</v>
      </c>
      <c r="V3" s="2" t="s">
        <v>9</v>
      </c>
    </row>
    <row r="4" spans="1:22" x14ac:dyDescent="0.3">
      <c r="A4" s="1" t="s">
        <v>138</v>
      </c>
      <c r="B4" s="1" t="s">
        <v>51</v>
      </c>
      <c r="C4" s="1" t="s">
        <v>85</v>
      </c>
      <c r="D4" s="1" t="s">
        <v>13</v>
      </c>
      <c r="E4" s="4">
        <v>18</v>
      </c>
      <c r="F4" s="4">
        <v>11</v>
      </c>
      <c r="G4" s="1" t="s">
        <v>43</v>
      </c>
      <c r="H4" s="1" t="s">
        <v>61</v>
      </c>
      <c r="I4" s="5" t="s">
        <v>139</v>
      </c>
      <c r="J4" s="4">
        <v>100</v>
      </c>
      <c r="M4" s="1" t="s">
        <v>22</v>
      </c>
      <c r="N4" s="1" t="s">
        <v>23</v>
      </c>
      <c r="O4" s="1" t="s">
        <v>24</v>
      </c>
      <c r="P4" s="1" t="s">
        <v>13</v>
      </c>
      <c r="Q4" s="4">
        <v>14</v>
      </c>
      <c r="R4" s="4">
        <v>12</v>
      </c>
      <c r="S4" s="1" t="s">
        <v>25</v>
      </c>
      <c r="T4" s="1" t="s">
        <v>26</v>
      </c>
      <c r="U4" s="5" t="s">
        <v>27</v>
      </c>
      <c r="V4" s="4">
        <v>38</v>
      </c>
    </row>
    <row r="5" spans="1:22" x14ac:dyDescent="0.3">
      <c r="A5" s="1" t="s">
        <v>241</v>
      </c>
      <c r="B5" s="1" t="s">
        <v>54</v>
      </c>
      <c r="C5" s="1" t="s">
        <v>85</v>
      </c>
      <c r="D5" s="1" t="s">
        <v>31</v>
      </c>
      <c r="E5" s="4">
        <v>15</v>
      </c>
      <c r="F5" s="4">
        <v>12</v>
      </c>
      <c r="G5" s="1" t="s">
        <v>14</v>
      </c>
      <c r="H5" s="1" t="s">
        <v>40</v>
      </c>
      <c r="I5" s="5" t="s">
        <v>242</v>
      </c>
      <c r="J5" s="4">
        <v>100</v>
      </c>
      <c r="M5" s="1" t="s">
        <v>57</v>
      </c>
      <c r="N5" s="1" t="s">
        <v>51</v>
      </c>
      <c r="O5" s="1" t="s">
        <v>58</v>
      </c>
      <c r="P5" s="1" t="s">
        <v>13</v>
      </c>
      <c r="Q5" s="4">
        <v>14</v>
      </c>
      <c r="R5" s="4">
        <v>12</v>
      </c>
      <c r="S5" s="1" t="s">
        <v>32</v>
      </c>
      <c r="T5" s="1" t="s">
        <v>40</v>
      </c>
      <c r="U5" s="5" t="s">
        <v>59</v>
      </c>
      <c r="V5" s="4">
        <v>43</v>
      </c>
    </row>
    <row r="6" spans="1:22" x14ac:dyDescent="0.3">
      <c r="A6" s="1" t="s">
        <v>293</v>
      </c>
      <c r="B6" s="1" t="s">
        <v>73</v>
      </c>
      <c r="C6" s="1" t="s">
        <v>96</v>
      </c>
      <c r="D6" s="1" t="s">
        <v>31</v>
      </c>
      <c r="E6" s="4">
        <v>20</v>
      </c>
      <c r="F6" s="4">
        <v>9</v>
      </c>
      <c r="G6" s="1" t="s">
        <v>43</v>
      </c>
      <c r="H6" s="1" t="s">
        <v>26</v>
      </c>
      <c r="I6" s="5" t="s">
        <v>74</v>
      </c>
      <c r="J6" s="4">
        <v>100</v>
      </c>
      <c r="M6" s="1" t="s">
        <v>70</v>
      </c>
      <c r="N6" s="1" t="s">
        <v>51</v>
      </c>
      <c r="O6" s="1" t="s">
        <v>36</v>
      </c>
      <c r="P6" s="1" t="s">
        <v>13</v>
      </c>
      <c r="Q6" s="4">
        <v>14</v>
      </c>
      <c r="R6" s="4">
        <v>12</v>
      </c>
      <c r="S6" s="1" t="s">
        <v>25</v>
      </c>
      <c r="T6" s="1" t="s">
        <v>37</v>
      </c>
      <c r="U6" s="5" t="s">
        <v>71</v>
      </c>
      <c r="V6" s="4">
        <v>42</v>
      </c>
    </row>
    <row r="7" spans="1:22" x14ac:dyDescent="0.3">
      <c r="A7" s="1" t="s">
        <v>296</v>
      </c>
      <c r="B7" s="1" t="s">
        <v>84</v>
      </c>
      <c r="C7" s="1" t="s">
        <v>19</v>
      </c>
      <c r="D7" s="1" t="s">
        <v>31</v>
      </c>
      <c r="E7" s="4">
        <v>20</v>
      </c>
      <c r="F7" s="4">
        <v>10</v>
      </c>
      <c r="G7" s="1" t="s">
        <v>43</v>
      </c>
      <c r="H7" s="1" t="s">
        <v>20</v>
      </c>
      <c r="I7" s="5" t="s">
        <v>297</v>
      </c>
      <c r="J7" s="4">
        <v>100</v>
      </c>
      <c r="M7" s="1" t="s">
        <v>93</v>
      </c>
      <c r="N7" s="1" t="s">
        <v>29</v>
      </c>
      <c r="O7" s="1" t="s">
        <v>24</v>
      </c>
      <c r="P7" s="1" t="s">
        <v>31</v>
      </c>
      <c r="Q7" s="4">
        <v>14</v>
      </c>
      <c r="R7" s="4">
        <v>12</v>
      </c>
      <c r="S7" s="1" t="s">
        <v>32</v>
      </c>
      <c r="T7" s="1" t="s">
        <v>61</v>
      </c>
      <c r="U7" s="5" t="s">
        <v>94</v>
      </c>
      <c r="V7" s="4">
        <v>72</v>
      </c>
    </row>
    <row r="8" spans="1:22" x14ac:dyDescent="0.3">
      <c r="A8" s="1" t="s">
        <v>407</v>
      </c>
      <c r="B8" s="1" t="s">
        <v>29</v>
      </c>
      <c r="C8" s="1" t="s">
        <v>12</v>
      </c>
      <c r="D8" s="1" t="s">
        <v>31</v>
      </c>
      <c r="E8" s="4">
        <v>16</v>
      </c>
      <c r="F8" s="4">
        <v>10</v>
      </c>
      <c r="G8" s="1" t="s">
        <v>14</v>
      </c>
      <c r="H8" s="1" t="s">
        <v>40</v>
      </c>
      <c r="I8" s="5" t="s">
        <v>71</v>
      </c>
      <c r="J8" s="4">
        <v>100</v>
      </c>
      <c r="M8" s="1" t="s">
        <v>110</v>
      </c>
      <c r="N8" s="1" t="s">
        <v>51</v>
      </c>
      <c r="O8" s="1" t="s">
        <v>58</v>
      </c>
      <c r="P8" s="1" t="s">
        <v>31</v>
      </c>
      <c r="Q8" s="4">
        <v>14</v>
      </c>
      <c r="R8" s="4">
        <v>10</v>
      </c>
      <c r="S8" s="1" t="s">
        <v>32</v>
      </c>
      <c r="T8" s="1" t="s">
        <v>76</v>
      </c>
      <c r="U8" s="5" t="s">
        <v>111</v>
      </c>
      <c r="V8" s="4">
        <v>60</v>
      </c>
    </row>
    <row r="9" spans="1:22" x14ac:dyDescent="0.3">
      <c r="A9" s="1" t="s">
        <v>569</v>
      </c>
      <c r="B9" s="1" t="s">
        <v>54</v>
      </c>
      <c r="C9" s="1" t="s">
        <v>12</v>
      </c>
      <c r="D9" s="1" t="s">
        <v>31</v>
      </c>
      <c r="E9" s="4">
        <v>17</v>
      </c>
      <c r="F9" s="4">
        <v>9</v>
      </c>
      <c r="G9" s="1" t="s">
        <v>25</v>
      </c>
      <c r="H9" s="1" t="s">
        <v>37</v>
      </c>
      <c r="I9" s="5" t="s">
        <v>570</v>
      </c>
      <c r="J9" s="4">
        <v>100</v>
      </c>
      <c r="M9" s="1" t="s">
        <v>136</v>
      </c>
      <c r="N9" s="1" t="s">
        <v>11</v>
      </c>
      <c r="O9" s="1" t="s">
        <v>79</v>
      </c>
      <c r="P9" s="1" t="s">
        <v>13</v>
      </c>
      <c r="Q9" s="4">
        <v>14</v>
      </c>
      <c r="R9" s="4">
        <v>10</v>
      </c>
      <c r="S9" s="1" t="s">
        <v>43</v>
      </c>
      <c r="T9" s="1" t="s">
        <v>61</v>
      </c>
      <c r="U9" s="5" t="s">
        <v>137</v>
      </c>
      <c r="V9" s="4">
        <v>65</v>
      </c>
    </row>
    <row r="10" spans="1:22" x14ac:dyDescent="0.3">
      <c r="A10" s="1" t="s">
        <v>775</v>
      </c>
      <c r="B10" s="1" t="s">
        <v>29</v>
      </c>
      <c r="C10" s="1" t="s">
        <v>85</v>
      </c>
      <c r="D10" s="1" t="s">
        <v>31</v>
      </c>
      <c r="E10" s="4">
        <v>20</v>
      </c>
      <c r="F10" s="4">
        <v>10</v>
      </c>
      <c r="G10" s="1" t="s">
        <v>14</v>
      </c>
      <c r="H10" s="1" t="s">
        <v>46</v>
      </c>
      <c r="I10" s="5" t="s">
        <v>366</v>
      </c>
      <c r="J10" s="4">
        <v>100</v>
      </c>
      <c r="M10" s="1" t="s">
        <v>166</v>
      </c>
      <c r="N10" s="1" t="s">
        <v>84</v>
      </c>
      <c r="O10" s="1" t="s">
        <v>24</v>
      </c>
      <c r="P10" s="1" t="s">
        <v>13</v>
      </c>
      <c r="Q10" s="4">
        <v>14</v>
      </c>
      <c r="R10" s="4">
        <v>10</v>
      </c>
      <c r="S10" s="1" t="s">
        <v>43</v>
      </c>
      <c r="T10" s="1" t="s">
        <v>15</v>
      </c>
      <c r="U10" s="5" t="s">
        <v>167</v>
      </c>
      <c r="V10" s="4">
        <v>45</v>
      </c>
    </row>
    <row r="11" spans="1:22" x14ac:dyDescent="0.3">
      <c r="A11" s="1" t="s">
        <v>160</v>
      </c>
      <c r="B11" s="1" t="s">
        <v>51</v>
      </c>
      <c r="C11" s="1" t="s">
        <v>85</v>
      </c>
      <c r="D11" s="1" t="s">
        <v>31</v>
      </c>
      <c r="E11" s="4">
        <v>17</v>
      </c>
      <c r="F11" s="4">
        <v>11</v>
      </c>
      <c r="G11" s="1" t="s">
        <v>43</v>
      </c>
      <c r="H11" s="1" t="s">
        <v>37</v>
      </c>
      <c r="I11" s="5" t="s">
        <v>161</v>
      </c>
      <c r="J11" s="4">
        <v>99</v>
      </c>
      <c r="M11" s="1" t="s">
        <v>171</v>
      </c>
      <c r="N11" s="1" t="s">
        <v>29</v>
      </c>
      <c r="O11" s="1" t="s">
        <v>85</v>
      </c>
      <c r="P11" s="1" t="s">
        <v>13</v>
      </c>
      <c r="Q11" s="4">
        <v>14</v>
      </c>
      <c r="R11" s="4">
        <v>10</v>
      </c>
      <c r="S11" s="1" t="s">
        <v>32</v>
      </c>
      <c r="T11" s="1" t="s">
        <v>61</v>
      </c>
      <c r="U11" s="5" t="s">
        <v>172</v>
      </c>
      <c r="V11" s="4">
        <v>51</v>
      </c>
    </row>
    <row r="12" spans="1:22" x14ac:dyDescent="0.3">
      <c r="A12" s="1" t="s">
        <v>177</v>
      </c>
      <c r="B12" s="1" t="s">
        <v>29</v>
      </c>
      <c r="C12" s="1" t="s">
        <v>58</v>
      </c>
      <c r="D12" s="1" t="s">
        <v>31</v>
      </c>
      <c r="E12" s="4">
        <v>19</v>
      </c>
      <c r="F12" s="4">
        <v>12</v>
      </c>
      <c r="G12" s="1" t="s">
        <v>43</v>
      </c>
      <c r="H12" s="1" t="s">
        <v>61</v>
      </c>
      <c r="I12" s="5" t="s">
        <v>178</v>
      </c>
      <c r="J12" s="4">
        <v>99</v>
      </c>
      <c r="M12" s="1" t="s">
        <v>185</v>
      </c>
      <c r="N12" s="1" t="s">
        <v>35</v>
      </c>
      <c r="O12" s="1" t="s">
        <v>30</v>
      </c>
      <c r="P12" s="1" t="s">
        <v>31</v>
      </c>
      <c r="Q12" s="4">
        <v>14</v>
      </c>
      <c r="R12" s="4">
        <v>12</v>
      </c>
      <c r="S12" s="1" t="s">
        <v>43</v>
      </c>
      <c r="T12" s="1" t="s">
        <v>61</v>
      </c>
      <c r="U12" s="5" t="s">
        <v>186</v>
      </c>
      <c r="V12" s="4">
        <v>45</v>
      </c>
    </row>
    <row r="13" spans="1:22" x14ac:dyDescent="0.3">
      <c r="A13" s="1" t="s">
        <v>294</v>
      </c>
      <c r="B13" s="1" t="s">
        <v>35</v>
      </c>
      <c r="C13" s="1" t="s">
        <v>55</v>
      </c>
      <c r="D13" s="1" t="s">
        <v>13</v>
      </c>
      <c r="E13" s="4">
        <v>20</v>
      </c>
      <c r="F13" s="4">
        <v>9</v>
      </c>
      <c r="G13" s="1" t="s">
        <v>25</v>
      </c>
      <c r="H13" s="1" t="s">
        <v>46</v>
      </c>
      <c r="I13" s="5" t="s">
        <v>295</v>
      </c>
      <c r="J13" s="4">
        <v>99</v>
      </c>
      <c r="M13" s="1" t="s">
        <v>190</v>
      </c>
      <c r="N13" s="1" t="s">
        <v>18</v>
      </c>
      <c r="O13" s="1" t="s">
        <v>19</v>
      </c>
      <c r="P13" s="1" t="s">
        <v>31</v>
      </c>
      <c r="Q13" s="4">
        <v>14</v>
      </c>
      <c r="R13" s="4">
        <v>12</v>
      </c>
      <c r="S13" s="1" t="s">
        <v>32</v>
      </c>
      <c r="T13" s="1" t="s">
        <v>37</v>
      </c>
      <c r="U13" s="5" t="s">
        <v>191</v>
      </c>
      <c r="V13" s="4">
        <v>63</v>
      </c>
    </row>
    <row r="14" spans="1:22" x14ac:dyDescent="0.3">
      <c r="A14" s="1" t="s">
        <v>367</v>
      </c>
      <c r="B14" s="1" t="s">
        <v>35</v>
      </c>
      <c r="C14" s="1" t="s">
        <v>12</v>
      </c>
      <c r="D14" s="1" t="s">
        <v>31</v>
      </c>
      <c r="E14" s="4">
        <v>15</v>
      </c>
      <c r="F14" s="4">
        <v>10</v>
      </c>
      <c r="G14" s="1" t="s">
        <v>32</v>
      </c>
      <c r="H14" s="1" t="s">
        <v>20</v>
      </c>
      <c r="I14" s="5" t="s">
        <v>368</v>
      </c>
      <c r="J14" s="4">
        <v>99</v>
      </c>
      <c r="M14" s="1" t="s">
        <v>198</v>
      </c>
      <c r="N14" s="1" t="s">
        <v>11</v>
      </c>
      <c r="O14" s="1" t="s">
        <v>85</v>
      </c>
      <c r="P14" s="1" t="s">
        <v>31</v>
      </c>
      <c r="Q14" s="4">
        <v>14</v>
      </c>
      <c r="R14" s="4">
        <v>10</v>
      </c>
      <c r="S14" s="1" t="s">
        <v>25</v>
      </c>
      <c r="T14" s="1" t="s">
        <v>61</v>
      </c>
      <c r="U14" s="5" t="s">
        <v>199</v>
      </c>
      <c r="V14" s="4">
        <v>97</v>
      </c>
    </row>
    <row r="15" spans="1:22" x14ac:dyDescent="0.3">
      <c r="A15" s="1" t="s">
        <v>422</v>
      </c>
      <c r="B15" s="1" t="s">
        <v>73</v>
      </c>
      <c r="C15" s="1" t="s">
        <v>96</v>
      </c>
      <c r="D15" s="1" t="s">
        <v>13</v>
      </c>
      <c r="E15" s="4">
        <v>14</v>
      </c>
      <c r="F15" s="4">
        <v>10</v>
      </c>
      <c r="G15" s="1" t="s">
        <v>25</v>
      </c>
      <c r="H15" s="1" t="s">
        <v>15</v>
      </c>
      <c r="I15" s="5" t="s">
        <v>423</v>
      </c>
      <c r="J15" s="4">
        <v>99</v>
      </c>
      <c r="M15" s="1" t="s">
        <v>221</v>
      </c>
      <c r="N15" s="1" t="s">
        <v>51</v>
      </c>
      <c r="O15" s="1" t="s">
        <v>55</v>
      </c>
      <c r="P15" s="1" t="s">
        <v>13</v>
      </c>
      <c r="Q15" s="4">
        <v>14</v>
      </c>
      <c r="R15" s="4">
        <v>10</v>
      </c>
      <c r="S15" s="1" t="s">
        <v>43</v>
      </c>
      <c r="T15" s="1" t="s">
        <v>61</v>
      </c>
      <c r="U15" s="5" t="s">
        <v>222</v>
      </c>
      <c r="V15" s="4">
        <v>72</v>
      </c>
    </row>
    <row r="16" spans="1:22" x14ac:dyDescent="0.3">
      <c r="A16" s="1" t="s">
        <v>605</v>
      </c>
      <c r="B16" s="1" t="s">
        <v>54</v>
      </c>
      <c r="C16" s="1" t="s">
        <v>19</v>
      </c>
      <c r="D16" s="1" t="s">
        <v>31</v>
      </c>
      <c r="E16" s="4">
        <v>20</v>
      </c>
      <c r="F16" s="4">
        <v>10</v>
      </c>
      <c r="G16" s="1" t="s">
        <v>43</v>
      </c>
      <c r="H16" s="1" t="s">
        <v>37</v>
      </c>
      <c r="I16" s="5" t="s">
        <v>606</v>
      </c>
      <c r="J16" s="4">
        <v>99</v>
      </c>
      <c r="M16" s="1" t="s">
        <v>233</v>
      </c>
      <c r="N16" s="1" t="s">
        <v>11</v>
      </c>
      <c r="O16" s="1" t="s">
        <v>55</v>
      </c>
      <c r="P16" s="1" t="s">
        <v>13</v>
      </c>
      <c r="Q16" s="4">
        <v>14</v>
      </c>
      <c r="R16" s="4">
        <v>9</v>
      </c>
      <c r="S16" s="1" t="s">
        <v>25</v>
      </c>
      <c r="T16" s="1" t="s">
        <v>37</v>
      </c>
      <c r="U16" s="5" t="s">
        <v>234</v>
      </c>
      <c r="V16" s="4">
        <v>66</v>
      </c>
    </row>
    <row r="17" spans="1:22" x14ac:dyDescent="0.3">
      <c r="A17" s="1" t="s">
        <v>615</v>
      </c>
      <c r="B17" s="1" t="s">
        <v>18</v>
      </c>
      <c r="C17" s="1" t="s">
        <v>12</v>
      </c>
      <c r="D17" s="1" t="s">
        <v>13</v>
      </c>
      <c r="E17" s="4">
        <v>17</v>
      </c>
      <c r="F17" s="4">
        <v>12</v>
      </c>
      <c r="G17" s="1" t="s">
        <v>14</v>
      </c>
      <c r="H17" s="1" t="s">
        <v>61</v>
      </c>
      <c r="I17" s="5" t="s">
        <v>616</v>
      </c>
      <c r="J17" s="4">
        <v>99</v>
      </c>
      <c r="M17" s="1" t="s">
        <v>235</v>
      </c>
      <c r="N17" s="1" t="s">
        <v>11</v>
      </c>
      <c r="O17" s="1" t="s">
        <v>36</v>
      </c>
      <c r="P17" s="1" t="s">
        <v>31</v>
      </c>
      <c r="Q17" s="4">
        <v>14</v>
      </c>
      <c r="R17" s="4">
        <v>12</v>
      </c>
      <c r="S17" s="1" t="s">
        <v>43</v>
      </c>
      <c r="T17" s="1" t="s">
        <v>40</v>
      </c>
      <c r="U17" s="5" t="s">
        <v>236</v>
      </c>
      <c r="V17" s="4">
        <v>65</v>
      </c>
    </row>
    <row r="18" spans="1:22" x14ac:dyDescent="0.3">
      <c r="A18" s="1" t="s">
        <v>739</v>
      </c>
      <c r="B18" s="1" t="s">
        <v>18</v>
      </c>
      <c r="C18" s="1" t="s">
        <v>79</v>
      </c>
      <c r="D18" s="1" t="s">
        <v>31</v>
      </c>
      <c r="E18" s="4">
        <v>14</v>
      </c>
      <c r="F18" s="4">
        <v>10</v>
      </c>
      <c r="G18" s="1" t="s">
        <v>32</v>
      </c>
      <c r="H18" s="1" t="s">
        <v>20</v>
      </c>
      <c r="I18" s="5" t="s">
        <v>740</v>
      </c>
      <c r="J18" s="4">
        <v>99</v>
      </c>
      <c r="M18" s="1" t="s">
        <v>247</v>
      </c>
      <c r="N18" s="1" t="s">
        <v>29</v>
      </c>
      <c r="O18" s="1" t="s">
        <v>58</v>
      </c>
      <c r="P18" s="1" t="s">
        <v>31</v>
      </c>
      <c r="Q18" s="4">
        <v>14</v>
      </c>
      <c r="R18" s="4">
        <v>12</v>
      </c>
      <c r="S18" s="1" t="s">
        <v>14</v>
      </c>
      <c r="T18" s="1" t="s">
        <v>40</v>
      </c>
      <c r="U18" s="5" t="s">
        <v>248</v>
      </c>
      <c r="V18" s="4">
        <v>66</v>
      </c>
    </row>
    <row r="19" spans="1:22" x14ac:dyDescent="0.3">
      <c r="A19" s="1" t="s">
        <v>17</v>
      </c>
      <c r="B19" s="1" t="s">
        <v>18</v>
      </c>
      <c r="C19" s="1" t="s">
        <v>19</v>
      </c>
      <c r="D19" s="1" t="s">
        <v>13</v>
      </c>
      <c r="E19" s="4">
        <v>15</v>
      </c>
      <c r="F19" s="4">
        <v>12</v>
      </c>
      <c r="G19" s="1" t="s">
        <v>14</v>
      </c>
      <c r="H19" s="1" t="s">
        <v>20</v>
      </c>
      <c r="I19" s="5" t="s">
        <v>21</v>
      </c>
      <c r="J19" s="4">
        <v>98</v>
      </c>
      <c r="M19" s="1" t="s">
        <v>259</v>
      </c>
      <c r="N19" s="1" t="s">
        <v>54</v>
      </c>
      <c r="O19" s="1" t="s">
        <v>85</v>
      </c>
      <c r="P19" s="1" t="s">
        <v>13</v>
      </c>
      <c r="Q19" s="4">
        <v>14</v>
      </c>
      <c r="R19" s="4">
        <v>11</v>
      </c>
      <c r="S19" s="1" t="s">
        <v>43</v>
      </c>
      <c r="T19" s="1" t="s">
        <v>46</v>
      </c>
      <c r="U19" s="5" t="s">
        <v>260</v>
      </c>
      <c r="V19" s="4">
        <v>62</v>
      </c>
    </row>
    <row r="20" spans="1:22" x14ac:dyDescent="0.3">
      <c r="A20" s="1" t="s">
        <v>181</v>
      </c>
      <c r="B20" s="1" t="s">
        <v>11</v>
      </c>
      <c r="C20" s="1" t="s">
        <v>55</v>
      </c>
      <c r="D20" s="1" t="s">
        <v>31</v>
      </c>
      <c r="E20" s="4">
        <v>18</v>
      </c>
      <c r="F20" s="4">
        <v>10</v>
      </c>
      <c r="G20" s="1" t="s">
        <v>25</v>
      </c>
      <c r="H20" s="1" t="s">
        <v>46</v>
      </c>
      <c r="I20" s="5" t="s">
        <v>182</v>
      </c>
      <c r="J20" s="4">
        <v>98</v>
      </c>
      <c r="M20" s="1" t="s">
        <v>265</v>
      </c>
      <c r="N20" s="1" t="s">
        <v>11</v>
      </c>
      <c r="O20" s="1" t="s">
        <v>85</v>
      </c>
      <c r="P20" s="1" t="s">
        <v>31</v>
      </c>
      <c r="Q20" s="4">
        <v>14</v>
      </c>
      <c r="R20" s="4">
        <v>9</v>
      </c>
      <c r="S20" s="1" t="s">
        <v>43</v>
      </c>
      <c r="T20" s="1" t="s">
        <v>61</v>
      </c>
      <c r="U20" s="5" t="s">
        <v>56</v>
      </c>
      <c r="V20" s="4">
        <v>41</v>
      </c>
    </row>
    <row r="21" spans="1:22" x14ac:dyDescent="0.3">
      <c r="A21" s="1" t="s">
        <v>280</v>
      </c>
      <c r="B21" s="1" t="s">
        <v>84</v>
      </c>
      <c r="C21" s="1" t="s">
        <v>58</v>
      </c>
      <c r="D21" s="1" t="s">
        <v>13</v>
      </c>
      <c r="E21" s="4">
        <v>18</v>
      </c>
      <c r="F21" s="4">
        <v>12</v>
      </c>
      <c r="G21" s="1" t="s">
        <v>32</v>
      </c>
      <c r="H21" s="1" t="s">
        <v>76</v>
      </c>
      <c r="I21" s="5" t="s">
        <v>159</v>
      </c>
      <c r="J21" s="4">
        <v>98</v>
      </c>
      <c r="M21" s="1" t="s">
        <v>276</v>
      </c>
      <c r="N21" s="1" t="s">
        <v>84</v>
      </c>
      <c r="O21" s="1" t="s">
        <v>30</v>
      </c>
      <c r="P21" s="1" t="s">
        <v>31</v>
      </c>
      <c r="Q21" s="4">
        <v>14</v>
      </c>
      <c r="R21" s="4">
        <v>12</v>
      </c>
      <c r="S21" s="1" t="s">
        <v>14</v>
      </c>
      <c r="T21" s="1" t="s">
        <v>26</v>
      </c>
      <c r="U21" s="5" t="s">
        <v>277</v>
      </c>
      <c r="V21" s="4">
        <v>62</v>
      </c>
    </row>
    <row r="22" spans="1:22" x14ac:dyDescent="0.3">
      <c r="A22" s="1" t="s">
        <v>592</v>
      </c>
      <c r="B22" s="1" t="s">
        <v>51</v>
      </c>
      <c r="C22" s="1" t="s">
        <v>19</v>
      </c>
      <c r="D22" s="1" t="s">
        <v>31</v>
      </c>
      <c r="E22" s="4">
        <v>18</v>
      </c>
      <c r="F22" s="4">
        <v>10</v>
      </c>
      <c r="G22" s="1" t="s">
        <v>43</v>
      </c>
      <c r="H22" s="1" t="s">
        <v>76</v>
      </c>
      <c r="I22" s="5" t="s">
        <v>593</v>
      </c>
      <c r="J22" s="4">
        <v>98</v>
      </c>
      <c r="M22" s="1" t="s">
        <v>278</v>
      </c>
      <c r="N22" s="1" t="s">
        <v>73</v>
      </c>
      <c r="O22" s="1" t="s">
        <v>36</v>
      </c>
      <c r="P22" s="1" t="s">
        <v>13</v>
      </c>
      <c r="Q22" s="4">
        <v>14</v>
      </c>
      <c r="R22" s="4">
        <v>11</v>
      </c>
      <c r="S22" s="1" t="s">
        <v>32</v>
      </c>
      <c r="T22" s="1" t="s">
        <v>37</v>
      </c>
      <c r="U22" s="5" t="s">
        <v>279</v>
      </c>
      <c r="V22" s="4">
        <v>51</v>
      </c>
    </row>
    <row r="23" spans="1:22" x14ac:dyDescent="0.3">
      <c r="A23" s="1" t="s">
        <v>754</v>
      </c>
      <c r="B23" s="1" t="s">
        <v>54</v>
      </c>
      <c r="C23" s="1" t="s">
        <v>12</v>
      </c>
      <c r="D23" s="1" t="s">
        <v>13</v>
      </c>
      <c r="E23" s="4">
        <v>14</v>
      </c>
      <c r="F23" s="4">
        <v>12</v>
      </c>
      <c r="G23" s="1" t="s">
        <v>32</v>
      </c>
      <c r="H23" s="1" t="s">
        <v>20</v>
      </c>
      <c r="I23" s="5" t="s">
        <v>755</v>
      </c>
      <c r="J23" s="4">
        <v>98</v>
      </c>
      <c r="M23" s="1" t="s">
        <v>285</v>
      </c>
      <c r="N23" s="1" t="s">
        <v>18</v>
      </c>
      <c r="O23" s="1" t="s">
        <v>36</v>
      </c>
      <c r="P23" s="1" t="s">
        <v>31</v>
      </c>
      <c r="Q23" s="4">
        <v>14</v>
      </c>
      <c r="R23" s="4">
        <v>11</v>
      </c>
      <c r="S23" s="1" t="s">
        <v>25</v>
      </c>
      <c r="T23" s="1" t="s">
        <v>46</v>
      </c>
      <c r="U23" s="5" t="s">
        <v>286</v>
      </c>
      <c r="V23" s="4">
        <v>64</v>
      </c>
    </row>
    <row r="24" spans="1:22" x14ac:dyDescent="0.3">
      <c r="A24" s="1" t="s">
        <v>198</v>
      </c>
      <c r="B24" s="1" t="s">
        <v>11</v>
      </c>
      <c r="C24" s="1" t="s">
        <v>85</v>
      </c>
      <c r="D24" s="1" t="s">
        <v>31</v>
      </c>
      <c r="E24" s="4">
        <v>14</v>
      </c>
      <c r="F24" s="4">
        <v>10</v>
      </c>
      <c r="G24" s="1" t="s">
        <v>25</v>
      </c>
      <c r="H24" s="1" t="s">
        <v>61</v>
      </c>
      <c r="I24" s="5" t="s">
        <v>199</v>
      </c>
      <c r="J24" s="4">
        <v>97</v>
      </c>
      <c r="M24" s="1" t="s">
        <v>287</v>
      </c>
      <c r="N24" s="1" t="s">
        <v>54</v>
      </c>
      <c r="O24" s="1" t="s">
        <v>24</v>
      </c>
      <c r="P24" s="1" t="s">
        <v>31</v>
      </c>
      <c r="Q24" s="4">
        <v>14</v>
      </c>
      <c r="R24" s="4">
        <v>12</v>
      </c>
      <c r="S24" s="1" t="s">
        <v>32</v>
      </c>
      <c r="T24" s="1" t="s">
        <v>76</v>
      </c>
      <c r="U24" s="5" t="s">
        <v>288</v>
      </c>
      <c r="V24" s="4">
        <v>48</v>
      </c>
    </row>
    <row r="25" spans="1:22" x14ac:dyDescent="0.3">
      <c r="A25" s="1" t="s">
        <v>291</v>
      </c>
      <c r="B25" s="1" t="s">
        <v>11</v>
      </c>
      <c r="C25" s="1" t="s">
        <v>30</v>
      </c>
      <c r="D25" s="1" t="s">
        <v>31</v>
      </c>
      <c r="E25" s="4">
        <v>16</v>
      </c>
      <c r="F25" s="4">
        <v>9</v>
      </c>
      <c r="G25" s="1" t="s">
        <v>25</v>
      </c>
      <c r="H25" s="1" t="s">
        <v>61</v>
      </c>
      <c r="I25" s="5" t="s">
        <v>292</v>
      </c>
      <c r="J25" s="4">
        <v>97</v>
      </c>
      <c r="M25" s="1" t="s">
        <v>302</v>
      </c>
      <c r="N25" s="1" t="s">
        <v>29</v>
      </c>
      <c r="O25" s="1" t="s">
        <v>79</v>
      </c>
      <c r="P25" s="1" t="s">
        <v>13</v>
      </c>
      <c r="Q25" s="4">
        <v>14</v>
      </c>
      <c r="R25" s="4">
        <v>12</v>
      </c>
      <c r="S25" s="1" t="s">
        <v>14</v>
      </c>
      <c r="T25" s="1" t="s">
        <v>20</v>
      </c>
      <c r="U25" s="5" t="s">
        <v>303</v>
      </c>
      <c r="V25" s="4">
        <v>66</v>
      </c>
    </row>
    <row r="26" spans="1:22" x14ac:dyDescent="0.3">
      <c r="A26" s="1" t="s">
        <v>334</v>
      </c>
      <c r="B26" s="1" t="s">
        <v>73</v>
      </c>
      <c r="C26" s="1" t="s">
        <v>12</v>
      </c>
      <c r="D26" s="1" t="s">
        <v>31</v>
      </c>
      <c r="E26" s="4">
        <v>18</v>
      </c>
      <c r="F26" s="4">
        <v>11</v>
      </c>
      <c r="G26" s="1" t="s">
        <v>32</v>
      </c>
      <c r="H26" s="1" t="s">
        <v>76</v>
      </c>
      <c r="I26" s="5" t="s">
        <v>335</v>
      </c>
      <c r="J26" s="4">
        <v>97</v>
      </c>
      <c r="M26" s="1" t="s">
        <v>312</v>
      </c>
      <c r="N26" s="1" t="s">
        <v>29</v>
      </c>
      <c r="O26" s="1" t="s">
        <v>12</v>
      </c>
      <c r="P26" s="1" t="s">
        <v>31</v>
      </c>
      <c r="Q26" s="4">
        <v>14</v>
      </c>
      <c r="R26" s="4">
        <v>12</v>
      </c>
      <c r="S26" s="1" t="s">
        <v>43</v>
      </c>
      <c r="T26" s="1" t="s">
        <v>61</v>
      </c>
      <c r="U26" s="5" t="s">
        <v>313</v>
      </c>
      <c r="V26" s="4">
        <v>44</v>
      </c>
    </row>
    <row r="27" spans="1:22" x14ac:dyDescent="0.3">
      <c r="A27" s="1" t="s">
        <v>456</v>
      </c>
      <c r="B27" s="1" t="s">
        <v>11</v>
      </c>
      <c r="C27" s="1" t="s">
        <v>55</v>
      </c>
      <c r="D27" s="1" t="s">
        <v>13</v>
      </c>
      <c r="E27" s="4">
        <v>15</v>
      </c>
      <c r="F27" s="4">
        <v>9</v>
      </c>
      <c r="G27" s="1" t="s">
        <v>32</v>
      </c>
      <c r="H27" s="1" t="s">
        <v>61</v>
      </c>
      <c r="I27" s="5" t="s">
        <v>457</v>
      </c>
      <c r="J27" s="4">
        <v>97</v>
      </c>
      <c r="M27" s="1" t="s">
        <v>322</v>
      </c>
      <c r="N27" s="1" t="s">
        <v>35</v>
      </c>
      <c r="O27" s="1" t="s">
        <v>12</v>
      </c>
      <c r="P27" s="1" t="s">
        <v>13</v>
      </c>
      <c r="Q27" s="4">
        <v>14</v>
      </c>
      <c r="R27" s="4">
        <v>11</v>
      </c>
      <c r="S27" s="1" t="s">
        <v>14</v>
      </c>
      <c r="T27" s="1" t="s">
        <v>26</v>
      </c>
      <c r="U27" s="5" t="s">
        <v>323</v>
      </c>
      <c r="V27" s="4">
        <v>93</v>
      </c>
    </row>
    <row r="28" spans="1:22" x14ac:dyDescent="0.3">
      <c r="A28" s="1" t="s">
        <v>636</v>
      </c>
      <c r="B28" s="1" t="s">
        <v>11</v>
      </c>
      <c r="C28" s="1" t="s">
        <v>79</v>
      </c>
      <c r="D28" s="1" t="s">
        <v>13</v>
      </c>
      <c r="E28" s="4">
        <v>19</v>
      </c>
      <c r="F28" s="4">
        <v>9</v>
      </c>
      <c r="G28" s="1" t="s">
        <v>32</v>
      </c>
      <c r="H28" s="1" t="s">
        <v>76</v>
      </c>
      <c r="I28" s="5" t="s">
        <v>637</v>
      </c>
      <c r="J28" s="4">
        <v>97</v>
      </c>
      <c r="M28" s="1" t="s">
        <v>341</v>
      </c>
      <c r="N28" s="1" t="s">
        <v>54</v>
      </c>
      <c r="O28" s="1" t="s">
        <v>55</v>
      </c>
      <c r="P28" s="1" t="s">
        <v>13</v>
      </c>
      <c r="Q28" s="4">
        <v>14</v>
      </c>
      <c r="R28" s="4">
        <v>9</v>
      </c>
      <c r="S28" s="1" t="s">
        <v>25</v>
      </c>
      <c r="T28" s="1" t="s">
        <v>37</v>
      </c>
      <c r="U28" s="5" t="s">
        <v>342</v>
      </c>
      <c r="V28" s="4">
        <v>82</v>
      </c>
    </row>
    <row r="29" spans="1:22" x14ac:dyDescent="0.3">
      <c r="A29" s="1" t="s">
        <v>731</v>
      </c>
      <c r="B29" s="1" t="s">
        <v>84</v>
      </c>
      <c r="C29" s="1" t="s">
        <v>85</v>
      </c>
      <c r="D29" s="1" t="s">
        <v>31</v>
      </c>
      <c r="E29" s="4">
        <v>17</v>
      </c>
      <c r="F29" s="4">
        <v>9</v>
      </c>
      <c r="G29" s="1" t="s">
        <v>43</v>
      </c>
      <c r="H29" s="1" t="s">
        <v>76</v>
      </c>
      <c r="I29" s="5" t="s">
        <v>732</v>
      </c>
      <c r="J29" s="4">
        <v>97</v>
      </c>
      <c r="M29" s="1" t="s">
        <v>389</v>
      </c>
      <c r="N29" s="1" t="s">
        <v>54</v>
      </c>
      <c r="O29" s="1" t="s">
        <v>58</v>
      </c>
      <c r="P29" s="1" t="s">
        <v>31</v>
      </c>
      <c r="Q29" s="4">
        <v>14</v>
      </c>
      <c r="R29" s="4">
        <v>11</v>
      </c>
      <c r="S29" s="1" t="s">
        <v>32</v>
      </c>
      <c r="T29" s="1" t="s">
        <v>76</v>
      </c>
      <c r="U29" s="5" t="s">
        <v>390</v>
      </c>
      <c r="V29" s="4">
        <v>54</v>
      </c>
    </row>
    <row r="30" spans="1:22" x14ac:dyDescent="0.3">
      <c r="A30" s="1" t="s">
        <v>800</v>
      </c>
      <c r="B30" s="1" t="s">
        <v>23</v>
      </c>
      <c r="C30" s="1" t="s">
        <v>79</v>
      </c>
      <c r="D30" s="1" t="s">
        <v>31</v>
      </c>
      <c r="E30" s="4">
        <v>18</v>
      </c>
      <c r="F30" s="4">
        <v>11</v>
      </c>
      <c r="G30" s="1" t="s">
        <v>32</v>
      </c>
      <c r="H30" s="1" t="s">
        <v>76</v>
      </c>
      <c r="I30" s="5" t="s">
        <v>801</v>
      </c>
      <c r="J30" s="4">
        <v>97</v>
      </c>
      <c r="M30" s="1" t="s">
        <v>422</v>
      </c>
      <c r="N30" s="1" t="s">
        <v>73</v>
      </c>
      <c r="O30" s="1" t="s">
        <v>96</v>
      </c>
      <c r="P30" s="1" t="s">
        <v>13</v>
      </c>
      <c r="Q30" s="4">
        <v>14</v>
      </c>
      <c r="R30" s="4">
        <v>10</v>
      </c>
      <c r="S30" s="1" t="s">
        <v>25</v>
      </c>
      <c r="T30" s="1" t="s">
        <v>15</v>
      </c>
      <c r="U30" s="5" t="s">
        <v>423</v>
      </c>
      <c r="V30" s="4">
        <v>99</v>
      </c>
    </row>
    <row r="31" spans="1:22" x14ac:dyDescent="0.3">
      <c r="A31" s="1" t="s">
        <v>866</v>
      </c>
      <c r="B31" s="1" t="s">
        <v>18</v>
      </c>
      <c r="C31" s="1" t="s">
        <v>24</v>
      </c>
      <c r="D31" s="1" t="s">
        <v>13</v>
      </c>
      <c r="E31" s="4">
        <v>15</v>
      </c>
      <c r="F31" s="4">
        <v>11</v>
      </c>
      <c r="G31" s="1" t="s">
        <v>14</v>
      </c>
      <c r="H31" s="1" t="s">
        <v>61</v>
      </c>
      <c r="I31" s="5" t="s">
        <v>867</v>
      </c>
      <c r="J31" s="4">
        <v>97</v>
      </c>
      <c r="M31" s="1" t="s">
        <v>433</v>
      </c>
      <c r="N31" s="1" t="s">
        <v>84</v>
      </c>
      <c r="O31" s="1" t="s">
        <v>36</v>
      </c>
      <c r="P31" s="1" t="s">
        <v>13</v>
      </c>
      <c r="Q31" s="4">
        <v>14</v>
      </c>
      <c r="R31" s="4">
        <v>9</v>
      </c>
      <c r="S31" s="1" t="s">
        <v>32</v>
      </c>
      <c r="T31" s="1" t="s">
        <v>15</v>
      </c>
      <c r="U31" s="5" t="s">
        <v>434</v>
      </c>
      <c r="V31" s="4">
        <v>47</v>
      </c>
    </row>
    <row r="32" spans="1:22" x14ac:dyDescent="0.3">
      <c r="A32" s="1" t="s">
        <v>369</v>
      </c>
      <c r="B32" s="1" t="s">
        <v>23</v>
      </c>
      <c r="C32" s="1" t="s">
        <v>24</v>
      </c>
      <c r="D32" s="1" t="s">
        <v>31</v>
      </c>
      <c r="E32" s="4">
        <v>17</v>
      </c>
      <c r="F32" s="4">
        <v>12</v>
      </c>
      <c r="G32" s="1" t="s">
        <v>43</v>
      </c>
      <c r="H32" s="1" t="s">
        <v>61</v>
      </c>
      <c r="I32" s="5" t="s">
        <v>370</v>
      </c>
      <c r="J32" s="4">
        <v>96</v>
      </c>
      <c r="M32" s="1" t="s">
        <v>437</v>
      </c>
      <c r="N32" s="1" t="s">
        <v>73</v>
      </c>
      <c r="O32" s="1" t="s">
        <v>30</v>
      </c>
      <c r="P32" s="1" t="s">
        <v>13</v>
      </c>
      <c r="Q32" s="4">
        <v>14</v>
      </c>
      <c r="R32" s="4">
        <v>11</v>
      </c>
      <c r="S32" s="1" t="s">
        <v>32</v>
      </c>
      <c r="T32" s="1" t="s">
        <v>76</v>
      </c>
      <c r="U32" s="5" t="s">
        <v>438</v>
      </c>
      <c r="V32" s="4">
        <v>62</v>
      </c>
    </row>
    <row r="33" spans="1:22" x14ac:dyDescent="0.3">
      <c r="A33" s="1" t="s">
        <v>567</v>
      </c>
      <c r="B33" s="1" t="s">
        <v>54</v>
      </c>
      <c r="C33" s="1" t="s">
        <v>12</v>
      </c>
      <c r="D33" s="1" t="s">
        <v>31</v>
      </c>
      <c r="E33" s="4">
        <v>18</v>
      </c>
      <c r="F33" s="4">
        <v>12</v>
      </c>
      <c r="G33" s="1" t="s">
        <v>25</v>
      </c>
      <c r="H33" s="1" t="s">
        <v>26</v>
      </c>
      <c r="I33" s="5" t="s">
        <v>568</v>
      </c>
      <c r="J33" s="4">
        <v>96</v>
      </c>
      <c r="M33" s="1" t="s">
        <v>484</v>
      </c>
      <c r="N33" s="1" t="s">
        <v>29</v>
      </c>
      <c r="O33" s="1" t="s">
        <v>79</v>
      </c>
      <c r="P33" s="1" t="s">
        <v>31</v>
      </c>
      <c r="Q33" s="4">
        <v>14</v>
      </c>
      <c r="R33" s="4">
        <v>11</v>
      </c>
      <c r="S33" s="1" t="s">
        <v>32</v>
      </c>
      <c r="T33" s="1" t="s">
        <v>40</v>
      </c>
      <c r="U33" s="5" t="s">
        <v>184</v>
      </c>
      <c r="V33" s="4">
        <v>42</v>
      </c>
    </row>
    <row r="34" spans="1:22" x14ac:dyDescent="0.3">
      <c r="A34" s="1" t="s">
        <v>791</v>
      </c>
      <c r="B34" s="1" t="s">
        <v>51</v>
      </c>
      <c r="C34" s="1" t="s">
        <v>85</v>
      </c>
      <c r="D34" s="1" t="s">
        <v>13</v>
      </c>
      <c r="E34" s="4">
        <v>14</v>
      </c>
      <c r="F34" s="4">
        <v>9</v>
      </c>
      <c r="G34" s="1" t="s">
        <v>43</v>
      </c>
      <c r="H34" s="1" t="s">
        <v>61</v>
      </c>
      <c r="I34" s="5" t="s">
        <v>792</v>
      </c>
      <c r="J34" s="4">
        <v>96</v>
      </c>
      <c r="M34" s="1" t="s">
        <v>493</v>
      </c>
      <c r="N34" s="1" t="s">
        <v>51</v>
      </c>
      <c r="O34" s="1" t="s">
        <v>96</v>
      </c>
      <c r="P34" s="1" t="s">
        <v>31</v>
      </c>
      <c r="Q34" s="4">
        <v>14</v>
      </c>
      <c r="R34" s="4">
        <v>12</v>
      </c>
      <c r="S34" s="1" t="s">
        <v>14</v>
      </c>
      <c r="T34" s="1" t="s">
        <v>26</v>
      </c>
      <c r="U34" s="5" t="s">
        <v>494</v>
      </c>
      <c r="V34" s="4">
        <v>47</v>
      </c>
    </row>
    <row r="35" spans="1:22" x14ac:dyDescent="0.3">
      <c r="A35" s="1" t="s">
        <v>283</v>
      </c>
      <c r="B35" s="1" t="s">
        <v>68</v>
      </c>
      <c r="C35" s="1" t="s">
        <v>79</v>
      </c>
      <c r="D35" s="1" t="s">
        <v>31</v>
      </c>
      <c r="E35" s="4">
        <v>16</v>
      </c>
      <c r="F35" s="4">
        <v>11</v>
      </c>
      <c r="G35" s="1" t="s">
        <v>32</v>
      </c>
      <c r="H35" s="1" t="s">
        <v>40</v>
      </c>
      <c r="I35" s="5" t="s">
        <v>284</v>
      </c>
      <c r="J35" s="4">
        <v>95</v>
      </c>
      <c r="M35" s="1" t="s">
        <v>513</v>
      </c>
      <c r="N35" s="1" t="s">
        <v>11</v>
      </c>
      <c r="O35" s="1" t="s">
        <v>19</v>
      </c>
      <c r="P35" s="1" t="s">
        <v>31</v>
      </c>
      <c r="Q35" s="4">
        <v>14</v>
      </c>
      <c r="R35" s="4">
        <v>12</v>
      </c>
      <c r="S35" s="1" t="s">
        <v>32</v>
      </c>
      <c r="T35" s="1" t="s">
        <v>15</v>
      </c>
      <c r="U35" s="5" t="s">
        <v>381</v>
      </c>
      <c r="V35" s="4">
        <v>65</v>
      </c>
    </row>
    <row r="36" spans="1:22" x14ac:dyDescent="0.3">
      <c r="A36" s="1" t="s">
        <v>511</v>
      </c>
      <c r="B36" s="1" t="s">
        <v>35</v>
      </c>
      <c r="C36" s="1" t="s">
        <v>19</v>
      </c>
      <c r="D36" s="1" t="s">
        <v>31</v>
      </c>
      <c r="E36" s="4">
        <v>15</v>
      </c>
      <c r="F36" s="4">
        <v>9</v>
      </c>
      <c r="G36" s="1" t="s">
        <v>25</v>
      </c>
      <c r="H36" s="1" t="s">
        <v>15</v>
      </c>
      <c r="I36" s="5" t="s">
        <v>512</v>
      </c>
      <c r="J36" s="4">
        <v>95</v>
      </c>
      <c r="M36" s="1" t="s">
        <v>516</v>
      </c>
      <c r="N36" s="1" t="s">
        <v>18</v>
      </c>
      <c r="O36" s="1" t="s">
        <v>96</v>
      </c>
      <c r="P36" s="1" t="s">
        <v>31</v>
      </c>
      <c r="Q36" s="4">
        <v>14</v>
      </c>
      <c r="R36" s="4">
        <v>11</v>
      </c>
      <c r="S36" s="1" t="s">
        <v>32</v>
      </c>
      <c r="T36" s="1" t="s">
        <v>46</v>
      </c>
      <c r="U36" s="5" t="s">
        <v>517</v>
      </c>
      <c r="V36" s="4">
        <v>86</v>
      </c>
    </row>
    <row r="37" spans="1:22" x14ac:dyDescent="0.3">
      <c r="A37" s="1" t="s">
        <v>749</v>
      </c>
      <c r="B37" s="1" t="s">
        <v>84</v>
      </c>
      <c r="C37" s="1" t="s">
        <v>30</v>
      </c>
      <c r="D37" s="1" t="s">
        <v>13</v>
      </c>
      <c r="E37" s="4">
        <v>15</v>
      </c>
      <c r="F37" s="4">
        <v>12</v>
      </c>
      <c r="G37" s="1" t="s">
        <v>25</v>
      </c>
      <c r="H37" s="1" t="s">
        <v>61</v>
      </c>
      <c r="I37" s="5" t="s">
        <v>750</v>
      </c>
      <c r="J37" s="4">
        <v>95</v>
      </c>
      <c r="M37" s="1" t="s">
        <v>532</v>
      </c>
      <c r="N37" s="1" t="s">
        <v>51</v>
      </c>
      <c r="O37" s="1" t="s">
        <v>19</v>
      </c>
      <c r="P37" s="1" t="s">
        <v>31</v>
      </c>
      <c r="Q37" s="4">
        <v>14</v>
      </c>
      <c r="R37" s="4">
        <v>11</v>
      </c>
      <c r="S37" s="1" t="s">
        <v>43</v>
      </c>
      <c r="T37" s="1" t="s">
        <v>20</v>
      </c>
      <c r="U37" s="5" t="s">
        <v>533</v>
      </c>
      <c r="V37" s="4">
        <v>93</v>
      </c>
    </row>
    <row r="38" spans="1:22" x14ac:dyDescent="0.3">
      <c r="A38" s="1" t="s">
        <v>782</v>
      </c>
      <c r="B38" s="1" t="s">
        <v>84</v>
      </c>
      <c r="C38" s="1" t="s">
        <v>12</v>
      </c>
      <c r="D38" s="1" t="s">
        <v>31</v>
      </c>
      <c r="E38" s="4">
        <v>14</v>
      </c>
      <c r="F38" s="4">
        <v>11</v>
      </c>
      <c r="G38" s="1" t="s">
        <v>14</v>
      </c>
      <c r="H38" s="1" t="s">
        <v>37</v>
      </c>
      <c r="I38" s="5" t="s">
        <v>252</v>
      </c>
      <c r="J38" s="4">
        <v>95</v>
      </c>
      <c r="M38" s="1" t="s">
        <v>539</v>
      </c>
      <c r="N38" s="1" t="s">
        <v>73</v>
      </c>
      <c r="O38" s="1" t="s">
        <v>36</v>
      </c>
      <c r="P38" s="1" t="s">
        <v>31</v>
      </c>
      <c r="Q38" s="4">
        <v>14</v>
      </c>
      <c r="R38" s="4">
        <v>12</v>
      </c>
      <c r="S38" s="1" t="s">
        <v>43</v>
      </c>
      <c r="T38" s="1" t="s">
        <v>61</v>
      </c>
      <c r="U38" s="5" t="s">
        <v>387</v>
      </c>
      <c r="V38" s="4">
        <v>37</v>
      </c>
    </row>
    <row r="39" spans="1:22" x14ac:dyDescent="0.3">
      <c r="A39" s="1" t="s">
        <v>789</v>
      </c>
      <c r="B39" s="1" t="s">
        <v>54</v>
      </c>
      <c r="C39" s="1" t="s">
        <v>12</v>
      </c>
      <c r="D39" s="1" t="s">
        <v>31</v>
      </c>
      <c r="E39" s="4">
        <v>18</v>
      </c>
      <c r="F39" s="4">
        <v>10</v>
      </c>
      <c r="G39" s="1" t="s">
        <v>25</v>
      </c>
      <c r="H39" s="1" t="s">
        <v>15</v>
      </c>
      <c r="I39" s="5" t="s">
        <v>790</v>
      </c>
      <c r="J39" s="4">
        <v>95</v>
      </c>
      <c r="M39" s="1" t="s">
        <v>546</v>
      </c>
      <c r="N39" s="1" t="s">
        <v>51</v>
      </c>
      <c r="O39" s="1" t="s">
        <v>36</v>
      </c>
      <c r="P39" s="1" t="s">
        <v>31</v>
      </c>
      <c r="Q39" s="4">
        <v>14</v>
      </c>
      <c r="R39" s="4">
        <v>9</v>
      </c>
      <c r="S39" s="1" t="s">
        <v>14</v>
      </c>
      <c r="T39" s="1" t="s">
        <v>46</v>
      </c>
      <c r="U39" s="5" t="s">
        <v>547</v>
      </c>
      <c r="V39" s="4">
        <v>81</v>
      </c>
    </row>
    <row r="40" spans="1:22" x14ac:dyDescent="0.3">
      <c r="A40" s="1" t="s">
        <v>798</v>
      </c>
      <c r="B40" s="1" t="s">
        <v>23</v>
      </c>
      <c r="C40" s="1" t="s">
        <v>19</v>
      </c>
      <c r="D40" s="1" t="s">
        <v>13</v>
      </c>
      <c r="E40" s="4">
        <v>17</v>
      </c>
      <c r="F40" s="4">
        <v>12</v>
      </c>
      <c r="G40" s="1" t="s">
        <v>14</v>
      </c>
      <c r="H40" s="1" t="s">
        <v>40</v>
      </c>
      <c r="I40" s="5" t="s">
        <v>159</v>
      </c>
      <c r="J40" s="4">
        <v>95</v>
      </c>
      <c r="M40" s="1" t="s">
        <v>550</v>
      </c>
      <c r="N40" s="1" t="s">
        <v>73</v>
      </c>
      <c r="O40" s="1" t="s">
        <v>19</v>
      </c>
      <c r="P40" s="1" t="s">
        <v>13</v>
      </c>
      <c r="Q40" s="4">
        <v>14</v>
      </c>
      <c r="R40" s="4">
        <v>11</v>
      </c>
      <c r="S40" s="1" t="s">
        <v>32</v>
      </c>
      <c r="T40" s="1" t="s">
        <v>26</v>
      </c>
      <c r="U40" s="5" t="s">
        <v>551</v>
      </c>
      <c r="V40" s="4">
        <v>90</v>
      </c>
    </row>
    <row r="41" spans="1:22" x14ac:dyDescent="0.3">
      <c r="A41" s="1" t="s">
        <v>896</v>
      </c>
      <c r="B41" s="1" t="s">
        <v>11</v>
      </c>
      <c r="C41" s="1" t="s">
        <v>36</v>
      </c>
      <c r="D41" s="1" t="s">
        <v>13</v>
      </c>
      <c r="E41" s="4">
        <v>15</v>
      </c>
      <c r="F41" s="4">
        <v>11</v>
      </c>
      <c r="G41" s="1" t="s">
        <v>14</v>
      </c>
      <c r="H41" s="1" t="s">
        <v>26</v>
      </c>
      <c r="I41" s="5" t="s">
        <v>897</v>
      </c>
      <c r="J41" s="4">
        <v>95</v>
      </c>
      <c r="M41" s="1" t="s">
        <v>575</v>
      </c>
      <c r="N41" s="1" t="s">
        <v>35</v>
      </c>
      <c r="O41" s="1" t="s">
        <v>30</v>
      </c>
      <c r="P41" s="1" t="s">
        <v>31</v>
      </c>
      <c r="Q41" s="4">
        <v>14</v>
      </c>
      <c r="R41" s="4">
        <v>10</v>
      </c>
      <c r="S41" s="1" t="s">
        <v>32</v>
      </c>
      <c r="T41" s="1" t="s">
        <v>40</v>
      </c>
      <c r="U41" s="5" t="s">
        <v>576</v>
      </c>
      <c r="V41" s="4">
        <v>50</v>
      </c>
    </row>
    <row r="42" spans="1:22" x14ac:dyDescent="0.3">
      <c r="A42" s="1" t="s">
        <v>573</v>
      </c>
      <c r="B42" s="1" t="s">
        <v>54</v>
      </c>
      <c r="C42" s="1" t="s">
        <v>24</v>
      </c>
      <c r="D42" s="1" t="s">
        <v>13</v>
      </c>
      <c r="E42" s="4">
        <v>19</v>
      </c>
      <c r="F42" s="4">
        <v>9</v>
      </c>
      <c r="G42" s="1" t="s">
        <v>43</v>
      </c>
      <c r="H42" s="1" t="s">
        <v>46</v>
      </c>
      <c r="I42" s="5" t="s">
        <v>574</v>
      </c>
      <c r="J42" s="4">
        <v>94</v>
      </c>
      <c r="M42" s="1" t="s">
        <v>582</v>
      </c>
      <c r="N42" s="1" t="s">
        <v>51</v>
      </c>
      <c r="O42" s="1" t="s">
        <v>55</v>
      </c>
      <c r="P42" s="1" t="s">
        <v>31</v>
      </c>
      <c r="Q42" s="4">
        <v>14</v>
      </c>
      <c r="R42" s="4">
        <v>11</v>
      </c>
      <c r="S42" s="1" t="s">
        <v>25</v>
      </c>
      <c r="T42" s="1" t="s">
        <v>37</v>
      </c>
      <c r="U42" s="5" t="s">
        <v>583</v>
      </c>
      <c r="V42" s="4">
        <v>47</v>
      </c>
    </row>
    <row r="43" spans="1:22" x14ac:dyDescent="0.3">
      <c r="A43" s="1" t="s">
        <v>823</v>
      </c>
      <c r="B43" s="1" t="s">
        <v>11</v>
      </c>
      <c r="C43" s="1" t="s">
        <v>79</v>
      </c>
      <c r="D43" s="1" t="s">
        <v>31</v>
      </c>
      <c r="E43" s="4">
        <v>18</v>
      </c>
      <c r="F43" s="4">
        <v>12</v>
      </c>
      <c r="G43" s="1" t="s">
        <v>43</v>
      </c>
      <c r="H43" s="1" t="s">
        <v>37</v>
      </c>
      <c r="I43" s="5" t="s">
        <v>292</v>
      </c>
      <c r="J43" s="4">
        <v>94</v>
      </c>
      <c r="M43" s="1" t="s">
        <v>590</v>
      </c>
      <c r="N43" s="1" t="s">
        <v>35</v>
      </c>
      <c r="O43" s="1" t="s">
        <v>12</v>
      </c>
      <c r="P43" s="1" t="s">
        <v>13</v>
      </c>
      <c r="Q43" s="4">
        <v>14</v>
      </c>
      <c r="R43" s="4">
        <v>11</v>
      </c>
      <c r="S43" s="1" t="s">
        <v>25</v>
      </c>
      <c r="T43" s="1" t="s">
        <v>20</v>
      </c>
      <c r="U43" s="5" t="s">
        <v>591</v>
      </c>
      <c r="V43" s="4">
        <v>64</v>
      </c>
    </row>
    <row r="44" spans="1:22" x14ac:dyDescent="0.3">
      <c r="A44" s="1" t="s">
        <v>857</v>
      </c>
      <c r="B44" s="1" t="s">
        <v>18</v>
      </c>
      <c r="C44" s="1" t="s">
        <v>96</v>
      </c>
      <c r="D44" s="1" t="s">
        <v>13</v>
      </c>
      <c r="E44" s="4">
        <v>20</v>
      </c>
      <c r="F44" s="4">
        <v>11</v>
      </c>
      <c r="G44" s="1" t="s">
        <v>32</v>
      </c>
      <c r="H44" s="1" t="s">
        <v>61</v>
      </c>
      <c r="I44" s="5" t="s">
        <v>570</v>
      </c>
      <c r="J44" s="4">
        <v>94</v>
      </c>
      <c r="M44" s="1" t="s">
        <v>596</v>
      </c>
      <c r="N44" s="1" t="s">
        <v>11</v>
      </c>
      <c r="O44" s="1" t="s">
        <v>30</v>
      </c>
      <c r="P44" s="1" t="s">
        <v>13</v>
      </c>
      <c r="Q44" s="4">
        <v>14</v>
      </c>
      <c r="R44" s="4">
        <v>9</v>
      </c>
      <c r="S44" s="1" t="s">
        <v>25</v>
      </c>
      <c r="T44" s="1" t="s">
        <v>76</v>
      </c>
      <c r="U44" s="5" t="s">
        <v>447</v>
      </c>
      <c r="V44" s="4">
        <v>62</v>
      </c>
    </row>
    <row r="45" spans="1:22" x14ac:dyDescent="0.3">
      <c r="A45" s="1" t="s">
        <v>926</v>
      </c>
      <c r="B45" s="1" t="s">
        <v>73</v>
      </c>
      <c r="C45" s="1" t="s">
        <v>85</v>
      </c>
      <c r="D45" s="1" t="s">
        <v>13</v>
      </c>
      <c r="E45" s="4">
        <v>14</v>
      </c>
      <c r="F45" s="4">
        <v>9</v>
      </c>
      <c r="G45" s="1" t="s">
        <v>32</v>
      </c>
      <c r="H45" s="1" t="s">
        <v>20</v>
      </c>
      <c r="I45" s="5" t="s">
        <v>927</v>
      </c>
      <c r="J45" s="4">
        <v>94</v>
      </c>
      <c r="M45" s="1" t="s">
        <v>609</v>
      </c>
      <c r="N45" s="1" t="s">
        <v>68</v>
      </c>
      <c r="O45" s="1" t="s">
        <v>58</v>
      </c>
      <c r="P45" s="1" t="s">
        <v>13</v>
      </c>
      <c r="Q45" s="4">
        <v>14</v>
      </c>
      <c r="R45" s="4">
        <v>10</v>
      </c>
      <c r="S45" s="1" t="s">
        <v>25</v>
      </c>
      <c r="T45" s="1" t="s">
        <v>37</v>
      </c>
      <c r="U45" s="5" t="s">
        <v>610</v>
      </c>
      <c r="V45" s="4">
        <v>90</v>
      </c>
    </row>
    <row r="46" spans="1:22" x14ac:dyDescent="0.3">
      <c r="A46" s="1" t="s">
        <v>935</v>
      </c>
      <c r="B46" s="1" t="s">
        <v>18</v>
      </c>
      <c r="C46" s="1" t="s">
        <v>12</v>
      </c>
      <c r="D46" s="1" t="s">
        <v>13</v>
      </c>
      <c r="E46" s="4">
        <v>20</v>
      </c>
      <c r="F46" s="4">
        <v>11</v>
      </c>
      <c r="G46" s="1" t="s">
        <v>43</v>
      </c>
      <c r="H46" s="1" t="s">
        <v>46</v>
      </c>
      <c r="I46" s="5" t="s">
        <v>936</v>
      </c>
      <c r="J46" s="4">
        <v>94</v>
      </c>
      <c r="M46" s="1" t="s">
        <v>618</v>
      </c>
      <c r="N46" s="1" t="s">
        <v>73</v>
      </c>
      <c r="O46" s="1" t="s">
        <v>85</v>
      </c>
      <c r="P46" s="1" t="s">
        <v>31</v>
      </c>
      <c r="Q46" s="4">
        <v>14</v>
      </c>
      <c r="R46" s="4">
        <v>11</v>
      </c>
      <c r="S46" s="1" t="s">
        <v>25</v>
      </c>
      <c r="T46" s="1" t="s">
        <v>20</v>
      </c>
      <c r="U46" s="5" t="s">
        <v>619</v>
      </c>
      <c r="V46" s="4">
        <v>67</v>
      </c>
    </row>
    <row r="47" spans="1:22" x14ac:dyDescent="0.3">
      <c r="A47" s="1" t="s">
        <v>140</v>
      </c>
      <c r="B47" s="1" t="s">
        <v>35</v>
      </c>
      <c r="C47" s="1" t="s">
        <v>30</v>
      </c>
      <c r="D47" s="1" t="s">
        <v>31</v>
      </c>
      <c r="E47" s="4">
        <v>19</v>
      </c>
      <c r="F47" s="4">
        <v>10</v>
      </c>
      <c r="G47" s="1" t="s">
        <v>32</v>
      </c>
      <c r="H47" s="1" t="s">
        <v>76</v>
      </c>
      <c r="I47" s="5" t="s">
        <v>141</v>
      </c>
      <c r="J47" s="4">
        <v>93</v>
      </c>
      <c r="M47" s="1" t="s">
        <v>640</v>
      </c>
      <c r="N47" s="1" t="s">
        <v>84</v>
      </c>
      <c r="O47" s="1" t="s">
        <v>79</v>
      </c>
      <c r="P47" s="1" t="s">
        <v>31</v>
      </c>
      <c r="Q47" s="4">
        <v>14</v>
      </c>
      <c r="R47" s="4">
        <v>9</v>
      </c>
      <c r="S47" s="1" t="s">
        <v>14</v>
      </c>
      <c r="T47" s="1" t="s">
        <v>37</v>
      </c>
      <c r="U47" s="5" t="s">
        <v>641</v>
      </c>
      <c r="V47" s="4">
        <v>43</v>
      </c>
    </row>
    <row r="48" spans="1:22" x14ac:dyDescent="0.3">
      <c r="A48" s="1" t="s">
        <v>322</v>
      </c>
      <c r="B48" s="1" t="s">
        <v>35</v>
      </c>
      <c r="C48" s="1" t="s">
        <v>12</v>
      </c>
      <c r="D48" s="1" t="s">
        <v>13</v>
      </c>
      <c r="E48" s="4">
        <v>14</v>
      </c>
      <c r="F48" s="4">
        <v>11</v>
      </c>
      <c r="G48" s="1" t="s">
        <v>14</v>
      </c>
      <c r="H48" s="1" t="s">
        <v>26</v>
      </c>
      <c r="I48" s="5" t="s">
        <v>323</v>
      </c>
      <c r="J48" s="4">
        <v>93</v>
      </c>
      <c r="M48" s="1" t="s">
        <v>642</v>
      </c>
      <c r="N48" s="1" t="s">
        <v>18</v>
      </c>
      <c r="O48" s="1" t="s">
        <v>19</v>
      </c>
      <c r="P48" s="1" t="s">
        <v>13</v>
      </c>
      <c r="Q48" s="4">
        <v>14</v>
      </c>
      <c r="R48" s="4">
        <v>9</v>
      </c>
      <c r="S48" s="1" t="s">
        <v>43</v>
      </c>
      <c r="T48" s="1" t="s">
        <v>20</v>
      </c>
      <c r="U48" s="5" t="s">
        <v>643</v>
      </c>
      <c r="V48" s="4">
        <v>57</v>
      </c>
    </row>
    <row r="49" spans="1:22" x14ac:dyDescent="0.3">
      <c r="A49" s="1" t="s">
        <v>331</v>
      </c>
      <c r="B49" s="1" t="s">
        <v>73</v>
      </c>
      <c r="C49" s="1" t="s">
        <v>30</v>
      </c>
      <c r="D49" s="1" t="s">
        <v>31</v>
      </c>
      <c r="E49" s="4">
        <v>19</v>
      </c>
      <c r="F49" s="4">
        <v>10</v>
      </c>
      <c r="G49" s="1" t="s">
        <v>43</v>
      </c>
      <c r="H49" s="1" t="s">
        <v>20</v>
      </c>
      <c r="I49" s="5" t="s">
        <v>191</v>
      </c>
      <c r="J49" s="4">
        <v>93</v>
      </c>
      <c r="M49" s="1" t="s">
        <v>648</v>
      </c>
      <c r="N49" s="1" t="s">
        <v>51</v>
      </c>
      <c r="O49" s="1" t="s">
        <v>79</v>
      </c>
      <c r="P49" s="1" t="s">
        <v>13</v>
      </c>
      <c r="Q49" s="4">
        <v>14</v>
      </c>
      <c r="R49" s="4">
        <v>9</v>
      </c>
      <c r="S49" s="1" t="s">
        <v>25</v>
      </c>
      <c r="T49" s="1" t="s">
        <v>15</v>
      </c>
      <c r="U49" s="5" t="s">
        <v>649</v>
      </c>
      <c r="V49" s="4">
        <v>77</v>
      </c>
    </row>
    <row r="50" spans="1:22" x14ac:dyDescent="0.3">
      <c r="A50" s="1" t="s">
        <v>489</v>
      </c>
      <c r="B50" s="1" t="s">
        <v>68</v>
      </c>
      <c r="C50" s="1" t="s">
        <v>58</v>
      </c>
      <c r="D50" s="1" t="s">
        <v>31</v>
      </c>
      <c r="E50" s="4">
        <v>20</v>
      </c>
      <c r="F50" s="4">
        <v>10</v>
      </c>
      <c r="G50" s="1" t="s">
        <v>32</v>
      </c>
      <c r="H50" s="1" t="s">
        <v>20</v>
      </c>
      <c r="I50" s="5" t="s">
        <v>370</v>
      </c>
      <c r="J50" s="4">
        <v>93</v>
      </c>
      <c r="M50" s="1" t="s">
        <v>654</v>
      </c>
      <c r="N50" s="1" t="s">
        <v>18</v>
      </c>
      <c r="O50" s="1" t="s">
        <v>24</v>
      </c>
      <c r="P50" s="1" t="s">
        <v>31</v>
      </c>
      <c r="Q50" s="4">
        <v>14</v>
      </c>
      <c r="R50" s="4">
        <v>12</v>
      </c>
      <c r="S50" s="1" t="s">
        <v>14</v>
      </c>
      <c r="T50" s="1" t="s">
        <v>46</v>
      </c>
      <c r="U50" s="5" t="s">
        <v>655</v>
      </c>
      <c r="V50" s="4">
        <v>42</v>
      </c>
    </row>
    <row r="51" spans="1:22" x14ac:dyDescent="0.3">
      <c r="A51" s="1" t="s">
        <v>532</v>
      </c>
      <c r="B51" s="1" t="s">
        <v>51</v>
      </c>
      <c r="C51" s="1" t="s">
        <v>19</v>
      </c>
      <c r="D51" s="1" t="s">
        <v>31</v>
      </c>
      <c r="E51" s="4">
        <v>14</v>
      </c>
      <c r="F51" s="4">
        <v>11</v>
      </c>
      <c r="G51" s="1" t="s">
        <v>43</v>
      </c>
      <c r="H51" s="1" t="s">
        <v>20</v>
      </c>
      <c r="I51" s="5" t="s">
        <v>533</v>
      </c>
      <c r="J51" s="4">
        <v>93</v>
      </c>
      <c r="M51" s="1" t="s">
        <v>665</v>
      </c>
      <c r="N51" s="1" t="s">
        <v>51</v>
      </c>
      <c r="O51" s="1" t="s">
        <v>96</v>
      </c>
      <c r="P51" s="1" t="s">
        <v>13</v>
      </c>
      <c r="Q51" s="4">
        <v>14</v>
      </c>
      <c r="R51" s="4">
        <v>10</v>
      </c>
      <c r="S51" s="1" t="s">
        <v>14</v>
      </c>
      <c r="T51" s="1" t="s">
        <v>37</v>
      </c>
      <c r="U51" s="5" t="s">
        <v>666</v>
      </c>
      <c r="V51" s="4">
        <v>68</v>
      </c>
    </row>
    <row r="52" spans="1:22" x14ac:dyDescent="0.3">
      <c r="A52" s="1" t="s">
        <v>555</v>
      </c>
      <c r="B52" s="1" t="s">
        <v>73</v>
      </c>
      <c r="C52" s="1" t="s">
        <v>55</v>
      </c>
      <c r="D52" s="1" t="s">
        <v>31</v>
      </c>
      <c r="E52" s="4">
        <v>16</v>
      </c>
      <c r="F52" s="4">
        <v>9</v>
      </c>
      <c r="G52" s="1" t="s">
        <v>14</v>
      </c>
      <c r="H52" s="1" t="s">
        <v>76</v>
      </c>
      <c r="I52" s="5" t="s">
        <v>556</v>
      </c>
      <c r="J52" s="4">
        <v>93</v>
      </c>
      <c r="M52" s="1" t="s">
        <v>671</v>
      </c>
      <c r="N52" s="1" t="s">
        <v>11</v>
      </c>
      <c r="O52" s="1" t="s">
        <v>36</v>
      </c>
      <c r="P52" s="1" t="s">
        <v>13</v>
      </c>
      <c r="Q52" s="4">
        <v>14</v>
      </c>
      <c r="R52" s="4">
        <v>10</v>
      </c>
      <c r="S52" s="1" t="s">
        <v>32</v>
      </c>
      <c r="T52" s="1" t="s">
        <v>40</v>
      </c>
      <c r="U52" s="5" t="s">
        <v>672</v>
      </c>
      <c r="V52" s="4">
        <v>64</v>
      </c>
    </row>
    <row r="53" spans="1:22" x14ac:dyDescent="0.3">
      <c r="A53" s="1" t="s">
        <v>703</v>
      </c>
      <c r="B53" s="1" t="s">
        <v>73</v>
      </c>
      <c r="C53" s="1" t="s">
        <v>30</v>
      </c>
      <c r="D53" s="1" t="s">
        <v>31</v>
      </c>
      <c r="E53" s="4">
        <v>17</v>
      </c>
      <c r="F53" s="4">
        <v>12</v>
      </c>
      <c r="G53" s="1" t="s">
        <v>32</v>
      </c>
      <c r="H53" s="1" t="s">
        <v>40</v>
      </c>
      <c r="I53" s="5" t="s">
        <v>704</v>
      </c>
      <c r="J53" s="4">
        <v>93</v>
      </c>
      <c r="M53" s="1" t="s">
        <v>679</v>
      </c>
      <c r="N53" s="1" t="s">
        <v>18</v>
      </c>
      <c r="O53" s="1" t="s">
        <v>96</v>
      </c>
      <c r="P53" s="1" t="s">
        <v>13</v>
      </c>
      <c r="Q53" s="4">
        <v>14</v>
      </c>
      <c r="R53" s="4">
        <v>12</v>
      </c>
      <c r="S53" s="1" t="s">
        <v>32</v>
      </c>
      <c r="T53" s="1" t="s">
        <v>46</v>
      </c>
      <c r="U53" s="5" t="s">
        <v>680</v>
      </c>
      <c r="V53" s="4">
        <v>44</v>
      </c>
    </row>
    <row r="54" spans="1:22" x14ac:dyDescent="0.3">
      <c r="A54" s="1" t="s">
        <v>785</v>
      </c>
      <c r="B54" s="1" t="s">
        <v>35</v>
      </c>
      <c r="C54" s="1" t="s">
        <v>58</v>
      </c>
      <c r="D54" s="1" t="s">
        <v>13</v>
      </c>
      <c r="E54" s="4">
        <v>18</v>
      </c>
      <c r="F54" s="4">
        <v>12</v>
      </c>
      <c r="G54" s="1" t="s">
        <v>43</v>
      </c>
      <c r="H54" s="1" t="s">
        <v>20</v>
      </c>
      <c r="I54" s="5" t="s">
        <v>786</v>
      </c>
      <c r="J54" s="4">
        <v>93</v>
      </c>
      <c r="M54" s="1" t="s">
        <v>681</v>
      </c>
      <c r="N54" s="1" t="s">
        <v>35</v>
      </c>
      <c r="O54" s="1" t="s">
        <v>36</v>
      </c>
      <c r="P54" s="1" t="s">
        <v>13</v>
      </c>
      <c r="Q54" s="4">
        <v>14</v>
      </c>
      <c r="R54" s="4">
        <v>9</v>
      </c>
      <c r="S54" s="1" t="s">
        <v>43</v>
      </c>
      <c r="T54" s="1" t="s">
        <v>46</v>
      </c>
      <c r="U54" s="5" t="s">
        <v>682</v>
      </c>
      <c r="V54" s="4">
        <v>67</v>
      </c>
    </row>
    <row r="55" spans="1:22" x14ac:dyDescent="0.3">
      <c r="A55" s="1" t="s">
        <v>48</v>
      </c>
      <c r="B55" s="1" t="s">
        <v>18</v>
      </c>
      <c r="C55" s="1" t="s">
        <v>30</v>
      </c>
      <c r="D55" s="1" t="s">
        <v>31</v>
      </c>
      <c r="E55" s="4">
        <v>19</v>
      </c>
      <c r="F55" s="4">
        <v>12</v>
      </c>
      <c r="G55" s="1" t="s">
        <v>14</v>
      </c>
      <c r="H55" s="1" t="s">
        <v>46</v>
      </c>
      <c r="I55" s="5" t="s">
        <v>49</v>
      </c>
      <c r="J55" s="4">
        <v>92</v>
      </c>
      <c r="M55" s="1" t="s">
        <v>705</v>
      </c>
      <c r="N55" s="1" t="s">
        <v>84</v>
      </c>
      <c r="O55" s="1" t="s">
        <v>55</v>
      </c>
      <c r="P55" s="1" t="s">
        <v>31</v>
      </c>
      <c r="Q55" s="4">
        <v>14</v>
      </c>
      <c r="R55" s="4">
        <v>12</v>
      </c>
      <c r="S55" s="1" t="s">
        <v>43</v>
      </c>
      <c r="T55" s="1" t="s">
        <v>76</v>
      </c>
      <c r="U55" s="5" t="s">
        <v>706</v>
      </c>
      <c r="V55" s="4">
        <v>63</v>
      </c>
    </row>
    <row r="56" spans="1:22" x14ac:dyDescent="0.3">
      <c r="A56" s="1" t="s">
        <v>524</v>
      </c>
      <c r="B56" s="1" t="s">
        <v>35</v>
      </c>
      <c r="C56" s="1" t="s">
        <v>85</v>
      </c>
      <c r="D56" s="1" t="s">
        <v>13</v>
      </c>
      <c r="E56" s="4">
        <v>20</v>
      </c>
      <c r="F56" s="4">
        <v>10</v>
      </c>
      <c r="G56" s="1" t="s">
        <v>14</v>
      </c>
      <c r="H56" s="1" t="s">
        <v>40</v>
      </c>
      <c r="I56" s="5" t="s">
        <v>525</v>
      </c>
      <c r="J56" s="4">
        <v>92</v>
      </c>
      <c r="M56" s="1" t="s">
        <v>711</v>
      </c>
      <c r="N56" s="1" t="s">
        <v>29</v>
      </c>
      <c r="O56" s="1" t="s">
        <v>79</v>
      </c>
      <c r="P56" s="1" t="s">
        <v>13</v>
      </c>
      <c r="Q56" s="4">
        <v>14</v>
      </c>
      <c r="R56" s="4">
        <v>9</v>
      </c>
      <c r="S56" s="1" t="s">
        <v>32</v>
      </c>
      <c r="T56" s="1" t="s">
        <v>15</v>
      </c>
      <c r="U56" s="5" t="s">
        <v>712</v>
      </c>
      <c r="V56" s="4">
        <v>72</v>
      </c>
    </row>
    <row r="57" spans="1:22" x14ac:dyDescent="0.3">
      <c r="A57" s="1" t="s">
        <v>808</v>
      </c>
      <c r="B57" s="1" t="s">
        <v>54</v>
      </c>
      <c r="C57" s="1" t="s">
        <v>24</v>
      </c>
      <c r="D57" s="1" t="s">
        <v>13</v>
      </c>
      <c r="E57" s="4">
        <v>14</v>
      </c>
      <c r="F57" s="4">
        <v>9</v>
      </c>
      <c r="G57" s="1" t="s">
        <v>25</v>
      </c>
      <c r="H57" s="1" t="s">
        <v>46</v>
      </c>
      <c r="I57" s="5" t="s">
        <v>809</v>
      </c>
      <c r="J57" s="4">
        <v>92</v>
      </c>
      <c r="M57" s="1" t="s">
        <v>727</v>
      </c>
      <c r="N57" s="1" t="s">
        <v>68</v>
      </c>
      <c r="O57" s="1" t="s">
        <v>12</v>
      </c>
      <c r="P57" s="1" t="s">
        <v>13</v>
      </c>
      <c r="Q57" s="4">
        <v>14</v>
      </c>
      <c r="R57" s="4">
        <v>9</v>
      </c>
      <c r="S57" s="1" t="s">
        <v>14</v>
      </c>
      <c r="T57" s="1" t="s">
        <v>20</v>
      </c>
      <c r="U57" s="5" t="s">
        <v>728</v>
      </c>
      <c r="V57" s="4">
        <v>68</v>
      </c>
    </row>
    <row r="58" spans="1:22" x14ac:dyDescent="0.3">
      <c r="A58" s="1" t="s">
        <v>864</v>
      </c>
      <c r="B58" s="1" t="s">
        <v>35</v>
      </c>
      <c r="C58" s="1" t="s">
        <v>58</v>
      </c>
      <c r="D58" s="1" t="s">
        <v>13</v>
      </c>
      <c r="E58" s="4">
        <v>17</v>
      </c>
      <c r="F58" s="4">
        <v>10</v>
      </c>
      <c r="G58" s="1" t="s">
        <v>14</v>
      </c>
      <c r="H58" s="1" t="s">
        <v>20</v>
      </c>
      <c r="I58" s="5" t="s">
        <v>865</v>
      </c>
      <c r="J58" s="4">
        <v>92</v>
      </c>
      <c r="M58" s="1" t="s">
        <v>739</v>
      </c>
      <c r="N58" s="1" t="s">
        <v>18</v>
      </c>
      <c r="O58" s="1" t="s">
        <v>79</v>
      </c>
      <c r="P58" s="1" t="s">
        <v>31</v>
      </c>
      <c r="Q58" s="4">
        <v>14</v>
      </c>
      <c r="R58" s="4">
        <v>10</v>
      </c>
      <c r="S58" s="1" t="s">
        <v>32</v>
      </c>
      <c r="T58" s="1" t="s">
        <v>20</v>
      </c>
      <c r="U58" s="5" t="s">
        <v>740</v>
      </c>
      <c r="V58" s="4">
        <v>99</v>
      </c>
    </row>
    <row r="59" spans="1:22" x14ac:dyDescent="0.3">
      <c r="A59" s="1" t="s">
        <v>888</v>
      </c>
      <c r="B59" s="1" t="s">
        <v>23</v>
      </c>
      <c r="C59" s="1" t="s">
        <v>58</v>
      </c>
      <c r="D59" s="1" t="s">
        <v>31</v>
      </c>
      <c r="E59" s="4">
        <v>18</v>
      </c>
      <c r="F59" s="4">
        <v>10</v>
      </c>
      <c r="G59" s="1" t="s">
        <v>14</v>
      </c>
      <c r="H59" s="1" t="s">
        <v>20</v>
      </c>
      <c r="I59" s="5" t="s">
        <v>153</v>
      </c>
      <c r="J59" s="4">
        <v>92</v>
      </c>
      <c r="M59" s="1" t="s">
        <v>741</v>
      </c>
      <c r="N59" s="1" t="s">
        <v>54</v>
      </c>
      <c r="O59" s="1" t="s">
        <v>24</v>
      </c>
      <c r="P59" s="1" t="s">
        <v>13</v>
      </c>
      <c r="Q59" s="4">
        <v>14</v>
      </c>
      <c r="R59" s="4">
        <v>9</v>
      </c>
      <c r="S59" s="1" t="s">
        <v>14</v>
      </c>
      <c r="T59" s="1" t="s">
        <v>76</v>
      </c>
      <c r="U59" s="5" t="s">
        <v>742</v>
      </c>
      <c r="V59" s="4">
        <v>55</v>
      </c>
    </row>
    <row r="60" spans="1:22" x14ac:dyDescent="0.3">
      <c r="A60" s="1" t="s">
        <v>919</v>
      </c>
      <c r="B60" s="1" t="s">
        <v>23</v>
      </c>
      <c r="C60" s="1" t="s">
        <v>19</v>
      </c>
      <c r="D60" s="1" t="s">
        <v>13</v>
      </c>
      <c r="E60" s="4">
        <v>14</v>
      </c>
      <c r="F60" s="4">
        <v>12</v>
      </c>
      <c r="G60" s="1" t="s">
        <v>14</v>
      </c>
      <c r="H60" s="1" t="s">
        <v>15</v>
      </c>
      <c r="I60" s="5" t="s">
        <v>920</v>
      </c>
      <c r="J60" s="4">
        <v>92</v>
      </c>
      <c r="M60" s="1" t="s">
        <v>754</v>
      </c>
      <c r="N60" s="1" t="s">
        <v>54</v>
      </c>
      <c r="O60" s="1" t="s">
        <v>12</v>
      </c>
      <c r="P60" s="1" t="s">
        <v>13</v>
      </c>
      <c r="Q60" s="4">
        <v>14</v>
      </c>
      <c r="R60" s="4">
        <v>12</v>
      </c>
      <c r="S60" s="1" t="s">
        <v>32</v>
      </c>
      <c r="T60" s="1" t="s">
        <v>20</v>
      </c>
      <c r="U60" s="5" t="s">
        <v>755</v>
      </c>
      <c r="V60" s="4">
        <v>98</v>
      </c>
    </row>
    <row r="61" spans="1:22" x14ac:dyDescent="0.3">
      <c r="A61" s="1" t="s">
        <v>106</v>
      </c>
      <c r="B61" s="1" t="s">
        <v>51</v>
      </c>
      <c r="C61" s="1" t="s">
        <v>55</v>
      </c>
      <c r="D61" s="1" t="s">
        <v>13</v>
      </c>
      <c r="E61" s="4">
        <v>20</v>
      </c>
      <c r="F61" s="4">
        <v>9</v>
      </c>
      <c r="G61" s="1" t="s">
        <v>32</v>
      </c>
      <c r="H61" s="1" t="s">
        <v>26</v>
      </c>
      <c r="I61" s="5" t="s">
        <v>107</v>
      </c>
      <c r="J61" s="4">
        <v>91</v>
      </c>
      <c r="M61" s="1" t="s">
        <v>773</v>
      </c>
      <c r="N61" s="1" t="s">
        <v>68</v>
      </c>
      <c r="O61" s="1" t="s">
        <v>19</v>
      </c>
      <c r="P61" s="1" t="s">
        <v>13</v>
      </c>
      <c r="Q61" s="4">
        <v>14</v>
      </c>
      <c r="R61" s="4">
        <v>11</v>
      </c>
      <c r="S61" s="1" t="s">
        <v>14</v>
      </c>
      <c r="T61" s="1" t="s">
        <v>20</v>
      </c>
      <c r="U61" s="5" t="s">
        <v>774</v>
      </c>
      <c r="V61" s="4">
        <v>72</v>
      </c>
    </row>
    <row r="62" spans="1:22" x14ac:dyDescent="0.3">
      <c r="A62" s="1" t="s">
        <v>397</v>
      </c>
      <c r="B62" s="1" t="s">
        <v>23</v>
      </c>
      <c r="C62" s="1" t="s">
        <v>12</v>
      </c>
      <c r="D62" s="1" t="s">
        <v>13</v>
      </c>
      <c r="E62" s="4">
        <v>20</v>
      </c>
      <c r="F62" s="4">
        <v>9</v>
      </c>
      <c r="G62" s="1" t="s">
        <v>25</v>
      </c>
      <c r="H62" s="1" t="s">
        <v>46</v>
      </c>
      <c r="I62" s="5" t="s">
        <v>398</v>
      </c>
      <c r="J62" s="4">
        <v>91</v>
      </c>
      <c r="M62" s="1" t="s">
        <v>780</v>
      </c>
      <c r="N62" s="1" t="s">
        <v>35</v>
      </c>
      <c r="O62" s="1" t="s">
        <v>36</v>
      </c>
      <c r="P62" s="1" t="s">
        <v>31</v>
      </c>
      <c r="Q62" s="4">
        <v>14</v>
      </c>
      <c r="R62" s="4">
        <v>9</v>
      </c>
      <c r="S62" s="1" t="s">
        <v>25</v>
      </c>
      <c r="T62" s="1" t="s">
        <v>40</v>
      </c>
      <c r="U62" s="5" t="s">
        <v>781</v>
      </c>
      <c r="V62" s="4">
        <v>36</v>
      </c>
    </row>
    <row r="63" spans="1:22" x14ac:dyDescent="0.3">
      <c r="A63" s="1" t="s">
        <v>430</v>
      </c>
      <c r="B63" s="1" t="s">
        <v>54</v>
      </c>
      <c r="C63" s="1" t="s">
        <v>30</v>
      </c>
      <c r="D63" s="1" t="s">
        <v>13</v>
      </c>
      <c r="E63" s="4">
        <v>18</v>
      </c>
      <c r="F63" s="4">
        <v>11</v>
      </c>
      <c r="G63" s="1" t="s">
        <v>25</v>
      </c>
      <c r="H63" s="1" t="s">
        <v>26</v>
      </c>
      <c r="I63" s="5" t="s">
        <v>431</v>
      </c>
      <c r="J63" s="4">
        <v>91</v>
      </c>
      <c r="M63" s="1" t="s">
        <v>782</v>
      </c>
      <c r="N63" s="1" t="s">
        <v>84</v>
      </c>
      <c r="O63" s="1" t="s">
        <v>12</v>
      </c>
      <c r="P63" s="1" t="s">
        <v>31</v>
      </c>
      <c r="Q63" s="4">
        <v>14</v>
      </c>
      <c r="R63" s="4">
        <v>11</v>
      </c>
      <c r="S63" s="1" t="s">
        <v>14</v>
      </c>
      <c r="T63" s="1" t="s">
        <v>37</v>
      </c>
      <c r="U63" s="5" t="s">
        <v>252</v>
      </c>
      <c r="V63" s="4">
        <v>95</v>
      </c>
    </row>
    <row r="64" spans="1:22" x14ac:dyDescent="0.3">
      <c r="A64" s="1" t="s">
        <v>441</v>
      </c>
      <c r="B64" s="1" t="s">
        <v>35</v>
      </c>
      <c r="C64" s="1" t="s">
        <v>12</v>
      </c>
      <c r="D64" s="1" t="s">
        <v>13</v>
      </c>
      <c r="E64" s="4">
        <v>17</v>
      </c>
      <c r="F64" s="4">
        <v>10</v>
      </c>
      <c r="G64" s="1" t="s">
        <v>32</v>
      </c>
      <c r="H64" s="1" t="s">
        <v>15</v>
      </c>
      <c r="I64" s="5" t="s">
        <v>442</v>
      </c>
      <c r="J64" s="4">
        <v>91</v>
      </c>
      <c r="M64" s="1" t="s">
        <v>791</v>
      </c>
      <c r="N64" s="1" t="s">
        <v>51</v>
      </c>
      <c r="O64" s="1" t="s">
        <v>85</v>
      </c>
      <c r="P64" s="1" t="s">
        <v>13</v>
      </c>
      <c r="Q64" s="4">
        <v>14</v>
      </c>
      <c r="R64" s="4">
        <v>9</v>
      </c>
      <c r="S64" s="1" t="s">
        <v>43</v>
      </c>
      <c r="T64" s="1" t="s">
        <v>61</v>
      </c>
      <c r="U64" s="5" t="s">
        <v>792</v>
      </c>
      <c r="V64" s="4">
        <v>96</v>
      </c>
    </row>
    <row r="65" spans="1:22" x14ac:dyDescent="0.3">
      <c r="A65" s="1" t="s">
        <v>690</v>
      </c>
      <c r="B65" s="1" t="s">
        <v>23</v>
      </c>
      <c r="C65" s="1" t="s">
        <v>85</v>
      </c>
      <c r="D65" s="1" t="s">
        <v>13</v>
      </c>
      <c r="E65" s="4">
        <v>19</v>
      </c>
      <c r="F65" s="4">
        <v>9</v>
      </c>
      <c r="G65" s="1" t="s">
        <v>14</v>
      </c>
      <c r="H65" s="1" t="s">
        <v>76</v>
      </c>
      <c r="I65" s="5" t="s">
        <v>635</v>
      </c>
      <c r="J65" s="4">
        <v>91</v>
      </c>
      <c r="M65" s="1" t="s">
        <v>802</v>
      </c>
      <c r="N65" s="1" t="s">
        <v>29</v>
      </c>
      <c r="O65" s="1" t="s">
        <v>96</v>
      </c>
      <c r="P65" s="1" t="s">
        <v>13</v>
      </c>
      <c r="Q65" s="4">
        <v>14</v>
      </c>
      <c r="R65" s="4">
        <v>10</v>
      </c>
      <c r="S65" s="1" t="s">
        <v>25</v>
      </c>
      <c r="T65" s="1" t="s">
        <v>61</v>
      </c>
      <c r="U65" s="5" t="s">
        <v>803</v>
      </c>
      <c r="V65" s="4">
        <v>89</v>
      </c>
    </row>
    <row r="66" spans="1:22" x14ac:dyDescent="0.3">
      <c r="A66" s="1" t="s">
        <v>691</v>
      </c>
      <c r="B66" s="1" t="s">
        <v>84</v>
      </c>
      <c r="C66" s="1" t="s">
        <v>55</v>
      </c>
      <c r="D66" s="1" t="s">
        <v>13</v>
      </c>
      <c r="E66" s="4">
        <v>16</v>
      </c>
      <c r="F66" s="4">
        <v>10</v>
      </c>
      <c r="G66" s="1" t="s">
        <v>43</v>
      </c>
      <c r="H66" s="1" t="s">
        <v>46</v>
      </c>
      <c r="I66" s="5" t="s">
        <v>692</v>
      </c>
      <c r="J66" s="4">
        <v>91</v>
      </c>
      <c r="M66" s="1" t="s">
        <v>808</v>
      </c>
      <c r="N66" s="1" t="s">
        <v>54</v>
      </c>
      <c r="O66" s="1" t="s">
        <v>24</v>
      </c>
      <c r="P66" s="1" t="s">
        <v>13</v>
      </c>
      <c r="Q66" s="4">
        <v>14</v>
      </c>
      <c r="R66" s="4">
        <v>9</v>
      </c>
      <c r="S66" s="1" t="s">
        <v>25</v>
      </c>
      <c r="T66" s="1" t="s">
        <v>46</v>
      </c>
      <c r="U66" s="5" t="s">
        <v>809</v>
      </c>
      <c r="V66" s="4">
        <v>92</v>
      </c>
    </row>
    <row r="67" spans="1:22" x14ac:dyDescent="0.3">
      <c r="A67" s="1" t="s">
        <v>751</v>
      </c>
      <c r="B67" s="1" t="s">
        <v>73</v>
      </c>
      <c r="C67" s="1" t="s">
        <v>79</v>
      </c>
      <c r="D67" s="1" t="s">
        <v>31</v>
      </c>
      <c r="E67" s="4">
        <v>20</v>
      </c>
      <c r="F67" s="4">
        <v>12</v>
      </c>
      <c r="G67" s="1" t="s">
        <v>25</v>
      </c>
      <c r="H67" s="1" t="s">
        <v>76</v>
      </c>
      <c r="I67" s="5" t="s">
        <v>752</v>
      </c>
      <c r="J67" s="4">
        <v>91</v>
      </c>
      <c r="M67" s="1" t="s">
        <v>810</v>
      </c>
      <c r="N67" s="1" t="s">
        <v>73</v>
      </c>
      <c r="O67" s="1" t="s">
        <v>12</v>
      </c>
      <c r="P67" s="1" t="s">
        <v>13</v>
      </c>
      <c r="Q67" s="4">
        <v>14</v>
      </c>
      <c r="R67" s="4">
        <v>10</v>
      </c>
      <c r="S67" s="1" t="s">
        <v>14</v>
      </c>
      <c r="T67" s="1" t="s">
        <v>46</v>
      </c>
      <c r="U67" s="5" t="s">
        <v>385</v>
      </c>
      <c r="V67" s="4">
        <v>49</v>
      </c>
    </row>
    <row r="68" spans="1:22" x14ac:dyDescent="0.3">
      <c r="A68" s="1" t="s">
        <v>50</v>
      </c>
      <c r="B68" s="1" t="s">
        <v>51</v>
      </c>
      <c r="C68" s="1" t="s">
        <v>24</v>
      </c>
      <c r="D68" s="1" t="s">
        <v>31</v>
      </c>
      <c r="E68" s="4">
        <v>15</v>
      </c>
      <c r="F68" s="4">
        <v>9</v>
      </c>
      <c r="G68" s="1" t="s">
        <v>43</v>
      </c>
      <c r="H68" s="1" t="s">
        <v>15</v>
      </c>
      <c r="I68" s="5" t="s">
        <v>52</v>
      </c>
      <c r="J68" s="4">
        <v>90</v>
      </c>
      <c r="M68" s="1" t="s">
        <v>819</v>
      </c>
      <c r="N68" s="1" t="s">
        <v>18</v>
      </c>
      <c r="O68" s="1" t="s">
        <v>36</v>
      </c>
      <c r="P68" s="1" t="s">
        <v>31</v>
      </c>
      <c r="Q68" s="4">
        <v>14</v>
      </c>
      <c r="R68" s="4">
        <v>10</v>
      </c>
      <c r="S68" s="1" t="s">
        <v>43</v>
      </c>
      <c r="T68" s="1" t="s">
        <v>76</v>
      </c>
      <c r="U68" s="5" t="s">
        <v>820</v>
      </c>
      <c r="V68" s="4">
        <v>56</v>
      </c>
    </row>
    <row r="69" spans="1:22" x14ac:dyDescent="0.3">
      <c r="A69" s="1" t="s">
        <v>203</v>
      </c>
      <c r="B69" s="1" t="s">
        <v>35</v>
      </c>
      <c r="C69" s="1" t="s">
        <v>96</v>
      </c>
      <c r="D69" s="1" t="s">
        <v>13</v>
      </c>
      <c r="E69" s="4">
        <v>17</v>
      </c>
      <c r="F69" s="4">
        <v>12</v>
      </c>
      <c r="G69" s="1" t="s">
        <v>25</v>
      </c>
      <c r="H69" s="1" t="s">
        <v>20</v>
      </c>
      <c r="I69" s="5" t="s">
        <v>204</v>
      </c>
      <c r="J69" s="4">
        <v>90</v>
      </c>
      <c r="M69" s="1" t="s">
        <v>827</v>
      </c>
      <c r="N69" s="1" t="s">
        <v>35</v>
      </c>
      <c r="O69" s="1" t="s">
        <v>12</v>
      </c>
      <c r="P69" s="1" t="s">
        <v>13</v>
      </c>
      <c r="Q69" s="4">
        <v>14</v>
      </c>
      <c r="R69" s="4">
        <v>12</v>
      </c>
      <c r="S69" s="1" t="s">
        <v>25</v>
      </c>
      <c r="T69" s="1" t="s">
        <v>61</v>
      </c>
      <c r="U69" s="5" t="s">
        <v>570</v>
      </c>
      <c r="V69" s="4">
        <v>65</v>
      </c>
    </row>
    <row r="70" spans="1:22" x14ac:dyDescent="0.3">
      <c r="A70" s="1" t="s">
        <v>249</v>
      </c>
      <c r="B70" s="1" t="s">
        <v>68</v>
      </c>
      <c r="C70" s="1" t="s">
        <v>30</v>
      </c>
      <c r="D70" s="1" t="s">
        <v>31</v>
      </c>
      <c r="E70" s="4">
        <v>16</v>
      </c>
      <c r="F70" s="4">
        <v>11</v>
      </c>
      <c r="G70" s="1" t="s">
        <v>32</v>
      </c>
      <c r="H70" s="1" t="s">
        <v>20</v>
      </c>
      <c r="I70" s="5" t="s">
        <v>250</v>
      </c>
      <c r="J70" s="4">
        <v>90</v>
      </c>
      <c r="M70" s="1" t="s">
        <v>850</v>
      </c>
      <c r="N70" s="1" t="s">
        <v>51</v>
      </c>
      <c r="O70" s="1" t="s">
        <v>96</v>
      </c>
      <c r="P70" s="1" t="s">
        <v>13</v>
      </c>
      <c r="Q70" s="4">
        <v>14</v>
      </c>
      <c r="R70" s="4">
        <v>9</v>
      </c>
      <c r="S70" s="1" t="s">
        <v>25</v>
      </c>
      <c r="T70" s="1" t="s">
        <v>26</v>
      </c>
      <c r="U70" s="5" t="s">
        <v>851</v>
      </c>
      <c r="V70" s="4">
        <v>90</v>
      </c>
    </row>
    <row r="71" spans="1:22" x14ac:dyDescent="0.3">
      <c r="A71" s="1" t="s">
        <v>439</v>
      </c>
      <c r="B71" s="1" t="s">
        <v>11</v>
      </c>
      <c r="C71" s="1" t="s">
        <v>12</v>
      </c>
      <c r="D71" s="1" t="s">
        <v>13</v>
      </c>
      <c r="E71" s="4">
        <v>15</v>
      </c>
      <c r="F71" s="4">
        <v>9</v>
      </c>
      <c r="G71" s="1" t="s">
        <v>25</v>
      </c>
      <c r="H71" s="1" t="s">
        <v>15</v>
      </c>
      <c r="I71" s="5" t="s">
        <v>440</v>
      </c>
      <c r="J71" s="4">
        <v>90</v>
      </c>
      <c r="M71" s="1" t="s">
        <v>881</v>
      </c>
      <c r="N71" s="1" t="s">
        <v>73</v>
      </c>
      <c r="O71" s="1" t="s">
        <v>24</v>
      </c>
      <c r="P71" s="1" t="s">
        <v>31</v>
      </c>
      <c r="Q71" s="4">
        <v>14</v>
      </c>
      <c r="R71" s="4">
        <v>12</v>
      </c>
      <c r="S71" s="1" t="s">
        <v>25</v>
      </c>
      <c r="T71" s="1" t="s">
        <v>46</v>
      </c>
      <c r="U71" s="5" t="s">
        <v>882</v>
      </c>
      <c r="V71" s="4">
        <v>58</v>
      </c>
    </row>
    <row r="72" spans="1:22" x14ac:dyDescent="0.3">
      <c r="A72" s="1" t="s">
        <v>548</v>
      </c>
      <c r="B72" s="1" t="s">
        <v>51</v>
      </c>
      <c r="C72" s="1" t="s">
        <v>24</v>
      </c>
      <c r="D72" s="1" t="s">
        <v>31</v>
      </c>
      <c r="E72" s="4">
        <v>15</v>
      </c>
      <c r="F72" s="4">
        <v>11</v>
      </c>
      <c r="G72" s="1" t="s">
        <v>32</v>
      </c>
      <c r="H72" s="1" t="s">
        <v>40</v>
      </c>
      <c r="I72" s="5" t="s">
        <v>549</v>
      </c>
      <c r="J72" s="4">
        <v>90</v>
      </c>
      <c r="M72" s="1" t="s">
        <v>902</v>
      </c>
      <c r="N72" s="1" t="s">
        <v>35</v>
      </c>
      <c r="O72" s="1" t="s">
        <v>12</v>
      </c>
      <c r="P72" s="1" t="s">
        <v>31</v>
      </c>
      <c r="Q72" s="4">
        <v>14</v>
      </c>
      <c r="R72" s="4">
        <v>11</v>
      </c>
      <c r="S72" s="1" t="s">
        <v>14</v>
      </c>
      <c r="T72" s="1" t="s">
        <v>37</v>
      </c>
      <c r="U72" s="5" t="s">
        <v>271</v>
      </c>
      <c r="V72" s="4">
        <v>59</v>
      </c>
    </row>
    <row r="73" spans="1:22" x14ac:dyDescent="0.3">
      <c r="A73" s="1" t="s">
        <v>550</v>
      </c>
      <c r="B73" s="1" t="s">
        <v>73</v>
      </c>
      <c r="C73" s="1" t="s">
        <v>19</v>
      </c>
      <c r="D73" s="1" t="s">
        <v>13</v>
      </c>
      <c r="E73" s="4">
        <v>14</v>
      </c>
      <c r="F73" s="4">
        <v>11</v>
      </c>
      <c r="G73" s="1" t="s">
        <v>32</v>
      </c>
      <c r="H73" s="1" t="s">
        <v>26</v>
      </c>
      <c r="I73" s="5" t="s">
        <v>551</v>
      </c>
      <c r="J73" s="4">
        <v>90</v>
      </c>
      <c r="M73" s="1" t="s">
        <v>908</v>
      </c>
      <c r="N73" s="1" t="s">
        <v>11</v>
      </c>
      <c r="O73" s="1" t="s">
        <v>79</v>
      </c>
      <c r="P73" s="1" t="s">
        <v>31</v>
      </c>
      <c r="Q73" s="4">
        <v>14</v>
      </c>
      <c r="R73" s="4">
        <v>10</v>
      </c>
      <c r="S73" s="1" t="s">
        <v>14</v>
      </c>
      <c r="T73" s="1" t="s">
        <v>46</v>
      </c>
      <c r="U73" s="5" t="s">
        <v>909</v>
      </c>
      <c r="V73" s="4">
        <v>55</v>
      </c>
    </row>
    <row r="74" spans="1:22" x14ac:dyDescent="0.3">
      <c r="A74" s="1" t="s">
        <v>609</v>
      </c>
      <c r="B74" s="1" t="s">
        <v>68</v>
      </c>
      <c r="C74" s="1" t="s">
        <v>58</v>
      </c>
      <c r="D74" s="1" t="s">
        <v>13</v>
      </c>
      <c r="E74" s="4">
        <v>14</v>
      </c>
      <c r="F74" s="4">
        <v>10</v>
      </c>
      <c r="G74" s="1" t="s">
        <v>25</v>
      </c>
      <c r="H74" s="1" t="s">
        <v>37</v>
      </c>
      <c r="I74" s="5" t="s">
        <v>610</v>
      </c>
      <c r="J74" s="4">
        <v>90</v>
      </c>
      <c r="M74" s="1" t="s">
        <v>913</v>
      </c>
      <c r="N74" s="1" t="s">
        <v>68</v>
      </c>
      <c r="O74" s="1" t="s">
        <v>58</v>
      </c>
      <c r="P74" s="1" t="s">
        <v>13</v>
      </c>
      <c r="Q74" s="4">
        <v>14</v>
      </c>
      <c r="R74" s="4">
        <v>10</v>
      </c>
      <c r="S74" s="1" t="s">
        <v>14</v>
      </c>
      <c r="T74" s="1" t="s">
        <v>15</v>
      </c>
      <c r="U74" s="5" t="s">
        <v>914</v>
      </c>
      <c r="V74" s="4">
        <v>69</v>
      </c>
    </row>
    <row r="75" spans="1:22" x14ac:dyDescent="0.3">
      <c r="A75" s="1" t="s">
        <v>850</v>
      </c>
      <c r="B75" s="1" t="s">
        <v>51</v>
      </c>
      <c r="C75" s="1" t="s">
        <v>96</v>
      </c>
      <c r="D75" s="1" t="s">
        <v>13</v>
      </c>
      <c r="E75" s="4">
        <v>14</v>
      </c>
      <c r="F75" s="4">
        <v>9</v>
      </c>
      <c r="G75" s="1" t="s">
        <v>25</v>
      </c>
      <c r="H75" s="1" t="s">
        <v>26</v>
      </c>
      <c r="I75" s="5" t="s">
        <v>851</v>
      </c>
      <c r="J75" s="4">
        <v>90</v>
      </c>
      <c r="M75" s="1" t="s">
        <v>919</v>
      </c>
      <c r="N75" s="1" t="s">
        <v>23</v>
      </c>
      <c r="O75" s="1" t="s">
        <v>19</v>
      </c>
      <c r="P75" s="1" t="s">
        <v>13</v>
      </c>
      <c r="Q75" s="4">
        <v>14</v>
      </c>
      <c r="R75" s="4">
        <v>12</v>
      </c>
      <c r="S75" s="1" t="s">
        <v>14</v>
      </c>
      <c r="T75" s="1" t="s">
        <v>15</v>
      </c>
      <c r="U75" s="5" t="s">
        <v>920</v>
      </c>
      <c r="V75" s="4">
        <v>92</v>
      </c>
    </row>
    <row r="76" spans="1:22" x14ac:dyDescent="0.3">
      <c r="A76" s="1" t="s">
        <v>937</v>
      </c>
      <c r="B76" s="1" t="s">
        <v>73</v>
      </c>
      <c r="C76" s="1" t="s">
        <v>85</v>
      </c>
      <c r="D76" s="1" t="s">
        <v>31</v>
      </c>
      <c r="E76" s="4">
        <v>16</v>
      </c>
      <c r="F76" s="4">
        <v>10</v>
      </c>
      <c r="G76" s="1" t="s">
        <v>25</v>
      </c>
      <c r="H76" s="1" t="s">
        <v>76</v>
      </c>
      <c r="I76" s="5" t="s">
        <v>305</v>
      </c>
      <c r="J76" s="4">
        <v>90</v>
      </c>
      <c r="M76" s="1" t="s">
        <v>926</v>
      </c>
      <c r="N76" s="1" t="s">
        <v>73</v>
      </c>
      <c r="O76" s="1" t="s">
        <v>85</v>
      </c>
      <c r="P76" s="1" t="s">
        <v>13</v>
      </c>
      <c r="Q76" s="4">
        <v>14</v>
      </c>
      <c r="R76" s="4">
        <v>9</v>
      </c>
      <c r="S76" s="1" t="s">
        <v>32</v>
      </c>
      <c r="T76" s="1" t="s">
        <v>20</v>
      </c>
      <c r="U76" s="5" t="s">
        <v>927</v>
      </c>
      <c r="V76" s="4">
        <v>94</v>
      </c>
    </row>
    <row r="77" spans="1:22" x14ac:dyDescent="0.3">
      <c r="A77" s="1" t="s">
        <v>200</v>
      </c>
      <c r="B77" s="1" t="s">
        <v>29</v>
      </c>
      <c r="C77" s="1" t="s">
        <v>12</v>
      </c>
      <c r="D77" s="1" t="s">
        <v>13</v>
      </c>
      <c r="E77" s="4">
        <v>18</v>
      </c>
      <c r="F77" s="4">
        <v>12</v>
      </c>
      <c r="G77" s="1" t="s">
        <v>25</v>
      </c>
      <c r="H77" s="1" t="s">
        <v>26</v>
      </c>
      <c r="I77" s="5" t="s">
        <v>201</v>
      </c>
      <c r="J77" s="4">
        <v>89</v>
      </c>
      <c r="M77" s="1" t="s">
        <v>17</v>
      </c>
      <c r="N77" s="1" t="s">
        <v>18</v>
      </c>
      <c r="O77" s="1" t="s">
        <v>19</v>
      </c>
      <c r="P77" s="1" t="s">
        <v>13</v>
      </c>
      <c r="Q77" s="4">
        <v>15</v>
      </c>
      <c r="R77" s="4">
        <v>12</v>
      </c>
      <c r="S77" s="1" t="s">
        <v>14</v>
      </c>
      <c r="T77" s="1" t="s">
        <v>20</v>
      </c>
      <c r="U77" s="5" t="s">
        <v>21</v>
      </c>
      <c r="V77" s="4">
        <v>98</v>
      </c>
    </row>
    <row r="78" spans="1:22" x14ac:dyDescent="0.3">
      <c r="A78" s="1" t="s">
        <v>393</v>
      </c>
      <c r="B78" s="1" t="s">
        <v>68</v>
      </c>
      <c r="C78" s="1" t="s">
        <v>85</v>
      </c>
      <c r="D78" s="1" t="s">
        <v>13</v>
      </c>
      <c r="E78" s="4">
        <v>15</v>
      </c>
      <c r="F78" s="4">
        <v>10</v>
      </c>
      <c r="G78" s="1" t="s">
        <v>32</v>
      </c>
      <c r="H78" s="1" t="s">
        <v>37</v>
      </c>
      <c r="I78" s="5" t="s">
        <v>394</v>
      </c>
      <c r="J78" s="4">
        <v>89</v>
      </c>
      <c r="M78" s="1" t="s">
        <v>50</v>
      </c>
      <c r="N78" s="1" t="s">
        <v>51</v>
      </c>
      <c r="O78" s="1" t="s">
        <v>24</v>
      </c>
      <c r="P78" s="1" t="s">
        <v>31</v>
      </c>
      <c r="Q78" s="4">
        <v>15</v>
      </c>
      <c r="R78" s="4">
        <v>9</v>
      </c>
      <c r="S78" s="1" t="s">
        <v>43</v>
      </c>
      <c r="T78" s="1" t="s">
        <v>15</v>
      </c>
      <c r="U78" s="5" t="s">
        <v>52</v>
      </c>
      <c r="V78" s="4">
        <v>90</v>
      </c>
    </row>
    <row r="79" spans="1:22" x14ac:dyDescent="0.3">
      <c r="A79" s="1" t="s">
        <v>424</v>
      </c>
      <c r="B79" s="1" t="s">
        <v>29</v>
      </c>
      <c r="C79" s="1" t="s">
        <v>36</v>
      </c>
      <c r="D79" s="1" t="s">
        <v>31</v>
      </c>
      <c r="E79" s="4">
        <v>16</v>
      </c>
      <c r="F79" s="4">
        <v>12</v>
      </c>
      <c r="G79" s="1" t="s">
        <v>32</v>
      </c>
      <c r="H79" s="1" t="s">
        <v>37</v>
      </c>
      <c r="I79" s="5" t="s">
        <v>180</v>
      </c>
      <c r="J79" s="4">
        <v>89</v>
      </c>
      <c r="M79" s="1" t="s">
        <v>60</v>
      </c>
      <c r="N79" s="1" t="s">
        <v>35</v>
      </c>
      <c r="O79" s="1" t="s">
        <v>55</v>
      </c>
      <c r="P79" s="1" t="s">
        <v>13</v>
      </c>
      <c r="Q79" s="4">
        <v>15</v>
      </c>
      <c r="R79" s="4">
        <v>12</v>
      </c>
      <c r="S79" s="1" t="s">
        <v>14</v>
      </c>
      <c r="T79" s="1" t="s">
        <v>61</v>
      </c>
      <c r="U79" s="5" t="s">
        <v>62</v>
      </c>
      <c r="V79" s="4">
        <v>51</v>
      </c>
    </row>
    <row r="80" spans="1:22" x14ac:dyDescent="0.3">
      <c r="A80" s="1" t="s">
        <v>709</v>
      </c>
      <c r="B80" s="1" t="s">
        <v>54</v>
      </c>
      <c r="C80" s="1" t="s">
        <v>19</v>
      </c>
      <c r="D80" s="1" t="s">
        <v>31</v>
      </c>
      <c r="E80" s="4">
        <v>18</v>
      </c>
      <c r="F80" s="4">
        <v>10</v>
      </c>
      <c r="G80" s="1" t="s">
        <v>43</v>
      </c>
      <c r="H80" s="1" t="s">
        <v>37</v>
      </c>
      <c r="I80" s="5" t="s">
        <v>710</v>
      </c>
      <c r="J80" s="4">
        <v>89</v>
      </c>
      <c r="M80" s="1" t="s">
        <v>78</v>
      </c>
      <c r="N80" s="1" t="s">
        <v>68</v>
      </c>
      <c r="O80" s="1" t="s">
        <v>79</v>
      </c>
      <c r="P80" s="1" t="s">
        <v>31</v>
      </c>
      <c r="Q80" s="4">
        <v>15</v>
      </c>
      <c r="R80" s="4">
        <v>10</v>
      </c>
      <c r="S80" s="1" t="s">
        <v>14</v>
      </c>
      <c r="T80" s="1" t="s">
        <v>20</v>
      </c>
      <c r="U80" s="5" t="s">
        <v>80</v>
      </c>
      <c r="V80" s="4">
        <v>59</v>
      </c>
    </row>
    <row r="81" spans="1:22" x14ac:dyDescent="0.3">
      <c r="A81" s="1" t="s">
        <v>771</v>
      </c>
      <c r="B81" s="1" t="s">
        <v>23</v>
      </c>
      <c r="C81" s="1" t="s">
        <v>24</v>
      </c>
      <c r="D81" s="1" t="s">
        <v>31</v>
      </c>
      <c r="E81" s="4">
        <v>18</v>
      </c>
      <c r="F81" s="4">
        <v>11</v>
      </c>
      <c r="G81" s="1" t="s">
        <v>25</v>
      </c>
      <c r="H81" s="1" t="s">
        <v>46</v>
      </c>
      <c r="I81" s="5" t="s">
        <v>772</v>
      </c>
      <c r="J81" s="4">
        <v>89</v>
      </c>
      <c r="M81" s="1" t="s">
        <v>108</v>
      </c>
      <c r="N81" s="1" t="s">
        <v>29</v>
      </c>
      <c r="O81" s="1" t="s">
        <v>96</v>
      </c>
      <c r="P81" s="1" t="s">
        <v>31</v>
      </c>
      <c r="Q81" s="4">
        <v>15</v>
      </c>
      <c r="R81" s="4">
        <v>11</v>
      </c>
      <c r="S81" s="1" t="s">
        <v>43</v>
      </c>
      <c r="T81" s="1" t="s">
        <v>26</v>
      </c>
      <c r="U81" s="5" t="s">
        <v>109</v>
      </c>
      <c r="V81" s="4">
        <v>77</v>
      </c>
    </row>
    <row r="82" spans="1:22" x14ac:dyDescent="0.3">
      <c r="A82" s="1" t="s">
        <v>784</v>
      </c>
      <c r="B82" s="1" t="s">
        <v>84</v>
      </c>
      <c r="C82" s="1" t="s">
        <v>12</v>
      </c>
      <c r="D82" s="1" t="s">
        <v>13</v>
      </c>
      <c r="E82" s="4">
        <v>17</v>
      </c>
      <c r="F82" s="4">
        <v>9</v>
      </c>
      <c r="G82" s="1" t="s">
        <v>43</v>
      </c>
      <c r="H82" s="1" t="s">
        <v>76</v>
      </c>
      <c r="I82" s="5" t="s">
        <v>685</v>
      </c>
      <c r="J82" s="4">
        <v>89</v>
      </c>
      <c r="M82" s="1" t="s">
        <v>112</v>
      </c>
      <c r="N82" s="1" t="s">
        <v>73</v>
      </c>
      <c r="O82" s="1" t="s">
        <v>30</v>
      </c>
      <c r="P82" s="1" t="s">
        <v>13</v>
      </c>
      <c r="Q82" s="4">
        <v>15</v>
      </c>
      <c r="R82" s="4">
        <v>9</v>
      </c>
      <c r="S82" s="1" t="s">
        <v>14</v>
      </c>
      <c r="T82" s="1" t="s">
        <v>26</v>
      </c>
      <c r="U82" s="5" t="s">
        <v>113</v>
      </c>
      <c r="V82" s="4">
        <v>58</v>
      </c>
    </row>
    <row r="83" spans="1:22" x14ac:dyDescent="0.3">
      <c r="A83" s="1" t="s">
        <v>802</v>
      </c>
      <c r="B83" s="1" t="s">
        <v>29</v>
      </c>
      <c r="C83" s="1" t="s">
        <v>96</v>
      </c>
      <c r="D83" s="1" t="s">
        <v>13</v>
      </c>
      <c r="E83" s="4">
        <v>14</v>
      </c>
      <c r="F83" s="4">
        <v>10</v>
      </c>
      <c r="G83" s="1" t="s">
        <v>25</v>
      </c>
      <c r="H83" s="1" t="s">
        <v>61</v>
      </c>
      <c r="I83" s="5" t="s">
        <v>803</v>
      </c>
      <c r="J83" s="4">
        <v>89</v>
      </c>
      <c r="M83" s="1" t="s">
        <v>122</v>
      </c>
      <c r="N83" s="1" t="s">
        <v>18</v>
      </c>
      <c r="O83" s="1" t="s">
        <v>19</v>
      </c>
      <c r="P83" s="1" t="s">
        <v>13</v>
      </c>
      <c r="Q83" s="4">
        <v>15</v>
      </c>
      <c r="R83" s="4">
        <v>10</v>
      </c>
      <c r="S83" s="1" t="s">
        <v>32</v>
      </c>
      <c r="T83" s="1" t="s">
        <v>20</v>
      </c>
      <c r="U83" s="5" t="s">
        <v>123</v>
      </c>
      <c r="V83" s="4">
        <v>51</v>
      </c>
    </row>
    <row r="84" spans="1:22" x14ac:dyDescent="0.3">
      <c r="A84" s="1" t="s">
        <v>42</v>
      </c>
      <c r="B84" s="1" t="s">
        <v>29</v>
      </c>
      <c r="C84" s="1" t="s">
        <v>24</v>
      </c>
      <c r="D84" s="1" t="s">
        <v>31</v>
      </c>
      <c r="E84" s="4">
        <v>20</v>
      </c>
      <c r="F84" s="4">
        <v>9</v>
      </c>
      <c r="G84" s="1" t="s">
        <v>43</v>
      </c>
      <c r="H84" s="1" t="s">
        <v>40</v>
      </c>
      <c r="I84" s="5" t="s">
        <v>44</v>
      </c>
      <c r="J84" s="4">
        <v>88</v>
      </c>
      <c r="M84" s="1" t="s">
        <v>126</v>
      </c>
      <c r="N84" s="1" t="s">
        <v>18</v>
      </c>
      <c r="O84" s="1" t="s">
        <v>24</v>
      </c>
      <c r="P84" s="1" t="s">
        <v>13</v>
      </c>
      <c r="Q84" s="4">
        <v>15</v>
      </c>
      <c r="R84" s="4">
        <v>9</v>
      </c>
      <c r="S84" s="1" t="s">
        <v>25</v>
      </c>
      <c r="T84" s="1" t="s">
        <v>76</v>
      </c>
      <c r="U84" s="5" t="s">
        <v>127</v>
      </c>
      <c r="V84" s="4">
        <v>59</v>
      </c>
    </row>
    <row r="85" spans="1:22" x14ac:dyDescent="0.3">
      <c r="A85" s="1" t="s">
        <v>132</v>
      </c>
      <c r="B85" s="1" t="s">
        <v>29</v>
      </c>
      <c r="C85" s="1" t="s">
        <v>12</v>
      </c>
      <c r="D85" s="1" t="s">
        <v>13</v>
      </c>
      <c r="E85" s="4">
        <v>17</v>
      </c>
      <c r="F85" s="4">
        <v>10</v>
      </c>
      <c r="G85" s="1" t="s">
        <v>25</v>
      </c>
      <c r="H85" s="1" t="s">
        <v>37</v>
      </c>
      <c r="I85" s="5" t="s">
        <v>133</v>
      </c>
      <c r="J85" s="4">
        <v>88</v>
      </c>
      <c r="M85" s="1" t="s">
        <v>188</v>
      </c>
      <c r="N85" s="1" t="s">
        <v>23</v>
      </c>
      <c r="O85" s="1" t="s">
        <v>55</v>
      </c>
      <c r="P85" s="1" t="s">
        <v>31</v>
      </c>
      <c r="Q85" s="4">
        <v>15</v>
      </c>
      <c r="R85" s="4">
        <v>9</v>
      </c>
      <c r="S85" s="1" t="s">
        <v>43</v>
      </c>
      <c r="T85" s="1" t="s">
        <v>20</v>
      </c>
      <c r="U85" s="5" t="s">
        <v>189</v>
      </c>
      <c r="V85" s="4">
        <v>88</v>
      </c>
    </row>
    <row r="86" spans="1:22" x14ac:dyDescent="0.3">
      <c r="A86" s="1" t="s">
        <v>188</v>
      </c>
      <c r="B86" s="1" t="s">
        <v>23</v>
      </c>
      <c r="C86" s="1" t="s">
        <v>55</v>
      </c>
      <c r="D86" s="1" t="s">
        <v>31</v>
      </c>
      <c r="E86" s="4">
        <v>15</v>
      </c>
      <c r="F86" s="4">
        <v>9</v>
      </c>
      <c r="G86" s="1" t="s">
        <v>43</v>
      </c>
      <c r="H86" s="1" t="s">
        <v>20</v>
      </c>
      <c r="I86" s="5" t="s">
        <v>189</v>
      </c>
      <c r="J86" s="4">
        <v>88</v>
      </c>
      <c r="M86" s="1" t="s">
        <v>202</v>
      </c>
      <c r="N86" s="1" t="s">
        <v>51</v>
      </c>
      <c r="O86" s="1" t="s">
        <v>55</v>
      </c>
      <c r="P86" s="1" t="s">
        <v>31</v>
      </c>
      <c r="Q86" s="4">
        <v>15</v>
      </c>
      <c r="R86" s="4">
        <v>9</v>
      </c>
      <c r="S86" s="1" t="s">
        <v>14</v>
      </c>
      <c r="T86" s="1" t="s">
        <v>40</v>
      </c>
      <c r="U86" s="5" t="s">
        <v>111</v>
      </c>
      <c r="V86" s="4">
        <v>70</v>
      </c>
    </row>
    <row r="87" spans="1:22" x14ac:dyDescent="0.3">
      <c r="A87" s="1" t="s">
        <v>231</v>
      </c>
      <c r="B87" s="1" t="s">
        <v>23</v>
      </c>
      <c r="C87" s="1" t="s">
        <v>24</v>
      </c>
      <c r="D87" s="1" t="s">
        <v>31</v>
      </c>
      <c r="E87" s="4">
        <v>18</v>
      </c>
      <c r="F87" s="4">
        <v>9</v>
      </c>
      <c r="G87" s="1" t="s">
        <v>25</v>
      </c>
      <c r="H87" s="1" t="s">
        <v>61</v>
      </c>
      <c r="I87" s="5" t="s">
        <v>232</v>
      </c>
      <c r="J87" s="4">
        <v>88</v>
      </c>
      <c r="M87" s="1" t="s">
        <v>241</v>
      </c>
      <c r="N87" s="1" t="s">
        <v>54</v>
      </c>
      <c r="O87" s="1" t="s">
        <v>85</v>
      </c>
      <c r="P87" s="1" t="s">
        <v>31</v>
      </c>
      <c r="Q87" s="4">
        <v>15</v>
      </c>
      <c r="R87" s="4">
        <v>12</v>
      </c>
      <c r="S87" s="1" t="s">
        <v>14</v>
      </c>
      <c r="T87" s="1" t="s">
        <v>40</v>
      </c>
      <c r="U87" s="5" t="s">
        <v>242</v>
      </c>
      <c r="V87" s="4">
        <v>100</v>
      </c>
    </row>
    <row r="88" spans="1:22" x14ac:dyDescent="0.3">
      <c r="A88" s="1" t="s">
        <v>388</v>
      </c>
      <c r="B88" s="1" t="s">
        <v>73</v>
      </c>
      <c r="C88" s="1" t="s">
        <v>12</v>
      </c>
      <c r="D88" s="1" t="s">
        <v>31</v>
      </c>
      <c r="E88" s="4">
        <v>19</v>
      </c>
      <c r="F88" s="4">
        <v>11</v>
      </c>
      <c r="G88" s="1" t="s">
        <v>43</v>
      </c>
      <c r="H88" s="1" t="s">
        <v>61</v>
      </c>
      <c r="I88" s="5" t="s">
        <v>214</v>
      </c>
      <c r="J88" s="4">
        <v>88</v>
      </c>
      <c r="M88" s="1" t="s">
        <v>243</v>
      </c>
      <c r="N88" s="1" t="s">
        <v>23</v>
      </c>
      <c r="O88" s="1" t="s">
        <v>96</v>
      </c>
      <c r="P88" s="1" t="s">
        <v>31</v>
      </c>
      <c r="Q88" s="4">
        <v>15</v>
      </c>
      <c r="R88" s="4">
        <v>11</v>
      </c>
      <c r="S88" s="1" t="s">
        <v>25</v>
      </c>
      <c r="T88" s="1" t="s">
        <v>61</v>
      </c>
      <c r="U88" s="5" t="s">
        <v>244</v>
      </c>
      <c r="V88" s="4">
        <v>72</v>
      </c>
    </row>
    <row r="89" spans="1:22" x14ac:dyDescent="0.3">
      <c r="A89" s="1" t="s">
        <v>476</v>
      </c>
      <c r="B89" s="1" t="s">
        <v>29</v>
      </c>
      <c r="C89" s="1" t="s">
        <v>55</v>
      </c>
      <c r="D89" s="1" t="s">
        <v>13</v>
      </c>
      <c r="E89" s="4">
        <v>19</v>
      </c>
      <c r="F89" s="4">
        <v>10</v>
      </c>
      <c r="G89" s="1" t="s">
        <v>43</v>
      </c>
      <c r="H89" s="1" t="s">
        <v>26</v>
      </c>
      <c r="I89" s="5" t="s">
        <v>477</v>
      </c>
      <c r="J89" s="4">
        <v>88</v>
      </c>
      <c r="M89" s="1" t="s">
        <v>253</v>
      </c>
      <c r="N89" s="1" t="s">
        <v>18</v>
      </c>
      <c r="O89" s="1" t="s">
        <v>24</v>
      </c>
      <c r="P89" s="1" t="s">
        <v>13</v>
      </c>
      <c r="Q89" s="4">
        <v>15</v>
      </c>
      <c r="R89" s="4">
        <v>9</v>
      </c>
      <c r="S89" s="1" t="s">
        <v>25</v>
      </c>
      <c r="T89" s="1" t="s">
        <v>20</v>
      </c>
      <c r="U89" s="5" t="s">
        <v>254</v>
      </c>
      <c r="V89" s="4">
        <v>36</v>
      </c>
    </row>
    <row r="90" spans="1:22" x14ac:dyDescent="0.3">
      <c r="A90" s="1" t="s">
        <v>787</v>
      </c>
      <c r="B90" s="1" t="s">
        <v>18</v>
      </c>
      <c r="C90" s="1" t="s">
        <v>36</v>
      </c>
      <c r="D90" s="1" t="s">
        <v>31</v>
      </c>
      <c r="E90" s="4">
        <v>16</v>
      </c>
      <c r="F90" s="4">
        <v>9</v>
      </c>
      <c r="G90" s="1" t="s">
        <v>14</v>
      </c>
      <c r="H90" s="1" t="s">
        <v>76</v>
      </c>
      <c r="I90" s="5" t="s">
        <v>788</v>
      </c>
      <c r="J90" s="4">
        <v>88</v>
      </c>
      <c r="M90" s="1" t="s">
        <v>261</v>
      </c>
      <c r="N90" s="1" t="s">
        <v>23</v>
      </c>
      <c r="O90" s="1" t="s">
        <v>36</v>
      </c>
      <c r="P90" s="1" t="s">
        <v>13</v>
      </c>
      <c r="Q90" s="4">
        <v>15</v>
      </c>
      <c r="R90" s="4">
        <v>11</v>
      </c>
      <c r="S90" s="1" t="s">
        <v>25</v>
      </c>
      <c r="T90" s="1" t="s">
        <v>26</v>
      </c>
      <c r="U90" s="5" t="s">
        <v>262</v>
      </c>
      <c r="V90" s="4">
        <v>63</v>
      </c>
    </row>
    <row r="91" spans="1:22" x14ac:dyDescent="0.3">
      <c r="A91" s="1" t="s">
        <v>858</v>
      </c>
      <c r="B91" s="1" t="s">
        <v>35</v>
      </c>
      <c r="C91" s="1" t="s">
        <v>12</v>
      </c>
      <c r="D91" s="1" t="s">
        <v>31</v>
      </c>
      <c r="E91" s="4">
        <v>19</v>
      </c>
      <c r="F91" s="4">
        <v>9</v>
      </c>
      <c r="G91" s="1" t="s">
        <v>43</v>
      </c>
      <c r="H91" s="1" t="s">
        <v>26</v>
      </c>
      <c r="I91" s="5" t="s">
        <v>859</v>
      </c>
      <c r="J91" s="4">
        <v>88</v>
      </c>
      <c r="M91" s="1" t="s">
        <v>263</v>
      </c>
      <c r="N91" s="1" t="s">
        <v>29</v>
      </c>
      <c r="O91" s="1" t="s">
        <v>19</v>
      </c>
      <c r="P91" s="1" t="s">
        <v>13</v>
      </c>
      <c r="Q91" s="4">
        <v>15</v>
      </c>
      <c r="R91" s="4">
        <v>11</v>
      </c>
      <c r="S91" s="1" t="s">
        <v>25</v>
      </c>
      <c r="T91" s="1" t="s">
        <v>46</v>
      </c>
      <c r="U91" s="5" t="s">
        <v>264</v>
      </c>
      <c r="V91" s="4">
        <v>58</v>
      </c>
    </row>
    <row r="92" spans="1:22" x14ac:dyDescent="0.3">
      <c r="A92" s="1" t="s">
        <v>889</v>
      </c>
      <c r="B92" s="1" t="s">
        <v>68</v>
      </c>
      <c r="C92" s="1" t="s">
        <v>19</v>
      </c>
      <c r="D92" s="1" t="s">
        <v>31</v>
      </c>
      <c r="E92" s="4">
        <v>18</v>
      </c>
      <c r="F92" s="4">
        <v>12</v>
      </c>
      <c r="G92" s="1" t="s">
        <v>32</v>
      </c>
      <c r="H92" s="1" t="s">
        <v>46</v>
      </c>
      <c r="I92" s="5" t="s">
        <v>890</v>
      </c>
      <c r="J92" s="4">
        <v>88</v>
      </c>
      <c r="M92" s="1" t="s">
        <v>270</v>
      </c>
      <c r="N92" s="1" t="s">
        <v>73</v>
      </c>
      <c r="O92" s="1" t="s">
        <v>30</v>
      </c>
      <c r="P92" s="1" t="s">
        <v>31</v>
      </c>
      <c r="Q92" s="4">
        <v>15</v>
      </c>
      <c r="R92" s="4">
        <v>9</v>
      </c>
      <c r="S92" s="1" t="s">
        <v>43</v>
      </c>
      <c r="T92" s="1" t="s">
        <v>26</v>
      </c>
      <c r="U92" s="5" t="s">
        <v>271</v>
      </c>
      <c r="V92" s="4">
        <v>76</v>
      </c>
    </row>
    <row r="93" spans="1:22" x14ac:dyDescent="0.3">
      <c r="A93" s="1" t="s">
        <v>899</v>
      </c>
      <c r="B93" s="1" t="s">
        <v>11</v>
      </c>
      <c r="C93" s="1" t="s">
        <v>79</v>
      </c>
      <c r="D93" s="1" t="s">
        <v>13</v>
      </c>
      <c r="E93" s="4">
        <v>15</v>
      </c>
      <c r="F93" s="4">
        <v>10</v>
      </c>
      <c r="G93" s="1" t="s">
        <v>14</v>
      </c>
      <c r="H93" s="1" t="s">
        <v>37</v>
      </c>
      <c r="I93" s="5" t="s">
        <v>900</v>
      </c>
      <c r="J93" s="4">
        <v>88</v>
      </c>
      <c r="M93" s="1" t="s">
        <v>272</v>
      </c>
      <c r="N93" s="1" t="s">
        <v>54</v>
      </c>
      <c r="O93" s="1" t="s">
        <v>24</v>
      </c>
      <c r="P93" s="1" t="s">
        <v>13</v>
      </c>
      <c r="Q93" s="4">
        <v>15</v>
      </c>
      <c r="R93" s="4">
        <v>9</v>
      </c>
      <c r="S93" s="1" t="s">
        <v>43</v>
      </c>
      <c r="T93" s="1" t="s">
        <v>20</v>
      </c>
      <c r="U93" s="5" t="s">
        <v>273</v>
      </c>
      <c r="V93" s="4">
        <v>50</v>
      </c>
    </row>
    <row r="94" spans="1:22" x14ac:dyDescent="0.3">
      <c r="A94" s="1" t="s">
        <v>934</v>
      </c>
      <c r="B94" s="1" t="s">
        <v>51</v>
      </c>
      <c r="C94" s="1" t="s">
        <v>58</v>
      </c>
      <c r="D94" s="1" t="s">
        <v>31</v>
      </c>
      <c r="E94" s="4">
        <v>18</v>
      </c>
      <c r="F94" s="4">
        <v>11</v>
      </c>
      <c r="G94" s="1" t="s">
        <v>14</v>
      </c>
      <c r="H94" s="1" t="s">
        <v>37</v>
      </c>
      <c r="I94" s="5" t="s">
        <v>806</v>
      </c>
      <c r="J94" s="4">
        <v>88</v>
      </c>
      <c r="M94" s="1" t="s">
        <v>281</v>
      </c>
      <c r="N94" s="1" t="s">
        <v>51</v>
      </c>
      <c r="O94" s="1" t="s">
        <v>36</v>
      </c>
      <c r="P94" s="1" t="s">
        <v>31</v>
      </c>
      <c r="Q94" s="4">
        <v>15</v>
      </c>
      <c r="R94" s="4">
        <v>11</v>
      </c>
      <c r="S94" s="1" t="s">
        <v>43</v>
      </c>
      <c r="T94" s="1" t="s">
        <v>37</v>
      </c>
      <c r="U94" s="5" t="s">
        <v>282</v>
      </c>
      <c r="V94" s="4">
        <v>66</v>
      </c>
    </row>
    <row r="95" spans="1:22" x14ac:dyDescent="0.3">
      <c r="A95" s="1" t="s">
        <v>223</v>
      </c>
      <c r="B95" s="1" t="s">
        <v>68</v>
      </c>
      <c r="C95" s="1" t="s">
        <v>24</v>
      </c>
      <c r="D95" s="1" t="s">
        <v>13</v>
      </c>
      <c r="E95" s="4">
        <v>18</v>
      </c>
      <c r="F95" s="4">
        <v>11</v>
      </c>
      <c r="G95" s="1" t="s">
        <v>32</v>
      </c>
      <c r="H95" s="1" t="s">
        <v>40</v>
      </c>
      <c r="I95" s="5" t="s">
        <v>224</v>
      </c>
      <c r="J95" s="4">
        <v>87</v>
      </c>
      <c r="M95" s="1" t="s">
        <v>304</v>
      </c>
      <c r="N95" s="1" t="s">
        <v>51</v>
      </c>
      <c r="O95" s="1" t="s">
        <v>36</v>
      </c>
      <c r="P95" s="1" t="s">
        <v>31</v>
      </c>
      <c r="Q95" s="4">
        <v>15</v>
      </c>
      <c r="R95" s="4">
        <v>12</v>
      </c>
      <c r="S95" s="1" t="s">
        <v>32</v>
      </c>
      <c r="T95" s="1" t="s">
        <v>46</v>
      </c>
      <c r="U95" s="5" t="s">
        <v>305</v>
      </c>
      <c r="V95" s="4">
        <v>77</v>
      </c>
    </row>
    <row r="96" spans="1:22" x14ac:dyDescent="0.3">
      <c r="A96" s="1" t="s">
        <v>371</v>
      </c>
      <c r="B96" s="1" t="s">
        <v>35</v>
      </c>
      <c r="C96" s="1" t="s">
        <v>58</v>
      </c>
      <c r="D96" s="1" t="s">
        <v>31</v>
      </c>
      <c r="E96" s="4">
        <v>19</v>
      </c>
      <c r="F96" s="4">
        <v>9</v>
      </c>
      <c r="G96" s="1" t="s">
        <v>14</v>
      </c>
      <c r="H96" s="1" t="s">
        <v>20</v>
      </c>
      <c r="I96" s="5" t="s">
        <v>372</v>
      </c>
      <c r="J96" s="4">
        <v>87</v>
      </c>
      <c r="M96" s="1" t="s">
        <v>314</v>
      </c>
      <c r="N96" s="1" t="s">
        <v>68</v>
      </c>
      <c r="O96" s="1" t="s">
        <v>79</v>
      </c>
      <c r="P96" s="1" t="s">
        <v>13</v>
      </c>
      <c r="Q96" s="4">
        <v>15</v>
      </c>
      <c r="R96" s="4">
        <v>11</v>
      </c>
      <c r="S96" s="1" t="s">
        <v>14</v>
      </c>
      <c r="T96" s="1" t="s">
        <v>46</v>
      </c>
      <c r="U96" s="5" t="s">
        <v>315</v>
      </c>
      <c r="V96" s="4">
        <v>35</v>
      </c>
    </row>
    <row r="97" spans="1:22" x14ac:dyDescent="0.3">
      <c r="A97" s="1" t="s">
        <v>910</v>
      </c>
      <c r="B97" s="1" t="s">
        <v>84</v>
      </c>
      <c r="C97" s="1" t="s">
        <v>12</v>
      </c>
      <c r="D97" s="1" t="s">
        <v>31</v>
      </c>
      <c r="E97" s="4">
        <v>18</v>
      </c>
      <c r="F97" s="4">
        <v>11</v>
      </c>
      <c r="G97" s="1" t="s">
        <v>25</v>
      </c>
      <c r="H97" s="1" t="s">
        <v>15</v>
      </c>
      <c r="I97" s="5" t="s">
        <v>911</v>
      </c>
      <c r="J97" s="4">
        <v>87</v>
      </c>
      <c r="M97" s="1" t="s">
        <v>329</v>
      </c>
      <c r="N97" s="1" t="s">
        <v>11</v>
      </c>
      <c r="O97" s="1" t="s">
        <v>24</v>
      </c>
      <c r="P97" s="1" t="s">
        <v>31</v>
      </c>
      <c r="Q97" s="4">
        <v>15</v>
      </c>
      <c r="R97" s="4">
        <v>9</v>
      </c>
      <c r="S97" s="1" t="s">
        <v>43</v>
      </c>
      <c r="T97" s="1" t="s">
        <v>61</v>
      </c>
      <c r="U97" s="5" t="s">
        <v>330</v>
      </c>
      <c r="V97" s="4">
        <v>83</v>
      </c>
    </row>
    <row r="98" spans="1:22" x14ac:dyDescent="0.3">
      <c r="A98" s="1" t="s">
        <v>917</v>
      </c>
      <c r="B98" s="1" t="s">
        <v>11</v>
      </c>
      <c r="C98" s="1" t="s">
        <v>96</v>
      </c>
      <c r="D98" s="1" t="s">
        <v>31</v>
      </c>
      <c r="E98" s="4">
        <v>19</v>
      </c>
      <c r="F98" s="4">
        <v>11</v>
      </c>
      <c r="G98" s="1" t="s">
        <v>43</v>
      </c>
      <c r="H98" s="1" t="s">
        <v>26</v>
      </c>
      <c r="I98" s="5" t="s">
        <v>918</v>
      </c>
      <c r="J98" s="4">
        <v>87</v>
      </c>
      <c r="M98" s="1" t="s">
        <v>345</v>
      </c>
      <c r="N98" s="1" t="s">
        <v>29</v>
      </c>
      <c r="O98" s="1" t="s">
        <v>24</v>
      </c>
      <c r="P98" s="1" t="s">
        <v>31</v>
      </c>
      <c r="Q98" s="4">
        <v>15</v>
      </c>
      <c r="R98" s="4">
        <v>9</v>
      </c>
      <c r="S98" s="1" t="s">
        <v>14</v>
      </c>
      <c r="T98" s="1" t="s">
        <v>26</v>
      </c>
      <c r="U98" s="5" t="s">
        <v>346</v>
      </c>
      <c r="V98" s="4">
        <v>49</v>
      </c>
    </row>
    <row r="99" spans="1:22" x14ac:dyDescent="0.3">
      <c r="A99" s="1" t="s">
        <v>87</v>
      </c>
      <c r="B99" s="1" t="s">
        <v>18</v>
      </c>
      <c r="C99" s="1" t="s">
        <v>12</v>
      </c>
      <c r="D99" s="1" t="s">
        <v>13</v>
      </c>
      <c r="E99" s="4">
        <v>20</v>
      </c>
      <c r="F99" s="4">
        <v>12</v>
      </c>
      <c r="G99" s="1" t="s">
        <v>32</v>
      </c>
      <c r="H99" s="1" t="s">
        <v>26</v>
      </c>
      <c r="I99" s="5" t="s">
        <v>88</v>
      </c>
      <c r="J99" s="4">
        <v>86</v>
      </c>
      <c r="M99" s="1" t="s">
        <v>347</v>
      </c>
      <c r="N99" s="1" t="s">
        <v>23</v>
      </c>
      <c r="O99" s="1" t="s">
        <v>85</v>
      </c>
      <c r="P99" s="1" t="s">
        <v>31</v>
      </c>
      <c r="Q99" s="4">
        <v>15</v>
      </c>
      <c r="R99" s="4">
        <v>11</v>
      </c>
      <c r="S99" s="1" t="s">
        <v>32</v>
      </c>
      <c r="T99" s="1" t="s">
        <v>26</v>
      </c>
      <c r="U99" s="5" t="s">
        <v>348</v>
      </c>
      <c r="V99" s="4">
        <v>37</v>
      </c>
    </row>
    <row r="100" spans="1:22" x14ac:dyDescent="0.3">
      <c r="A100" s="1" t="s">
        <v>318</v>
      </c>
      <c r="B100" s="1" t="s">
        <v>54</v>
      </c>
      <c r="C100" s="1" t="s">
        <v>96</v>
      </c>
      <c r="D100" s="1" t="s">
        <v>13</v>
      </c>
      <c r="E100" s="4">
        <v>18</v>
      </c>
      <c r="F100" s="4">
        <v>9</v>
      </c>
      <c r="G100" s="1" t="s">
        <v>32</v>
      </c>
      <c r="H100" s="1" t="s">
        <v>76</v>
      </c>
      <c r="I100" s="5" t="s">
        <v>319</v>
      </c>
      <c r="J100" s="4">
        <v>86</v>
      </c>
      <c r="M100" s="1" t="s">
        <v>351</v>
      </c>
      <c r="N100" s="1" t="s">
        <v>68</v>
      </c>
      <c r="O100" s="1" t="s">
        <v>96</v>
      </c>
      <c r="P100" s="1" t="s">
        <v>13</v>
      </c>
      <c r="Q100" s="4">
        <v>15</v>
      </c>
      <c r="R100" s="4">
        <v>10</v>
      </c>
      <c r="S100" s="1" t="s">
        <v>25</v>
      </c>
      <c r="T100" s="1" t="s">
        <v>20</v>
      </c>
      <c r="U100" s="5" t="s">
        <v>352</v>
      </c>
      <c r="V100" s="4">
        <v>50</v>
      </c>
    </row>
    <row r="101" spans="1:22" x14ac:dyDescent="0.3">
      <c r="A101" s="1" t="s">
        <v>428</v>
      </c>
      <c r="B101" s="1" t="s">
        <v>54</v>
      </c>
      <c r="C101" s="1" t="s">
        <v>55</v>
      </c>
      <c r="D101" s="1" t="s">
        <v>13</v>
      </c>
      <c r="E101" s="4">
        <v>16</v>
      </c>
      <c r="F101" s="4">
        <v>11</v>
      </c>
      <c r="G101" s="1" t="s">
        <v>25</v>
      </c>
      <c r="H101" s="1" t="s">
        <v>15</v>
      </c>
      <c r="I101" s="5" t="s">
        <v>429</v>
      </c>
      <c r="J101" s="4">
        <v>86</v>
      </c>
      <c r="M101" s="1" t="s">
        <v>355</v>
      </c>
      <c r="N101" s="1" t="s">
        <v>68</v>
      </c>
      <c r="O101" s="1" t="s">
        <v>79</v>
      </c>
      <c r="P101" s="1" t="s">
        <v>13</v>
      </c>
      <c r="Q101" s="4">
        <v>15</v>
      </c>
      <c r="R101" s="4">
        <v>12</v>
      </c>
      <c r="S101" s="1" t="s">
        <v>14</v>
      </c>
      <c r="T101" s="1" t="s">
        <v>20</v>
      </c>
      <c r="U101" s="5" t="s">
        <v>356</v>
      </c>
      <c r="V101" s="4">
        <v>37</v>
      </c>
    </row>
    <row r="102" spans="1:22" x14ac:dyDescent="0.3">
      <c r="A102" s="1" t="s">
        <v>482</v>
      </c>
      <c r="B102" s="1" t="s">
        <v>35</v>
      </c>
      <c r="C102" s="1" t="s">
        <v>24</v>
      </c>
      <c r="D102" s="1" t="s">
        <v>13</v>
      </c>
      <c r="E102" s="4">
        <v>18</v>
      </c>
      <c r="F102" s="4">
        <v>11</v>
      </c>
      <c r="G102" s="1" t="s">
        <v>14</v>
      </c>
      <c r="H102" s="1" t="s">
        <v>61</v>
      </c>
      <c r="I102" s="5" t="s">
        <v>483</v>
      </c>
      <c r="J102" s="4">
        <v>86</v>
      </c>
      <c r="M102" s="1" t="s">
        <v>363</v>
      </c>
      <c r="N102" s="1" t="s">
        <v>11</v>
      </c>
      <c r="O102" s="1" t="s">
        <v>85</v>
      </c>
      <c r="P102" s="1" t="s">
        <v>31</v>
      </c>
      <c r="Q102" s="4">
        <v>15</v>
      </c>
      <c r="R102" s="4">
        <v>10</v>
      </c>
      <c r="S102" s="1" t="s">
        <v>14</v>
      </c>
      <c r="T102" s="1" t="s">
        <v>37</v>
      </c>
      <c r="U102" s="5" t="s">
        <v>364</v>
      </c>
      <c r="V102" s="4">
        <v>71</v>
      </c>
    </row>
    <row r="103" spans="1:22" x14ac:dyDescent="0.3">
      <c r="A103" s="1" t="s">
        <v>487</v>
      </c>
      <c r="B103" s="1" t="s">
        <v>18</v>
      </c>
      <c r="C103" s="1" t="s">
        <v>79</v>
      </c>
      <c r="D103" s="1" t="s">
        <v>13</v>
      </c>
      <c r="E103" s="4">
        <v>16</v>
      </c>
      <c r="F103" s="4">
        <v>11</v>
      </c>
      <c r="G103" s="1" t="s">
        <v>43</v>
      </c>
      <c r="H103" s="1" t="s">
        <v>61</v>
      </c>
      <c r="I103" s="5" t="s">
        <v>488</v>
      </c>
      <c r="J103" s="4">
        <v>86</v>
      </c>
      <c r="M103" s="1" t="s">
        <v>367</v>
      </c>
      <c r="N103" s="1" t="s">
        <v>35</v>
      </c>
      <c r="O103" s="1" t="s">
        <v>12</v>
      </c>
      <c r="P103" s="1" t="s">
        <v>31</v>
      </c>
      <c r="Q103" s="4">
        <v>15</v>
      </c>
      <c r="R103" s="4">
        <v>10</v>
      </c>
      <c r="S103" s="1" t="s">
        <v>32</v>
      </c>
      <c r="T103" s="1" t="s">
        <v>20</v>
      </c>
      <c r="U103" s="5" t="s">
        <v>368</v>
      </c>
      <c r="V103" s="4">
        <v>99</v>
      </c>
    </row>
    <row r="104" spans="1:22" x14ac:dyDescent="0.3">
      <c r="A104" s="1" t="s">
        <v>516</v>
      </c>
      <c r="B104" s="1" t="s">
        <v>18</v>
      </c>
      <c r="C104" s="1" t="s">
        <v>96</v>
      </c>
      <c r="D104" s="1" t="s">
        <v>31</v>
      </c>
      <c r="E104" s="4">
        <v>14</v>
      </c>
      <c r="F104" s="4">
        <v>11</v>
      </c>
      <c r="G104" s="1" t="s">
        <v>32</v>
      </c>
      <c r="H104" s="1" t="s">
        <v>46</v>
      </c>
      <c r="I104" s="5" t="s">
        <v>517</v>
      </c>
      <c r="J104" s="4">
        <v>86</v>
      </c>
      <c r="M104" s="1" t="s">
        <v>373</v>
      </c>
      <c r="N104" s="1" t="s">
        <v>51</v>
      </c>
      <c r="O104" s="1" t="s">
        <v>19</v>
      </c>
      <c r="P104" s="1" t="s">
        <v>13</v>
      </c>
      <c r="Q104" s="4">
        <v>15</v>
      </c>
      <c r="R104" s="4">
        <v>11</v>
      </c>
      <c r="S104" s="1" t="s">
        <v>14</v>
      </c>
      <c r="T104" s="1" t="s">
        <v>61</v>
      </c>
      <c r="U104" s="5" t="s">
        <v>374</v>
      </c>
      <c r="V104" s="4">
        <v>78</v>
      </c>
    </row>
    <row r="105" spans="1:22" x14ac:dyDescent="0.3">
      <c r="A105" s="1" t="s">
        <v>527</v>
      </c>
      <c r="B105" s="1" t="s">
        <v>11</v>
      </c>
      <c r="C105" s="1" t="s">
        <v>85</v>
      </c>
      <c r="D105" s="1" t="s">
        <v>13</v>
      </c>
      <c r="E105" s="4">
        <v>20</v>
      </c>
      <c r="F105" s="4">
        <v>12</v>
      </c>
      <c r="G105" s="1" t="s">
        <v>25</v>
      </c>
      <c r="H105" s="1" t="s">
        <v>46</v>
      </c>
      <c r="I105" s="5" t="s">
        <v>451</v>
      </c>
      <c r="J105" s="4">
        <v>86</v>
      </c>
      <c r="M105" s="1" t="s">
        <v>393</v>
      </c>
      <c r="N105" s="1" t="s">
        <v>68</v>
      </c>
      <c r="O105" s="1" t="s">
        <v>85</v>
      </c>
      <c r="P105" s="1" t="s">
        <v>13</v>
      </c>
      <c r="Q105" s="4">
        <v>15</v>
      </c>
      <c r="R105" s="4">
        <v>10</v>
      </c>
      <c r="S105" s="1" t="s">
        <v>32</v>
      </c>
      <c r="T105" s="1" t="s">
        <v>37</v>
      </c>
      <c r="U105" s="5" t="s">
        <v>394</v>
      </c>
      <c r="V105" s="4">
        <v>89</v>
      </c>
    </row>
    <row r="106" spans="1:22" x14ac:dyDescent="0.3">
      <c r="A106" s="1" t="s">
        <v>625</v>
      </c>
      <c r="B106" s="1" t="s">
        <v>68</v>
      </c>
      <c r="C106" s="1" t="s">
        <v>96</v>
      </c>
      <c r="D106" s="1" t="s">
        <v>31</v>
      </c>
      <c r="E106" s="4">
        <v>19</v>
      </c>
      <c r="F106" s="4">
        <v>12</v>
      </c>
      <c r="G106" s="1" t="s">
        <v>32</v>
      </c>
      <c r="H106" s="1" t="s">
        <v>15</v>
      </c>
      <c r="I106" s="5" t="s">
        <v>626</v>
      </c>
      <c r="J106" s="4">
        <v>86</v>
      </c>
      <c r="M106" s="1" t="s">
        <v>401</v>
      </c>
      <c r="N106" s="1" t="s">
        <v>11</v>
      </c>
      <c r="O106" s="1" t="s">
        <v>79</v>
      </c>
      <c r="P106" s="1" t="s">
        <v>31</v>
      </c>
      <c r="Q106" s="4">
        <v>15</v>
      </c>
      <c r="R106" s="4">
        <v>11</v>
      </c>
      <c r="S106" s="1" t="s">
        <v>43</v>
      </c>
      <c r="T106" s="1" t="s">
        <v>40</v>
      </c>
      <c r="U106" s="5" t="s">
        <v>402</v>
      </c>
      <c r="V106" s="4">
        <v>84</v>
      </c>
    </row>
    <row r="107" spans="1:22" x14ac:dyDescent="0.3">
      <c r="A107" s="1" t="s">
        <v>660</v>
      </c>
      <c r="B107" s="1" t="s">
        <v>23</v>
      </c>
      <c r="C107" s="1" t="s">
        <v>12</v>
      </c>
      <c r="D107" s="1" t="s">
        <v>13</v>
      </c>
      <c r="E107" s="4">
        <v>16</v>
      </c>
      <c r="F107" s="4">
        <v>11</v>
      </c>
      <c r="G107" s="1" t="s">
        <v>25</v>
      </c>
      <c r="H107" s="1" t="s">
        <v>40</v>
      </c>
      <c r="I107" s="5" t="s">
        <v>41</v>
      </c>
      <c r="J107" s="4">
        <v>86</v>
      </c>
      <c r="M107" s="1" t="s">
        <v>418</v>
      </c>
      <c r="N107" s="1" t="s">
        <v>84</v>
      </c>
      <c r="O107" s="1" t="s">
        <v>24</v>
      </c>
      <c r="P107" s="1" t="s">
        <v>13</v>
      </c>
      <c r="Q107" s="4">
        <v>15</v>
      </c>
      <c r="R107" s="4">
        <v>9</v>
      </c>
      <c r="S107" s="1" t="s">
        <v>25</v>
      </c>
      <c r="T107" s="1" t="s">
        <v>20</v>
      </c>
      <c r="U107" s="5" t="s">
        <v>419</v>
      </c>
      <c r="V107" s="4">
        <v>63</v>
      </c>
    </row>
    <row r="108" spans="1:22" x14ac:dyDescent="0.3">
      <c r="A108" s="1" t="s">
        <v>862</v>
      </c>
      <c r="B108" s="1" t="s">
        <v>51</v>
      </c>
      <c r="C108" s="1" t="s">
        <v>24</v>
      </c>
      <c r="D108" s="1" t="s">
        <v>13</v>
      </c>
      <c r="E108" s="4">
        <v>17</v>
      </c>
      <c r="F108" s="4">
        <v>9</v>
      </c>
      <c r="G108" s="1" t="s">
        <v>43</v>
      </c>
      <c r="H108" s="1" t="s">
        <v>15</v>
      </c>
      <c r="I108" s="5" t="s">
        <v>863</v>
      </c>
      <c r="J108" s="4">
        <v>86</v>
      </c>
      <c r="M108" s="1" t="s">
        <v>425</v>
      </c>
      <c r="N108" s="1" t="s">
        <v>73</v>
      </c>
      <c r="O108" s="1" t="s">
        <v>30</v>
      </c>
      <c r="P108" s="1" t="s">
        <v>31</v>
      </c>
      <c r="Q108" s="4">
        <v>15</v>
      </c>
      <c r="R108" s="4">
        <v>9</v>
      </c>
      <c r="S108" s="1" t="s">
        <v>14</v>
      </c>
      <c r="T108" s="1" t="s">
        <v>76</v>
      </c>
      <c r="U108" s="5" t="s">
        <v>149</v>
      </c>
      <c r="V108" s="4">
        <v>54</v>
      </c>
    </row>
    <row r="109" spans="1:22" x14ac:dyDescent="0.3">
      <c r="A109" s="1" t="s">
        <v>879</v>
      </c>
      <c r="B109" s="1" t="s">
        <v>18</v>
      </c>
      <c r="C109" s="1" t="s">
        <v>85</v>
      </c>
      <c r="D109" s="1" t="s">
        <v>13</v>
      </c>
      <c r="E109" s="4">
        <v>15</v>
      </c>
      <c r="F109" s="4">
        <v>11</v>
      </c>
      <c r="G109" s="1" t="s">
        <v>32</v>
      </c>
      <c r="H109" s="1" t="s">
        <v>37</v>
      </c>
      <c r="I109" s="5" t="s">
        <v>880</v>
      </c>
      <c r="J109" s="4">
        <v>86</v>
      </c>
      <c r="M109" s="1" t="s">
        <v>439</v>
      </c>
      <c r="N109" s="1" t="s">
        <v>11</v>
      </c>
      <c r="O109" s="1" t="s">
        <v>12</v>
      </c>
      <c r="P109" s="1" t="s">
        <v>13</v>
      </c>
      <c r="Q109" s="4">
        <v>15</v>
      </c>
      <c r="R109" s="4">
        <v>9</v>
      </c>
      <c r="S109" s="1" t="s">
        <v>25</v>
      </c>
      <c r="T109" s="1" t="s">
        <v>15</v>
      </c>
      <c r="U109" s="5" t="s">
        <v>440</v>
      </c>
      <c r="V109" s="4">
        <v>90</v>
      </c>
    </row>
    <row r="110" spans="1:22" x14ac:dyDescent="0.3">
      <c r="A110" s="1" t="s">
        <v>925</v>
      </c>
      <c r="B110" s="1" t="s">
        <v>68</v>
      </c>
      <c r="C110" s="1" t="s">
        <v>30</v>
      </c>
      <c r="D110" s="1" t="s">
        <v>31</v>
      </c>
      <c r="E110" s="4">
        <v>18</v>
      </c>
      <c r="F110" s="4">
        <v>9</v>
      </c>
      <c r="G110" s="1" t="s">
        <v>32</v>
      </c>
      <c r="H110" s="1" t="s">
        <v>20</v>
      </c>
      <c r="I110" s="5" t="s">
        <v>732</v>
      </c>
      <c r="J110" s="4">
        <v>86</v>
      </c>
      <c r="M110" s="1" t="s">
        <v>456</v>
      </c>
      <c r="N110" s="1" t="s">
        <v>11</v>
      </c>
      <c r="O110" s="1" t="s">
        <v>55</v>
      </c>
      <c r="P110" s="1" t="s">
        <v>13</v>
      </c>
      <c r="Q110" s="4">
        <v>15</v>
      </c>
      <c r="R110" s="4">
        <v>9</v>
      </c>
      <c r="S110" s="1" t="s">
        <v>32</v>
      </c>
      <c r="T110" s="1" t="s">
        <v>61</v>
      </c>
      <c r="U110" s="5" t="s">
        <v>457</v>
      </c>
      <c r="V110" s="4">
        <v>97</v>
      </c>
    </row>
    <row r="111" spans="1:22" x14ac:dyDescent="0.3">
      <c r="A111" s="1" t="s">
        <v>142</v>
      </c>
      <c r="B111" s="1" t="s">
        <v>29</v>
      </c>
      <c r="C111" s="1" t="s">
        <v>96</v>
      </c>
      <c r="D111" s="1" t="s">
        <v>31</v>
      </c>
      <c r="E111" s="4">
        <v>16</v>
      </c>
      <c r="F111" s="4">
        <v>12</v>
      </c>
      <c r="G111" s="1" t="s">
        <v>14</v>
      </c>
      <c r="H111" s="1" t="s">
        <v>37</v>
      </c>
      <c r="I111" s="5" t="s">
        <v>143</v>
      </c>
      <c r="J111" s="4">
        <v>85</v>
      </c>
      <c r="M111" s="1" t="s">
        <v>472</v>
      </c>
      <c r="N111" s="1" t="s">
        <v>84</v>
      </c>
      <c r="O111" s="1" t="s">
        <v>79</v>
      </c>
      <c r="P111" s="1" t="s">
        <v>31</v>
      </c>
      <c r="Q111" s="4">
        <v>15</v>
      </c>
      <c r="R111" s="4">
        <v>11</v>
      </c>
      <c r="S111" s="1" t="s">
        <v>14</v>
      </c>
      <c r="T111" s="1" t="s">
        <v>40</v>
      </c>
      <c r="U111" s="5" t="s">
        <v>317</v>
      </c>
      <c r="V111" s="4">
        <v>72</v>
      </c>
    </row>
    <row r="112" spans="1:22" x14ac:dyDescent="0.3">
      <c r="A112" s="1" t="s">
        <v>412</v>
      </c>
      <c r="B112" s="1" t="s">
        <v>73</v>
      </c>
      <c r="C112" s="1" t="s">
        <v>55</v>
      </c>
      <c r="D112" s="1" t="s">
        <v>13</v>
      </c>
      <c r="E112" s="4">
        <v>16</v>
      </c>
      <c r="F112" s="4">
        <v>12</v>
      </c>
      <c r="G112" s="1" t="s">
        <v>32</v>
      </c>
      <c r="H112" s="1" t="s">
        <v>46</v>
      </c>
      <c r="I112" s="5" t="s">
        <v>413</v>
      </c>
      <c r="J112" s="4">
        <v>85</v>
      </c>
      <c r="M112" s="1" t="s">
        <v>495</v>
      </c>
      <c r="N112" s="1" t="s">
        <v>35</v>
      </c>
      <c r="O112" s="1" t="s">
        <v>12</v>
      </c>
      <c r="P112" s="1" t="s">
        <v>13</v>
      </c>
      <c r="Q112" s="4">
        <v>15</v>
      </c>
      <c r="R112" s="4">
        <v>12</v>
      </c>
      <c r="S112" s="1" t="s">
        <v>43</v>
      </c>
      <c r="T112" s="1" t="s">
        <v>20</v>
      </c>
      <c r="U112" s="5" t="s">
        <v>496</v>
      </c>
      <c r="V112" s="4">
        <v>49</v>
      </c>
    </row>
    <row r="113" spans="1:22" x14ac:dyDescent="0.3">
      <c r="A113" s="1" t="s">
        <v>445</v>
      </c>
      <c r="B113" s="1" t="s">
        <v>54</v>
      </c>
      <c r="C113" s="1" t="s">
        <v>96</v>
      </c>
      <c r="D113" s="1" t="s">
        <v>13</v>
      </c>
      <c r="E113" s="4">
        <v>20</v>
      </c>
      <c r="F113" s="4">
        <v>10</v>
      </c>
      <c r="G113" s="1" t="s">
        <v>32</v>
      </c>
      <c r="H113" s="1" t="s">
        <v>46</v>
      </c>
      <c r="I113" s="5" t="s">
        <v>182</v>
      </c>
      <c r="J113" s="4">
        <v>85</v>
      </c>
      <c r="M113" s="1" t="s">
        <v>503</v>
      </c>
      <c r="N113" s="1" t="s">
        <v>84</v>
      </c>
      <c r="O113" s="1" t="s">
        <v>19</v>
      </c>
      <c r="P113" s="1" t="s">
        <v>31</v>
      </c>
      <c r="Q113" s="4">
        <v>15</v>
      </c>
      <c r="R113" s="4">
        <v>10</v>
      </c>
      <c r="S113" s="1" t="s">
        <v>43</v>
      </c>
      <c r="T113" s="1" t="s">
        <v>61</v>
      </c>
      <c r="U113" s="5" t="s">
        <v>504</v>
      </c>
      <c r="V113" s="4">
        <v>44</v>
      </c>
    </row>
    <row r="114" spans="1:22" x14ac:dyDescent="0.3">
      <c r="A114" s="1" t="s">
        <v>617</v>
      </c>
      <c r="B114" s="1" t="s">
        <v>35</v>
      </c>
      <c r="C114" s="1" t="s">
        <v>12</v>
      </c>
      <c r="D114" s="1" t="s">
        <v>13</v>
      </c>
      <c r="E114" s="4">
        <v>15</v>
      </c>
      <c r="F114" s="4">
        <v>9</v>
      </c>
      <c r="G114" s="1" t="s">
        <v>25</v>
      </c>
      <c r="H114" s="1" t="s">
        <v>46</v>
      </c>
      <c r="I114" s="5" t="s">
        <v>155</v>
      </c>
      <c r="J114" s="4">
        <v>85</v>
      </c>
      <c r="M114" s="1" t="s">
        <v>508</v>
      </c>
      <c r="N114" s="1" t="s">
        <v>73</v>
      </c>
      <c r="O114" s="1" t="s">
        <v>55</v>
      </c>
      <c r="P114" s="1" t="s">
        <v>13</v>
      </c>
      <c r="Q114" s="4">
        <v>15</v>
      </c>
      <c r="R114" s="4">
        <v>11</v>
      </c>
      <c r="S114" s="1" t="s">
        <v>43</v>
      </c>
      <c r="T114" s="1" t="s">
        <v>46</v>
      </c>
      <c r="U114" s="5" t="s">
        <v>509</v>
      </c>
      <c r="V114" s="4">
        <v>54</v>
      </c>
    </row>
    <row r="115" spans="1:22" x14ac:dyDescent="0.3">
      <c r="A115" s="1" t="s">
        <v>656</v>
      </c>
      <c r="B115" s="1" t="s">
        <v>29</v>
      </c>
      <c r="C115" s="1" t="s">
        <v>30</v>
      </c>
      <c r="D115" s="1" t="s">
        <v>13</v>
      </c>
      <c r="E115" s="4">
        <v>19</v>
      </c>
      <c r="F115" s="4">
        <v>10</v>
      </c>
      <c r="G115" s="1" t="s">
        <v>43</v>
      </c>
      <c r="H115" s="1" t="s">
        <v>15</v>
      </c>
      <c r="I115" s="5" t="s">
        <v>657</v>
      </c>
      <c r="J115" s="4">
        <v>85</v>
      </c>
      <c r="M115" s="1" t="s">
        <v>510</v>
      </c>
      <c r="N115" s="1" t="s">
        <v>54</v>
      </c>
      <c r="O115" s="1" t="s">
        <v>79</v>
      </c>
      <c r="P115" s="1" t="s">
        <v>31</v>
      </c>
      <c r="Q115" s="4">
        <v>15</v>
      </c>
      <c r="R115" s="4">
        <v>9</v>
      </c>
      <c r="S115" s="1" t="s">
        <v>14</v>
      </c>
      <c r="T115" s="1" t="s">
        <v>40</v>
      </c>
      <c r="U115" s="5" t="s">
        <v>479</v>
      </c>
      <c r="V115" s="4">
        <v>66</v>
      </c>
    </row>
    <row r="116" spans="1:22" x14ac:dyDescent="0.3">
      <c r="A116" s="1" t="s">
        <v>673</v>
      </c>
      <c r="B116" s="1" t="s">
        <v>11</v>
      </c>
      <c r="C116" s="1" t="s">
        <v>19</v>
      </c>
      <c r="D116" s="1" t="s">
        <v>31</v>
      </c>
      <c r="E116" s="4">
        <v>17</v>
      </c>
      <c r="F116" s="4">
        <v>10</v>
      </c>
      <c r="G116" s="1" t="s">
        <v>32</v>
      </c>
      <c r="H116" s="1" t="s">
        <v>46</v>
      </c>
      <c r="I116" s="5" t="s">
        <v>674</v>
      </c>
      <c r="J116" s="4">
        <v>85</v>
      </c>
      <c r="M116" s="1" t="s">
        <v>511</v>
      </c>
      <c r="N116" s="1" t="s">
        <v>35</v>
      </c>
      <c r="O116" s="1" t="s">
        <v>19</v>
      </c>
      <c r="P116" s="1" t="s">
        <v>31</v>
      </c>
      <c r="Q116" s="4">
        <v>15</v>
      </c>
      <c r="R116" s="4">
        <v>9</v>
      </c>
      <c r="S116" s="1" t="s">
        <v>25</v>
      </c>
      <c r="T116" s="1" t="s">
        <v>15</v>
      </c>
      <c r="U116" s="5" t="s">
        <v>512</v>
      </c>
      <c r="V116" s="4">
        <v>95</v>
      </c>
    </row>
    <row r="117" spans="1:22" x14ac:dyDescent="0.3">
      <c r="A117" s="1" t="s">
        <v>735</v>
      </c>
      <c r="B117" s="1" t="s">
        <v>68</v>
      </c>
      <c r="C117" s="1" t="s">
        <v>24</v>
      </c>
      <c r="D117" s="1" t="s">
        <v>31</v>
      </c>
      <c r="E117" s="4">
        <v>16</v>
      </c>
      <c r="F117" s="4">
        <v>12</v>
      </c>
      <c r="G117" s="1" t="s">
        <v>43</v>
      </c>
      <c r="H117" s="1" t="s">
        <v>26</v>
      </c>
      <c r="I117" s="5" t="s">
        <v>736</v>
      </c>
      <c r="J117" s="4">
        <v>85</v>
      </c>
      <c r="M117" s="1" t="s">
        <v>514</v>
      </c>
      <c r="N117" s="1" t="s">
        <v>11</v>
      </c>
      <c r="O117" s="1" t="s">
        <v>12</v>
      </c>
      <c r="P117" s="1" t="s">
        <v>31</v>
      </c>
      <c r="Q117" s="4">
        <v>15</v>
      </c>
      <c r="R117" s="4">
        <v>11</v>
      </c>
      <c r="S117" s="1" t="s">
        <v>25</v>
      </c>
      <c r="T117" s="1" t="s">
        <v>20</v>
      </c>
      <c r="U117" s="5" t="s">
        <v>515</v>
      </c>
      <c r="V117" s="4">
        <v>61</v>
      </c>
    </row>
    <row r="118" spans="1:22" x14ac:dyDescent="0.3">
      <c r="A118" s="1" t="s">
        <v>737</v>
      </c>
      <c r="B118" s="1" t="s">
        <v>54</v>
      </c>
      <c r="C118" s="1" t="s">
        <v>96</v>
      </c>
      <c r="D118" s="1" t="s">
        <v>13</v>
      </c>
      <c r="E118" s="4">
        <v>19</v>
      </c>
      <c r="F118" s="4">
        <v>12</v>
      </c>
      <c r="G118" s="1" t="s">
        <v>25</v>
      </c>
      <c r="H118" s="1" t="s">
        <v>20</v>
      </c>
      <c r="I118" s="5" t="s">
        <v>738</v>
      </c>
      <c r="J118" s="4">
        <v>85</v>
      </c>
      <c r="M118" s="1" t="s">
        <v>548</v>
      </c>
      <c r="N118" s="1" t="s">
        <v>51</v>
      </c>
      <c r="O118" s="1" t="s">
        <v>24</v>
      </c>
      <c r="P118" s="1" t="s">
        <v>31</v>
      </c>
      <c r="Q118" s="4">
        <v>15</v>
      </c>
      <c r="R118" s="4">
        <v>11</v>
      </c>
      <c r="S118" s="1" t="s">
        <v>32</v>
      </c>
      <c r="T118" s="1" t="s">
        <v>40</v>
      </c>
      <c r="U118" s="5" t="s">
        <v>549</v>
      </c>
      <c r="V118" s="4">
        <v>90</v>
      </c>
    </row>
    <row r="119" spans="1:22" x14ac:dyDescent="0.3">
      <c r="A119" s="1" t="s">
        <v>769</v>
      </c>
      <c r="B119" s="1" t="s">
        <v>35</v>
      </c>
      <c r="C119" s="1" t="s">
        <v>30</v>
      </c>
      <c r="D119" s="1" t="s">
        <v>13</v>
      </c>
      <c r="E119" s="4">
        <v>16</v>
      </c>
      <c r="F119" s="4">
        <v>11</v>
      </c>
      <c r="G119" s="1" t="s">
        <v>32</v>
      </c>
      <c r="H119" s="1" t="s">
        <v>46</v>
      </c>
      <c r="I119" s="5" t="s">
        <v>770</v>
      </c>
      <c r="J119" s="4">
        <v>85</v>
      </c>
      <c r="M119" s="1" t="s">
        <v>554</v>
      </c>
      <c r="N119" s="1" t="s">
        <v>29</v>
      </c>
      <c r="O119" s="1" t="s">
        <v>79</v>
      </c>
      <c r="P119" s="1" t="s">
        <v>13</v>
      </c>
      <c r="Q119" s="4">
        <v>15</v>
      </c>
      <c r="R119" s="4">
        <v>9</v>
      </c>
      <c r="S119" s="1" t="s">
        <v>32</v>
      </c>
      <c r="T119" s="1" t="s">
        <v>76</v>
      </c>
      <c r="U119" s="5" t="s">
        <v>184</v>
      </c>
      <c r="V119" s="4">
        <v>53</v>
      </c>
    </row>
    <row r="120" spans="1:22" x14ac:dyDescent="0.3">
      <c r="A120" s="1" t="s">
        <v>915</v>
      </c>
      <c r="B120" s="1" t="s">
        <v>23</v>
      </c>
      <c r="C120" s="1" t="s">
        <v>58</v>
      </c>
      <c r="D120" s="1" t="s">
        <v>31</v>
      </c>
      <c r="E120" s="4">
        <v>17</v>
      </c>
      <c r="F120" s="4">
        <v>9</v>
      </c>
      <c r="G120" s="1" t="s">
        <v>25</v>
      </c>
      <c r="H120" s="1" t="s">
        <v>46</v>
      </c>
      <c r="I120" s="5" t="s">
        <v>916</v>
      </c>
      <c r="J120" s="4">
        <v>85</v>
      </c>
      <c r="M120" s="1" t="s">
        <v>560</v>
      </c>
      <c r="N120" s="1" t="s">
        <v>68</v>
      </c>
      <c r="O120" s="1" t="s">
        <v>85</v>
      </c>
      <c r="P120" s="1" t="s">
        <v>31</v>
      </c>
      <c r="Q120" s="4">
        <v>15</v>
      </c>
      <c r="R120" s="4">
        <v>10</v>
      </c>
      <c r="S120" s="1" t="s">
        <v>43</v>
      </c>
      <c r="T120" s="1" t="s">
        <v>26</v>
      </c>
      <c r="U120" s="5" t="s">
        <v>561</v>
      </c>
      <c r="V120" s="4">
        <v>63</v>
      </c>
    </row>
    <row r="121" spans="1:22" x14ac:dyDescent="0.3">
      <c r="A121" s="1" t="s">
        <v>931</v>
      </c>
      <c r="B121" s="1" t="s">
        <v>23</v>
      </c>
      <c r="C121" s="1" t="s">
        <v>36</v>
      </c>
      <c r="D121" s="1" t="s">
        <v>13</v>
      </c>
      <c r="E121" s="4">
        <v>20</v>
      </c>
      <c r="F121" s="4">
        <v>9</v>
      </c>
      <c r="G121" s="1" t="s">
        <v>43</v>
      </c>
      <c r="H121" s="1" t="s">
        <v>40</v>
      </c>
      <c r="I121" s="5" t="s">
        <v>932</v>
      </c>
      <c r="J121" s="4">
        <v>85</v>
      </c>
      <c r="M121" s="1" t="s">
        <v>562</v>
      </c>
      <c r="N121" s="1" t="s">
        <v>29</v>
      </c>
      <c r="O121" s="1" t="s">
        <v>79</v>
      </c>
      <c r="P121" s="1" t="s">
        <v>31</v>
      </c>
      <c r="Q121" s="4">
        <v>15</v>
      </c>
      <c r="R121" s="4">
        <v>12</v>
      </c>
      <c r="S121" s="1" t="s">
        <v>32</v>
      </c>
      <c r="T121" s="1" t="s">
        <v>46</v>
      </c>
      <c r="U121" s="5" t="s">
        <v>121</v>
      </c>
      <c r="V121" s="4">
        <v>53</v>
      </c>
    </row>
    <row r="122" spans="1:22" x14ac:dyDescent="0.3">
      <c r="A122" s="1" t="s">
        <v>28</v>
      </c>
      <c r="B122" s="1" t="s">
        <v>29</v>
      </c>
      <c r="C122" s="1" t="s">
        <v>30</v>
      </c>
      <c r="D122" s="1" t="s">
        <v>31</v>
      </c>
      <c r="E122" s="4">
        <v>20</v>
      </c>
      <c r="F122" s="4">
        <v>9</v>
      </c>
      <c r="G122" s="1" t="s">
        <v>32</v>
      </c>
      <c r="H122" s="1" t="s">
        <v>26</v>
      </c>
      <c r="I122" s="5" t="s">
        <v>33</v>
      </c>
      <c r="J122" s="4">
        <v>84</v>
      </c>
      <c r="M122" s="1" t="s">
        <v>577</v>
      </c>
      <c r="N122" s="1" t="s">
        <v>84</v>
      </c>
      <c r="O122" s="1" t="s">
        <v>79</v>
      </c>
      <c r="P122" s="1" t="s">
        <v>31</v>
      </c>
      <c r="Q122" s="4">
        <v>15</v>
      </c>
      <c r="R122" s="4">
        <v>11</v>
      </c>
      <c r="S122" s="1" t="s">
        <v>25</v>
      </c>
      <c r="T122" s="1" t="s">
        <v>40</v>
      </c>
      <c r="U122" s="5" t="s">
        <v>578</v>
      </c>
      <c r="V122" s="4">
        <v>72</v>
      </c>
    </row>
    <row r="123" spans="1:22" x14ac:dyDescent="0.3">
      <c r="A123" s="1" t="s">
        <v>215</v>
      </c>
      <c r="B123" s="1" t="s">
        <v>84</v>
      </c>
      <c r="C123" s="1" t="s">
        <v>36</v>
      </c>
      <c r="D123" s="1" t="s">
        <v>31</v>
      </c>
      <c r="E123" s="4">
        <v>19</v>
      </c>
      <c r="F123" s="4">
        <v>12</v>
      </c>
      <c r="G123" s="1" t="s">
        <v>14</v>
      </c>
      <c r="H123" s="1" t="s">
        <v>37</v>
      </c>
      <c r="I123" s="5" t="s">
        <v>216</v>
      </c>
      <c r="J123" s="4">
        <v>84</v>
      </c>
      <c r="M123" s="1" t="s">
        <v>602</v>
      </c>
      <c r="N123" s="1" t="s">
        <v>23</v>
      </c>
      <c r="O123" s="1" t="s">
        <v>19</v>
      </c>
      <c r="P123" s="1" t="s">
        <v>13</v>
      </c>
      <c r="Q123" s="4">
        <v>15</v>
      </c>
      <c r="R123" s="4">
        <v>12</v>
      </c>
      <c r="S123" s="1" t="s">
        <v>14</v>
      </c>
      <c r="T123" s="1" t="s">
        <v>61</v>
      </c>
      <c r="U123" s="5" t="s">
        <v>603</v>
      </c>
      <c r="V123" s="4">
        <v>54</v>
      </c>
    </row>
    <row r="124" spans="1:22" x14ac:dyDescent="0.3">
      <c r="A124" s="1" t="s">
        <v>401</v>
      </c>
      <c r="B124" s="1" t="s">
        <v>11</v>
      </c>
      <c r="C124" s="1" t="s">
        <v>79</v>
      </c>
      <c r="D124" s="1" t="s">
        <v>31</v>
      </c>
      <c r="E124" s="4">
        <v>15</v>
      </c>
      <c r="F124" s="4">
        <v>11</v>
      </c>
      <c r="G124" s="1" t="s">
        <v>43</v>
      </c>
      <c r="H124" s="1" t="s">
        <v>40</v>
      </c>
      <c r="I124" s="5" t="s">
        <v>402</v>
      </c>
      <c r="J124" s="4">
        <v>84</v>
      </c>
      <c r="M124" s="1" t="s">
        <v>613</v>
      </c>
      <c r="N124" s="1" t="s">
        <v>68</v>
      </c>
      <c r="O124" s="1" t="s">
        <v>85</v>
      </c>
      <c r="P124" s="1" t="s">
        <v>31</v>
      </c>
      <c r="Q124" s="4">
        <v>15</v>
      </c>
      <c r="R124" s="4">
        <v>9</v>
      </c>
      <c r="S124" s="1" t="s">
        <v>32</v>
      </c>
      <c r="T124" s="1" t="s">
        <v>37</v>
      </c>
      <c r="U124" s="5" t="s">
        <v>614</v>
      </c>
      <c r="V124" s="4">
        <v>39</v>
      </c>
    </row>
    <row r="125" spans="1:22" x14ac:dyDescent="0.3">
      <c r="A125" s="1" t="s">
        <v>594</v>
      </c>
      <c r="B125" s="1" t="s">
        <v>54</v>
      </c>
      <c r="C125" s="1" t="s">
        <v>55</v>
      </c>
      <c r="D125" s="1" t="s">
        <v>13</v>
      </c>
      <c r="E125" s="4">
        <v>20</v>
      </c>
      <c r="F125" s="4">
        <v>11</v>
      </c>
      <c r="G125" s="1" t="s">
        <v>43</v>
      </c>
      <c r="H125" s="1" t="s">
        <v>40</v>
      </c>
      <c r="I125" s="5" t="s">
        <v>595</v>
      </c>
      <c r="J125" s="4">
        <v>84</v>
      </c>
      <c r="M125" s="1" t="s">
        <v>617</v>
      </c>
      <c r="N125" s="1" t="s">
        <v>35</v>
      </c>
      <c r="O125" s="1" t="s">
        <v>12</v>
      </c>
      <c r="P125" s="1" t="s">
        <v>13</v>
      </c>
      <c r="Q125" s="4">
        <v>15</v>
      </c>
      <c r="R125" s="4">
        <v>9</v>
      </c>
      <c r="S125" s="1" t="s">
        <v>25</v>
      </c>
      <c r="T125" s="1" t="s">
        <v>46</v>
      </c>
      <c r="U125" s="5" t="s">
        <v>155</v>
      </c>
      <c r="V125" s="4">
        <v>85</v>
      </c>
    </row>
    <row r="126" spans="1:22" x14ac:dyDescent="0.3">
      <c r="A126" s="1" t="s">
        <v>627</v>
      </c>
      <c r="B126" s="1" t="s">
        <v>35</v>
      </c>
      <c r="C126" s="1" t="s">
        <v>85</v>
      </c>
      <c r="D126" s="1" t="s">
        <v>31</v>
      </c>
      <c r="E126" s="4">
        <v>16</v>
      </c>
      <c r="F126" s="4">
        <v>9</v>
      </c>
      <c r="G126" s="1" t="s">
        <v>43</v>
      </c>
      <c r="H126" s="1" t="s">
        <v>20</v>
      </c>
      <c r="I126" s="5" t="s">
        <v>628</v>
      </c>
      <c r="J126" s="4">
        <v>84</v>
      </c>
      <c r="M126" s="1" t="s">
        <v>634</v>
      </c>
      <c r="N126" s="1" t="s">
        <v>54</v>
      </c>
      <c r="O126" s="1" t="s">
        <v>30</v>
      </c>
      <c r="P126" s="1" t="s">
        <v>31</v>
      </c>
      <c r="Q126" s="4">
        <v>15</v>
      </c>
      <c r="R126" s="4">
        <v>9</v>
      </c>
      <c r="S126" s="1" t="s">
        <v>25</v>
      </c>
      <c r="T126" s="1" t="s">
        <v>40</v>
      </c>
      <c r="U126" s="5" t="s">
        <v>635</v>
      </c>
      <c r="V126" s="4">
        <v>53</v>
      </c>
    </row>
    <row r="127" spans="1:22" x14ac:dyDescent="0.3">
      <c r="A127" s="1" t="s">
        <v>715</v>
      </c>
      <c r="B127" s="1" t="s">
        <v>51</v>
      </c>
      <c r="C127" s="1" t="s">
        <v>79</v>
      </c>
      <c r="D127" s="1" t="s">
        <v>13</v>
      </c>
      <c r="E127" s="4">
        <v>19</v>
      </c>
      <c r="F127" s="4">
        <v>10</v>
      </c>
      <c r="G127" s="1" t="s">
        <v>32</v>
      </c>
      <c r="H127" s="1" t="s">
        <v>40</v>
      </c>
      <c r="I127" s="5" t="s">
        <v>702</v>
      </c>
      <c r="J127" s="4">
        <v>84</v>
      </c>
      <c r="M127" s="1" t="s">
        <v>638</v>
      </c>
      <c r="N127" s="1" t="s">
        <v>54</v>
      </c>
      <c r="O127" s="1" t="s">
        <v>12</v>
      </c>
      <c r="P127" s="1" t="s">
        <v>31</v>
      </c>
      <c r="Q127" s="4">
        <v>15</v>
      </c>
      <c r="R127" s="4">
        <v>12</v>
      </c>
      <c r="S127" s="1" t="s">
        <v>43</v>
      </c>
      <c r="T127" s="1" t="s">
        <v>76</v>
      </c>
      <c r="U127" s="5" t="s">
        <v>639</v>
      </c>
      <c r="V127" s="4">
        <v>51</v>
      </c>
    </row>
    <row r="128" spans="1:22" x14ac:dyDescent="0.3">
      <c r="A128" s="1" t="s">
        <v>776</v>
      </c>
      <c r="B128" s="1" t="s">
        <v>11</v>
      </c>
      <c r="C128" s="1" t="s">
        <v>12</v>
      </c>
      <c r="D128" s="1" t="s">
        <v>31</v>
      </c>
      <c r="E128" s="4">
        <v>20</v>
      </c>
      <c r="F128" s="4">
        <v>9</v>
      </c>
      <c r="G128" s="1" t="s">
        <v>14</v>
      </c>
      <c r="H128" s="1" t="s">
        <v>76</v>
      </c>
      <c r="I128" s="5" t="s">
        <v>777</v>
      </c>
      <c r="J128" s="4">
        <v>84</v>
      </c>
      <c r="M128" s="1" t="s">
        <v>667</v>
      </c>
      <c r="N128" s="1" t="s">
        <v>35</v>
      </c>
      <c r="O128" s="1" t="s">
        <v>12</v>
      </c>
      <c r="P128" s="1" t="s">
        <v>31</v>
      </c>
      <c r="Q128" s="4">
        <v>15</v>
      </c>
      <c r="R128" s="4">
        <v>12</v>
      </c>
      <c r="S128" s="1" t="s">
        <v>14</v>
      </c>
      <c r="T128" s="1" t="s">
        <v>46</v>
      </c>
      <c r="U128" s="5" t="s">
        <v>668</v>
      </c>
      <c r="V128" s="4">
        <v>82</v>
      </c>
    </row>
    <row r="129" spans="1:22" x14ac:dyDescent="0.3">
      <c r="A129" s="1" t="s">
        <v>854</v>
      </c>
      <c r="B129" s="1" t="s">
        <v>51</v>
      </c>
      <c r="C129" s="1" t="s">
        <v>55</v>
      </c>
      <c r="D129" s="1" t="s">
        <v>13</v>
      </c>
      <c r="E129" s="4">
        <v>15</v>
      </c>
      <c r="F129" s="4">
        <v>11</v>
      </c>
      <c r="G129" s="1" t="s">
        <v>14</v>
      </c>
      <c r="H129" s="1" t="s">
        <v>61</v>
      </c>
      <c r="I129" s="5" t="s">
        <v>855</v>
      </c>
      <c r="J129" s="4">
        <v>84</v>
      </c>
      <c r="M129" s="1" t="s">
        <v>701</v>
      </c>
      <c r="N129" s="1" t="s">
        <v>54</v>
      </c>
      <c r="O129" s="1" t="s">
        <v>30</v>
      </c>
      <c r="P129" s="1" t="s">
        <v>31</v>
      </c>
      <c r="Q129" s="4">
        <v>15</v>
      </c>
      <c r="R129" s="4">
        <v>11</v>
      </c>
      <c r="S129" s="1" t="s">
        <v>14</v>
      </c>
      <c r="T129" s="1" t="s">
        <v>76</v>
      </c>
      <c r="U129" s="5" t="s">
        <v>702</v>
      </c>
      <c r="V129" s="4">
        <v>42</v>
      </c>
    </row>
    <row r="130" spans="1:22" x14ac:dyDescent="0.3">
      <c r="A130" s="1" t="s">
        <v>860</v>
      </c>
      <c r="B130" s="1" t="s">
        <v>68</v>
      </c>
      <c r="C130" s="1" t="s">
        <v>12</v>
      </c>
      <c r="D130" s="1" t="s">
        <v>13</v>
      </c>
      <c r="E130" s="4">
        <v>16</v>
      </c>
      <c r="F130" s="4">
        <v>12</v>
      </c>
      <c r="G130" s="1" t="s">
        <v>14</v>
      </c>
      <c r="H130" s="1" t="s">
        <v>37</v>
      </c>
      <c r="I130" s="5" t="s">
        <v>861</v>
      </c>
      <c r="J130" s="4">
        <v>84</v>
      </c>
      <c r="M130" s="1" t="s">
        <v>725</v>
      </c>
      <c r="N130" s="1" t="s">
        <v>11</v>
      </c>
      <c r="O130" s="1" t="s">
        <v>55</v>
      </c>
      <c r="P130" s="1" t="s">
        <v>31</v>
      </c>
      <c r="Q130" s="4">
        <v>15</v>
      </c>
      <c r="R130" s="4">
        <v>9</v>
      </c>
      <c r="S130" s="1" t="s">
        <v>25</v>
      </c>
      <c r="T130" s="1" t="s">
        <v>37</v>
      </c>
      <c r="U130" s="5" t="s">
        <v>726</v>
      </c>
      <c r="V130" s="4">
        <v>72</v>
      </c>
    </row>
    <row r="131" spans="1:22" x14ac:dyDescent="0.3">
      <c r="A131" s="1" t="s">
        <v>148</v>
      </c>
      <c r="B131" s="1" t="s">
        <v>51</v>
      </c>
      <c r="C131" s="1" t="s">
        <v>96</v>
      </c>
      <c r="D131" s="1" t="s">
        <v>13</v>
      </c>
      <c r="E131" s="4">
        <v>19</v>
      </c>
      <c r="F131" s="4">
        <v>11</v>
      </c>
      <c r="G131" s="1" t="s">
        <v>14</v>
      </c>
      <c r="H131" s="1" t="s">
        <v>76</v>
      </c>
      <c r="I131" s="5" t="s">
        <v>149</v>
      </c>
      <c r="J131" s="4">
        <v>83</v>
      </c>
      <c r="M131" s="1" t="s">
        <v>729</v>
      </c>
      <c r="N131" s="1" t="s">
        <v>35</v>
      </c>
      <c r="O131" s="1" t="s">
        <v>79</v>
      </c>
      <c r="P131" s="1" t="s">
        <v>13</v>
      </c>
      <c r="Q131" s="4">
        <v>15</v>
      </c>
      <c r="R131" s="4">
        <v>9</v>
      </c>
      <c r="S131" s="1" t="s">
        <v>43</v>
      </c>
      <c r="T131" s="1" t="s">
        <v>76</v>
      </c>
      <c r="U131" s="5" t="s">
        <v>730</v>
      </c>
      <c r="V131" s="4">
        <v>39</v>
      </c>
    </row>
    <row r="132" spans="1:22" x14ac:dyDescent="0.3">
      <c r="A132" s="1" t="s">
        <v>329</v>
      </c>
      <c r="B132" s="1" t="s">
        <v>11</v>
      </c>
      <c r="C132" s="1" t="s">
        <v>24</v>
      </c>
      <c r="D132" s="1" t="s">
        <v>31</v>
      </c>
      <c r="E132" s="4">
        <v>15</v>
      </c>
      <c r="F132" s="4">
        <v>9</v>
      </c>
      <c r="G132" s="1" t="s">
        <v>43</v>
      </c>
      <c r="H132" s="1" t="s">
        <v>61</v>
      </c>
      <c r="I132" s="5" t="s">
        <v>330</v>
      </c>
      <c r="J132" s="4">
        <v>83</v>
      </c>
      <c r="M132" s="1" t="s">
        <v>743</v>
      </c>
      <c r="N132" s="1" t="s">
        <v>84</v>
      </c>
      <c r="O132" s="1" t="s">
        <v>19</v>
      </c>
      <c r="P132" s="1" t="s">
        <v>13</v>
      </c>
      <c r="Q132" s="4">
        <v>15</v>
      </c>
      <c r="R132" s="4">
        <v>10</v>
      </c>
      <c r="S132" s="1" t="s">
        <v>43</v>
      </c>
      <c r="T132" s="1" t="s">
        <v>26</v>
      </c>
      <c r="U132" s="5" t="s">
        <v>744</v>
      </c>
      <c r="V132" s="4">
        <v>60</v>
      </c>
    </row>
    <row r="133" spans="1:22" x14ac:dyDescent="0.3">
      <c r="A133" s="1" t="s">
        <v>646</v>
      </c>
      <c r="B133" s="1" t="s">
        <v>84</v>
      </c>
      <c r="C133" s="1" t="s">
        <v>12</v>
      </c>
      <c r="D133" s="1" t="s">
        <v>31</v>
      </c>
      <c r="E133" s="4">
        <v>17</v>
      </c>
      <c r="F133" s="4">
        <v>12</v>
      </c>
      <c r="G133" s="1" t="s">
        <v>25</v>
      </c>
      <c r="H133" s="1" t="s">
        <v>76</v>
      </c>
      <c r="I133" s="5" t="s">
        <v>647</v>
      </c>
      <c r="J133" s="4">
        <v>83</v>
      </c>
      <c r="M133" s="1" t="s">
        <v>749</v>
      </c>
      <c r="N133" s="1" t="s">
        <v>84</v>
      </c>
      <c r="O133" s="1" t="s">
        <v>30</v>
      </c>
      <c r="P133" s="1" t="s">
        <v>13</v>
      </c>
      <c r="Q133" s="4">
        <v>15</v>
      </c>
      <c r="R133" s="4">
        <v>12</v>
      </c>
      <c r="S133" s="1" t="s">
        <v>25</v>
      </c>
      <c r="T133" s="1" t="s">
        <v>61</v>
      </c>
      <c r="U133" s="5" t="s">
        <v>750</v>
      </c>
      <c r="V133" s="4">
        <v>95</v>
      </c>
    </row>
    <row r="134" spans="1:22" x14ac:dyDescent="0.3">
      <c r="A134" s="1" t="s">
        <v>719</v>
      </c>
      <c r="B134" s="1" t="s">
        <v>18</v>
      </c>
      <c r="C134" s="1" t="s">
        <v>24</v>
      </c>
      <c r="D134" s="1" t="s">
        <v>31</v>
      </c>
      <c r="E134" s="4">
        <v>18</v>
      </c>
      <c r="F134" s="4">
        <v>11</v>
      </c>
      <c r="G134" s="1" t="s">
        <v>43</v>
      </c>
      <c r="H134" s="1" t="s">
        <v>40</v>
      </c>
      <c r="I134" s="5" t="s">
        <v>720</v>
      </c>
      <c r="J134" s="4">
        <v>83</v>
      </c>
      <c r="M134" s="1" t="s">
        <v>756</v>
      </c>
      <c r="N134" s="1" t="s">
        <v>11</v>
      </c>
      <c r="O134" s="1" t="s">
        <v>30</v>
      </c>
      <c r="P134" s="1" t="s">
        <v>13</v>
      </c>
      <c r="Q134" s="4">
        <v>15</v>
      </c>
      <c r="R134" s="4">
        <v>11</v>
      </c>
      <c r="S134" s="1" t="s">
        <v>14</v>
      </c>
      <c r="T134" s="1" t="s">
        <v>76</v>
      </c>
      <c r="U134" s="5" t="s">
        <v>757</v>
      </c>
      <c r="V134" s="4">
        <v>39</v>
      </c>
    </row>
    <row r="135" spans="1:22" x14ac:dyDescent="0.3">
      <c r="A135" s="1" t="s">
        <v>760</v>
      </c>
      <c r="B135" s="1" t="s">
        <v>84</v>
      </c>
      <c r="C135" s="1" t="s">
        <v>96</v>
      </c>
      <c r="D135" s="1" t="s">
        <v>31</v>
      </c>
      <c r="E135" s="4">
        <v>16</v>
      </c>
      <c r="F135" s="4">
        <v>11</v>
      </c>
      <c r="G135" s="1" t="s">
        <v>32</v>
      </c>
      <c r="H135" s="1" t="s">
        <v>76</v>
      </c>
      <c r="I135" s="5" t="s">
        <v>761</v>
      </c>
      <c r="J135" s="4">
        <v>83</v>
      </c>
      <c r="M135" s="1" t="s">
        <v>783</v>
      </c>
      <c r="N135" s="1" t="s">
        <v>54</v>
      </c>
      <c r="O135" s="1" t="s">
        <v>79</v>
      </c>
      <c r="P135" s="1" t="s">
        <v>31</v>
      </c>
      <c r="Q135" s="4">
        <v>15</v>
      </c>
      <c r="R135" s="4">
        <v>11</v>
      </c>
      <c r="S135" s="1" t="s">
        <v>25</v>
      </c>
      <c r="T135" s="1" t="s">
        <v>61</v>
      </c>
      <c r="U135" s="5" t="s">
        <v>628</v>
      </c>
      <c r="V135" s="4">
        <v>39</v>
      </c>
    </row>
    <row r="136" spans="1:22" x14ac:dyDescent="0.3">
      <c r="A136" s="1" t="s">
        <v>873</v>
      </c>
      <c r="B136" s="1" t="s">
        <v>18</v>
      </c>
      <c r="C136" s="1" t="s">
        <v>79</v>
      </c>
      <c r="D136" s="1" t="s">
        <v>31</v>
      </c>
      <c r="E136" s="4">
        <v>19</v>
      </c>
      <c r="F136" s="4">
        <v>12</v>
      </c>
      <c r="G136" s="1" t="s">
        <v>32</v>
      </c>
      <c r="H136" s="1" t="s">
        <v>76</v>
      </c>
      <c r="I136" s="5" t="s">
        <v>742</v>
      </c>
      <c r="J136" s="4">
        <v>83</v>
      </c>
      <c r="M136" s="1" t="s">
        <v>812</v>
      </c>
      <c r="N136" s="1" t="s">
        <v>51</v>
      </c>
      <c r="O136" s="1" t="s">
        <v>55</v>
      </c>
      <c r="P136" s="1" t="s">
        <v>13</v>
      </c>
      <c r="Q136" s="4">
        <v>15</v>
      </c>
      <c r="R136" s="4">
        <v>10</v>
      </c>
      <c r="S136" s="1" t="s">
        <v>43</v>
      </c>
      <c r="T136" s="1" t="s">
        <v>46</v>
      </c>
      <c r="U136" s="5" t="s">
        <v>82</v>
      </c>
      <c r="V136" s="4">
        <v>62</v>
      </c>
    </row>
    <row r="137" spans="1:22" x14ac:dyDescent="0.3">
      <c r="A137" s="1" t="s">
        <v>91</v>
      </c>
      <c r="B137" s="1" t="s">
        <v>73</v>
      </c>
      <c r="C137" s="1" t="s">
        <v>12</v>
      </c>
      <c r="D137" s="1" t="s">
        <v>13</v>
      </c>
      <c r="E137" s="4">
        <v>20</v>
      </c>
      <c r="F137" s="4">
        <v>10</v>
      </c>
      <c r="G137" s="1" t="s">
        <v>43</v>
      </c>
      <c r="H137" s="1" t="s">
        <v>46</v>
      </c>
      <c r="I137" s="5" t="s">
        <v>92</v>
      </c>
      <c r="J137" s="4">
        <v>82</v>
      </c>
      <c r="M137" s="1" t="s">
        <v>816</v>
      </c>
      <c r="N137" s="1" t="s">
        <v>23</v>
      </c>
      <c r="O137" s="1" t="s">
        <v>79</v>
      </c>
      <c r="P137" s="1" t="s">
        <v>31</v>
      </c>
      <c r="Q137" s="4">
        <v>15</v>
      </c>
      <c r="R137" s="4">
        <v>9</v>
      </c>
      <c r="S137" s="1" t="s">
        <v>25</v>
      </c>
      <c r="T137" s="1" t="s">
        <v>76</v>
      </c>
      <c r="U137" s="5" t="s">
        <v>149</v>
      </c>
      <c r="V137" s="4">
        <v>79</v>
      </c>
    </row>
    <row r="138" spans="1:22" x14ac:dyDescent="0.3">
      <c r="A138" s="1" t="s">
        <v>130</v>
      </c>
      <c r="B138" s="1" t="s">
        <v>73</v>
      </c>
      <c r="C138" s="1" t="s">
        <v>30</v>
      </c>
      <c r="D138" s="1" t="s">
        <v>13</v>
      </c>
      <c r="E138" s="4">
        <v>17</v>
      </c>
      <c r="F138" s="4">
        <v>12</v>
      </c>
      <c r="G138" s="1" t="s">
        <v>25</v>
      </c>
      <c r="H138" s="1" t="s">
        <v>40</v>
      </c>
      <c r="I138" s="5" t="s">
        <v>131</v>
      </c>
      <c r="J138" s="4">
        <v>82</v>
      </c>
      <c r="M138" s="1" t="s">
        <v>826</v>
      </c>
      <c r="N138" s="1" t="s">
        <v>51</v>
      </c>
      <c r="O138" s="1" t="s">
        <v>55</v>
      </c>
      <c r="P138" s="1" t="s">
        <v>31</v>
      </c>
      <c r="Q138" s="4">
        <v>15</v>
      </c>
      <c r="R138" s="4">
        <v>10</v>
      </c>
      <c r="S138" s="1" t="s">
        <v>43</v>
      </c>
      <c r="T138" s="1" t="s">
        <v>37</v>
      </c>
      <c r="U138" s="5" t="s">
        <v>174</v>
      </c>
      <c r="V138" s="4">
        <v>42</v>
      </c>
    </row>
    <row r="139" spans="1:22" x14ac:dyDescent="0.3">
      <c r="A139" s="1" t="s">
        <v>168</v>
      </c>
      <c r="B139" s="1" t="s">
        <v>18</v>
      </c>
      <c r="C139" s="1" t="s">
        <v>79</v>
      </c>
      <c r="D139" s="1" t="s">
        <v>13</v>
      </c>
      <c r="E139" s="4">
        <v>17</v>
      </c>
      <c r="F139" s="4">
        <v>12</v>
      </c>
      <c r="G139" s="1" t="s">
        <v>25</v>
      </c>
      <c r="H139" s="1" t="s">
        <v>26</v>
      </c>
      <c r="I139" s="5" t="s">
        <v>137</v>
      </c>
      <c r="J139" s="4">
        <v>82</v>
      </c>
      <c r="M139" s="1" t="s">
        <v>828</v>
      </c>
      <c r="N139" s="1" t="s">
        <v>29</v>
      </c>
      <c r="O139" s="1" t="s">
        <v>55</v>
      </c>
      <c r="P139" s="1" t="s">
        <v>13</v>
      </c>
      <c r="Q139" s="4">
        <v>15</v>
      </c>
      <c r="R139" s="4">
        <v>9</v>
      </c>
      <c r="S139" s="1" t="s">
        <v>32</v>
      </c>
      <c r="T139" s="1" t="s">
        <v>40</v>
      </c>
      <c r="U139" s="5" t="s">
        <v>829</v>
      </c>
      <c r="V139" s="4">
        <v>64</v>
      </c>
    </row>
    <row r="140" spans="1:22" x14ac:dyDescent="0.3">
      <c r="A140" s="1" t="s">
        <v>341</v>
      </c>
      <c r="B140" s="1" t="s">
        <v>54</v>
      </c>
      <c r="C140" s="1" t="s">
        <v>55</v>
      </c>
      <c r="D140" s="1" t="s">
        <v>13</v>
      </c>
      <c r="E140" s="4">
        <v>14</v>
      </c>
      <c r="F140" s="4">
        <v>9</v>
      </c>
      <c r="G140" s="1" t="s">
        <v>25</v>
      </c>
      <c r="H140" s="1" t="s">
        <v>37</v>
      </c>
      <c r="I140" s="5" t="s">
        <v>342</v>
      </c>
      <c r="J140" s="4">
        <v>82</v>
      </c>
      <c r="M140" s="1" t="s">
        <v>833</v>
      </c>
      <c r="N140" s="1" t="s">
        <v>73</v>
      </c>
      <c r="O140" s="1" t="s">
        <v>96</v>
      </c>
      <c r="P140" s="1" t="s">
        <v>31</v>
      </c>
      <c r="Q140" s="4">
        <v>15</v>
      </c>
      <c r="R140" s="4">
        <v>10</v>
      </c>
      <c r="S140" s="1" t="s">
        <v>43</v>
      </c>
      <c r="T140" s="1" t="s">
        <v>76</v>
      </c>
      <c r="U140" s="5" t="s">
        <v>834</v>
      </c>
      <c r="V140" s="4">
        <v>37</v>
      </c>
    </row>
    <row r="141" spans="1:22" x14ac:dyDescent="0.3">
      <c r="A141" s="1" t="s">
        <v>426</v>
      </c>
      <c r="B141" s="1" t="s">
        <v>54</v>
      </c>
      <c r="C141" s="1" t="s">
        <v>96</v>
      </c>
      <c r="D141" s="1" t="s">
        <v>31</v>
      </c>
      <c r="E141" s="4">
        <v>16</v>
      </c>
      <c r="F141" s="4">
        <v>12</v>
      </c>
      <c r="G141" s="1" t="s">
        <v>25</v>
      </c>
      <c r="H141" s="1" t="s">
        <v>20</v>
      </c>
      <c r="I141" s="5" t="s">
        <v>427</v>
      </c>
      <c r="J141" s="4">
        <v>82</v>
      </c>
      <c r="M141" s="1" t="s">
        <v>842</v>
      </c>
      <c r="N141" s="1" t="s">
        <v>23</v>
      </c>
      <c r="O141" s="1" t="s">
        <v>30</v>
      </c>
      <c r="P141" s="1" t="s">
        <v>13</v>
      </c>
      <c r="Q141" s="4">
        <v>15</v>
      </c>
      <c r="R141" s="4">
        <v>9</v>
      </c>
      <c r="S141" s="1" t="s">
        <v>32</v>
      </c>
      <c r="T141" s="1" t="s">
        <v>37</v>
      </c>
      <c r="U141" s="5" t="s">
        <v>477</v>
      </c>
      <c r="V141" s="4">
        <v>51</v>
      </c>
    </row>
    <row r="142" spans="1:22" x14ac:dyDescent="0.3">
      <c r="A142" s="1" t="s">
        <v>522</v>
      </c>
      <c r="B142" s="1" t="s">
        <v>54</v>
      </c>
      <c r="C142" s="1" t="s">
        <v>79</v>
      </c>
      <c r="D142" s="1" t="s">
        <v>31</v>
      </c>
      <c r="E142" s="4">
        <v>18</v>
      </c>
      <c r="F142" s="4">
        <v>10</v>
      </c>
      <c r="G142" s="1" t="s">
        <v>14</v>
      </c>
      <c r="H142" s="1" t="s">
        <v>61</v>
      </c>
      <c r="I142" s="5" t="s">
        <v>523</v>
      </c>
      <c r="J142" s="4">
        <v>82</v>
      </c>
      <c r="M142" s="1" t="s">
        <v>852</v>
      </c>
      <c r="N142" s="1" t="s">
        <v>29</v>
      </c>
      <c r="O142" s="1" t="s">
        <v>55</v>
      </c>
      <c r="P142" s="1" t="s">
        <v>13</v>
      </c>
      <c r="Q142" s="4">
        <v>15</v>
      </c>
      <c r="R142" s="4">
        <v>9</v>
      </c>
      <c r="S142" s="1" t="s">
        <v>14</v>
      </c>
      <c r="T142" s="1" t="s">
        <v>20</v>
      </c>
      <c r="U142" s="5" t="s">
        <v>853</v>
      </c>
      <c r="V142" s="4">
        <v>74</v>
      </c>
    </row>
    <row r="143" spans="1:22" x14ac:dyDescent="0.3">
      <c r="A143" s="1" t="s">
        <v>611</v>
      </c>
      <c r="B143" s="1" t="s">
        <v>18</v>
      </c>
      <c r="C143" s="1" t="s">
        <v>24</v>
      </c>
      <c r="D143" s="1" t="s">
        <v>31</v>
      </c>
      <c r="E143" s="4">
        <v>19</v>
      </c>
      <c r="F143" s="4">
        <v>12</v>
      </c>
      <c r="G143" s="1" t="s">
        <v>43</v>
      </c>
      <c r="H143" s="1" t="s">
        <v>26</v>
      </c>
      <c r="I143" s="5" t="s">
        <v>612</v>
      </c>
      <c r="J143" s="4">
        <v>82</v>
      </c>
      <c r="M143" s="1" t="s">
        <v>854</v>
      </c>
      <c r="N143" s="1" t="s">
        <v>51</v>
      </c>
      <c r="O143" s="1" t="s">
        <v>55</v>
      </c>
      <c r="P143" s="1" t="s">
        <v>13</v>
      </c>
      <c r="Q143" s="4">
        <v>15</v>
      </c>
      <c r="R143" s="4">
        <v>11</v>
      </c>
      <c r="S143" s="1" t="s">
        <v>14</v>
      </c>
      <c r="T143" s="1" t="s">
        <v>61</v>
      </c>
      <c r="U143" s="5" t="s">
        <v>855</v>
      </c>
      <c r="V143" s="4">
        <v>84</v>
      </c>
    </row>
    <row r="144" spans="1:22" x14ac:dyDescent="0.3">
      <c r="A144" s="1" t="s">
        <v>629</v>
      </c>
      <c r="B144" s="1" t="s">
        <v>35</v>
      </c>
      <c r="C144" s="1" t="s">
        <v>58</v>
      </c>
      <c r="D144" s="1" t="s">
        <v>13</v>
      </c>
      <c r="E144" s="4">
        <v>18</v>
      </c>
      <c r="F144" s="4">
        <v>9</v>
      </c>
      <c r="G144" s="1" t="s">
        <v>25</v>
      </c>
      <c r="H144" s="1" t="s">
        <v>76</v>
      </c>
      <c r="I144" s="5" t="s">
        <v>105</v>
      </c>
      <c r="J144" s="4">
        <v>82</v>
      </c>
      <c r="M144" s="1" t="s">
        <v>866</v>
      </c>
      <c r="N144" s="1" t="s">
        <v>18</v>
      </c>
      <c r="O144" s="1" t="s">
        <v>24</v>
      </c>
      <c r="P144" s="1" t="s">
        <v>13</v>
      </c>
      <c r="Q144" s="4">
        <v>15</v>
      </c>
      <c r="R144" s="4">
        <v>11</v>
      </c>
      <c r="S144" s="1" t="s">
        <v>14</v>
      </c>
      <c r="T144" s="1" t="s">
        <v>61</v>
      </c>
      <c r="U144" s="5" t="s">
        <v>867</v>
      </c>
      <c r="V144" s="4">
        <v>97</v>
      </c>
    </row>
    <row r="145" spans="1:22" x14ac:dyDescent="0.3">
      <c r="A145" s="1" t="s">
        <v>632</v>
      </c>
      <c r="B145" s="1" t="s">
        <v>54</v>
      </c>
      <c r="C145" s="1" t="s">
        <v>55</v>
      </c>
      <c r="D145" s="1" t="s">
        <v>31</v>
      </c>
      <c r="E145" s="4">
        <v>19</v>
      </c>
      <c r="F145" s="4">
        <v>11</v>
      </c>
      <c r="G145" s="1" t="s">
        <v>25</v>
      </c>
      <c r="H145" s="1" t="s">
        <v>61</v>
      </c>
      <c r="I145" s="5" t="s">
        <v>633</v>
      </c>
      <c r="J145" s="4">
        <v>82</v>
      </c>
      <c r="M145" s="1" t="s">
        <v>868</v>
      </c>
      <c r="N145" s="1" t="s">
        <v>84</v>
      </c>
      <c r="O145" s="1" t="s">
        <v>30</v>
      </c>
      <c r="P145" s="1" t="s">
        <v>31</v>
      </c>
      <c r="Q145" s="4">
        <v>15</v>
      </c>
      <c r="R145" s="4">
        <v>9</v>
      </c>
      <c r="S145" s="1" t="s">
        <v>43</v>
      </c>
      <c r="T145" s="1" t="s">
        <v>61</v>
      </c>
      <c r="U145" s="5" t="s">
        <v>151</v>
      </c>
      <c r="V145" s="4">
        <v>45</v>
      </c>
    </row>
    <row r="146" spans="1:22" x14ac:dyDescent="0.3">
      <c r="A146" s="1" t="s">
        <v>667</v>
      </c>
      <c r="B146" s="1" t="s">
        <v>35</v>
      </c>
      <c r="C146" s="1" t="s">
        <v>12</v>
      </c>
      <c r="D146" s="1" t="s">
        <v>31</v>
      </c>
      <c r="E146" s="4">
        <v>15</v>
      </c>
      <c r="F146" s="4">
        <v>12</v>
      </c>
      <c r="G146" s="1" t="s">
        <v>14</v>
      </c>
      <c r="H146" s="1" t="s">
        <v>46</v>
      </c>
      <c r="I146" s="5" t="s">
        <v>668</v>
      </c>
      <c r="J146" s="4">
        <v>82</v>
      </c>
      <c r="M146" s="1" t="s">
        <v>879</v>
      </c>
      <c r="N146" s="1" t="s">
        <v>18</v>
      </c>
      <c r="O146" s="1" t="s">
        <v>85</v>
      </c>
      <c r="P146" s="1" t="s">
        <v>13</v>
      </c>
      <c r="Q146" s="4">
        <v>15</v>
      </c>
      <c r="R146" s="4">
        <v>11</v>
      </c>
      <c r="S146" s="1" t="s">
        <v>32</v>
      </c>
      <c r="T146" s="1" t="s">
        <v>37</v>
      </c>
      <c r="U146" s="5" t="s">
        <v>880</v>
      </c>
      <c r="V146" s="4">
        <v>86</v>
      </c>
    </row>
    <row r="147" spans="1:22" x14ac:dyDescent="0.3">
      <c r="A147" s="1" t="s">
        <v>762</v>
      </c>
      <c r="B147" s="1" t="s">
        <v>68</v>
      </c>
      <c r="C147" s="1" t="s">
        <v>85</v>
      </c>
      <c r="D147" s="1" t="s">
        <v>31</v>
      </c>
      <c r="E147" s="4">
        <v>20</v>
      </c>
      <c r="F147" s="4">
        <v>12</v>
      </c>
      <c r="G147" s="1" t="s">
        <v>43</v>
      </c>
      <c r="H147" s="1" t="s">
        <v>20</v>
      </c>
      <c r="I147" s="5" t="s">
        <v>763</v>
      </c>
      <c r="J147" s="4">
        <v>82</v>
      </c>
      <c r="M147" s="1" t="s">
        <v>896</v>
      </c>
      <c r="N147" s="1" t="s">
        <v>11</v>
      </c>
      <c r="O147" s="1" t="s">
        <v>36</v>
      </c>
      <c r="P147" s="1" t="s">
        <v>13</v>
      </c>
      <c r="Q147" s="4">
        <v>15</v>
      </c>
      <c r="R147" s="4">
        <v>11</v>
      </c>
      <c r="S147" s="1" t="s">
        <v>14</v>
      </c>
      <c r="T147" s="1" t="s">
        <v>26</v>
      </c>
      <c r="U147" s="5" t="s">
        <v>897</v>
      </c>
      <c r="V147" s="4">
        <v>95</v>
      </c>
    </row>
    <row r="148" spans="1:22" x14ac:dyDescent="0.3">
      <c r="A148" s="1" t="s">
        <v>458</v>
      </c>
      <c r="B148" s="1" t="s">
        <v>11</v>
      </c>
      <c r="C148" s="1" t="s">
        <v>55</v>
      </c>
      <c r="D148" s="1" t="s">
        <v>13</v>
      </c>
      <c r="E148" s="4">
        <v>19</v>
      </c>
      <c r="F148" s="4">
        <v>11</v>
      </c>
      <c r="G148" s="1" t="s">
        <v>14</v>
      </c>
      <c r="H148" s="1" t="s">
        <v>46</v>
      </c>
      <c r="I148" s="5" t="s">
        <v>459</v>
      </c>
      <c r="J148" s="4">
        <v>81</v>
      </c>
      <c r="M148" s="1" t="s">
        <v>899</v>
      </c>
      <c r="N148" s="1" t="s">
        <v>11</v>
      </c>
      <c r="O148" s="1" t="s">
        <v>79</v>
      </c>
      <c r="P148" s="1" t="s">
        <v>13</v>
      </c>
      <c r="Q148" s="4">
        <v>15</v>
      </c>
      <c r="R148" s="4">
        <v>10</v>
      </c>
      <c r="S148" s="1" t="s">
        <v>14</v>
      </c>
      <c r="T148" s="1" t="s">
        <v>37</v>
      </c>
      <c r="U148" s="5" t="s">
        <v>900</v>
      </c>
      <c r="V148" s="4">
        <v>88</v>
      </c>
    </row>
    <row r="149" spans="1:22" x14ac:dyDescent="0.3">
      <c r="A149" s="1" t="s">
        <v>546</v>
      </c>
      <c r="B149" s="1" t="s">
        <v>51</v>
      </c>
      <c r="C149" s="1" t="s">
        <v>36</v>
      </c>
      <c r="D149" s="1" t="s">
        <v>31</v>
      </c>
      <c r="E149" s="4">
        <v>14</v>
      </c>
      <c r="F149" s="4">
        <v>9</v>
      </c>
      <c r="G149" s="1" t="s">
        <v>14</v>
      </c>
      <c r="H149" s="1" t="s">
        <v>46</v>
      </c>
      <c r="I149" s="5" t="s">
        <v>547</v>
      </c>
      <c r="J149" s="4">
        <v>81</v>
      </c>
      <c r="M149" s="1" t="s">
        <v>929</v>
      </c>
      <c r="N149" s="1" t="s">
        <v>35</v>
      </c>
      <c r="O149" s="1" t="s">
        <v>30</v>
      </c>
      <c r="P149" s="1" t="s">
        <v>13</v>
      </c>
      <c r="Q149" s="4">
        <v>15</v>
      </c>
      <c r="R149" s="4">
        <v>12</v>
      </c>
      <c r="S149" s="1" t="s">
        <v>32</v>
      </c>
      <c r="T149" s="1" t="s">
        <v>26</v>
      </c>
      <c r="U149" s="5" t="s">
        <v>262</v>
      </c>
      <c r="V149" s="4">
        <v>55</v>
      </c>
    </row>
    <row r="150" spans="1:22" x14ac:dyDescent="0.3">
      <c r="A150" s="1" t="s">
        <v>552</v>
      </c>
      <c r="B150" s="1" t="s">
        <v>35</v>
      </c>
      <c r="C150" s="1" t="s">
        <v>30</v>
      </c>
      <c r="D150" s="1" t="s">
        <v>13</v>
      </c>
      <c r="E150" s="4">
        <v>19</v>
      </c>
      <c r="F150" s="4">
        <v>11</v>
      </c>
      <c r="G150" s="1" t="s">
        <v>14</v>
      </c>
      <c r="H150" s="1" t="s">
        <v>76</v>
      </c>
      <c r="I150" s="5" t="s">
        <v>553</v>
      </c>
      <c r="J150" s="4">
        <v>81</v>
      </c>
      <c r="M150" s="1" t="s">
        <v>10</v>
      </c>
      <c r="N150" s="1" t="s">
        <v>11</v>
      </c>
      <c r="O150" s="1" t="s">
        <v>12</v>
      </c>
      <c r="P150" s="1" t="s">
        <v>13</v>
      </c>
      <c r="Q150" s="4">
        <v>16</v>
      </c>
      <c r="R150" s="4">
        <v>10</v>
      </c>
      <c r="S150" s="1" t="s">
        <v>14</v>
      </c>
      <c r="T150" s="1" t="s">
        <v>15</v>
      </c>
      <c r="U150" s="5" t="s">
        <v>16</v>
      </c>
      <c r="V150" s="4">
        <v>37</v>
      </c>
    </row>
    <row r="151" spans="1:22" x14ac:dyDescent="0.3">
      <c r="A151" s="1" t="s">
        <v>644</v>
      </c>
      <c r="B151" s="1" t="s">
        <v>51</v>
      </c>
      <c r="C151" s="1" t="s">
        <v>36</v>
      </c>
      <c r="D151" s="1" t="s">
        <v>31</v>
      </c>
      <c r="E151" s="4">
        <v>16</v>
      </c>
      <c r="F151" s="4">
        <v>11</v>
      </c>
      <c r="G151" s="1" t="s">
        <v>43</v>
      </c>
      <c r="H151" s="1" t="s">
        <v>20</v>
      </c>
      <c r="I151" s="5" t="s">
        <v>645</v>
      </c>
      <c r="J151" s="4">
        <v>81</v>
      </c>
      <c r="M151" s="1" t="s">
        <v>63</v>
      </c>
      <c r="N151" s="1" t="s">
        <v>11</v>
      </c>
      <c r="O151" s="1" t="s">
        <v>55</v>
      </c>
      <c r="P151" s="1" t="s">
        <v>13</v>
      </c>
      <c r="Q151" s="4">
        <v>16</v>
      </c>
      <c r="R151" s="4">
        <v>10</v>
      </c>
      <c r="S151" s="1" t="s">
        <v>25</v>
      </c>
      <c r="T151" s="1" t="s">
        <v>26</v>
      </c>
      <c r="U151" s="5" t="s">
        <v>64</v>
      </c>
      <c r="V151" s="4">
        <v>42</v>
      </c>
    </row>
    <row r="152" spans="1:22" x14ac:dyDescent="0.3">
      <c r="A152" s="1" t="s">
        <v>877</v>
      </c>
      <c r="B152" s="1" t="s">
        <v>73</v>
      </c>
      <c r="C152" s="1" t="s">
        <v>85</v>
      </c>
      <c r="D152" s="1" t="s">
        <v>13</v>
      </c>
      <c r="E152" s="4">
        <v>19</v>
      </c>
      <c r="F152" s="4">
        <v>10</v>
      </c>
      <c r="G152" s="1" t="s">
        <v>25</v>
      </c>
      <c r="H152" s="1" t="s">
        <v>26</v>
      </c>
      <c r="I152" s="5" t="s">
        <v>878</v>
      </c>
      <c r="J152" s="4">
        <v>81</v>
      </c>
      <c r="M152" s="1" t="s">
        <v>83</v>
      </c>
      <c r="N152" s="1" t="s">
        <v>84</v>
      </c>
      <c r="O152" s="1" t="s">
        <v>85</v>
      </c>
      <c r="P152" s="1" t="s">
        <v>31</v>
      </c>
      <c r="Q152" s="4">
        <v>16</v>
      </c>
      <c r="R152" s="4">
        <v>9</v>
      </c>
      <c r="S152" s="1" t="s">
        <v>43</v>
      </c>
      <c r="T152" s="1" t="s">
        <v>37</v>
      </c>
      <c r="U152" s="5" t="s">
        <v>86</v>
      </c>
      <c r="V152" s="4">
        <v>52</v>
      </c>
    </row>
    <row r="153" spans="1:22" x14ac:dyDescent="0.3">
      <c r="A153" s="1" t="s">
        <v>905</v>
      </c>
      <c r="B153" s="1" t="s">
        <v>54</v>
      </c>
      <c r="C153" s="1" t="s">
        <v>30</v>
      </c>
      <c r="D153" s="1" t="s">
        <v>13</v>
      </c>
      <c r="E153" s="4">
        <v>16</v>
      </c>
      <c r="F153" s="4">
        <v>12</v>
      </c>
      <c r="G153" s="1" t="s">
        <v>43</v>
      </c>
      <c r="H153" s="1" t="s">
        <v>40</v>
      </c>
      <c r="I153" s="5" t="s">
        <v>556</v>
      </c>
      <c r="J153" s="4">
        <v>81</v>
      </c>
      <c r="M153" s="1" t="s">
        <v>89</v>
      </c>
      <c r="N153" s="1" t="s">
        <v>68</v>
      </c>
      <c r="O153" s="1" t="s">
        <v>85</v>
      </c>
      <c r="P153" s="1" t="s">
        <v>31</v>
      </c>
      <c r="Q153" s="4">
        <v>16</v>
      </c>
      <c r="R153" s="4">
        <v>9</v>
      </c>
      <c r="S153" s="1" t="s">
        <v>43</v>
      </c>
      <c r="T153" s="1" t="s">
        <v>20</v>
      </c>
      <c r="U153" s="5" t="s">
        <v>90</v>
      </c>
      <c r="V153" s="4">
        <v>52</v>
      </c>
    </row>
    <row r="154" spans="1:22" x14ac:dyDescent="0.3">
      <c r="A154" s="1" t="s">
        <v>377</v>
      </c>
      <c r="B154" s="1" t="s">
        <v>35</v>
      </c>
      <c r="C154" s="1" t="s">
        <v>30</v>
      </c>
      <c r="D154" s="1" t="s">
        <v>13</v>
      </c>
      <c r="E154" s="4">
        <v>20</v>
      </c>
      <c r="F154" s="4">
        <v>11</v>
      </c>
      <c r="G154" s="1" t="s">
        <v>32</v>
      </c>
      <c r="H154" s="1" t="s">
        <v>37</v>
      </c>
      <c r="I154" s="5" t="s">
        <v>189</v>
      </c>
      <c r="J154" s="4">
        <v>79</v>
      </c>
      <c r="M154" s="1" t="s">
        <v>142</v>
      </c>
      <c r="N154" s="1" t="s">
        <v>29</v>
      </c>
      <c r="O154" s="1" t="s">
        <v>96</v>
      </c>
      <c r="P154" s="1" t="s">
        <v>31</v>
      </c>
      <c r="Q154" s="4">
        <v>16</v>
      </c>
      <c r="R154" s="4">
        <v>12</v>
      </c>
      <c r="S154" s="1" t="s">
        <v>14</v>
      </c>
      <c r="T154" s="1" t="s">
        <v>37</v>
      </c>
      <c r="U154" s="5" t="s">
        <v>143</v>
      </c>
      <c r="V154" s="4">
        <v>85</v>
      </c>
    </row>
    <row r="155" spans="1:22" x14ac:dyDescent="0.3">
      <c r="A155" s="1" t="s">
        <v>464</v>
      </c>
      <c r="B155" s="1" t="s">
        <v>11</v>
      </c>
      <c r="C155" s="1" t="s">
        <v>36</v>
      </c>
      <c r="D155" s="1" t="s">
        <v>13</v>
      </c>
      <c r="E155" s="4">
        <v>16</v>
      </c>
      <c r="F155" s="4">
        <v>11</v>
      </c>
      <c r="G155" s="1" t="s">
        <v>25</v>
      </c>
      <c r="H155" s="1" t="s">
        <v>40</v>
      </c>
      <c r="I155" s="5" t="s">
        <v>465</v>
      </c>
      <c r="J155" s="4">
        <v>79</v>
      </c>
      <c r="M155" s="1" t="s">
        <v>158</v>
      </c>
      <c r="N155" s="1" t="s">
        <v>18</v>
      </c>
      <c r="O155" s="1" t="s">
        <v>19</v>
      </c>
      <c r="P155" s="1" t="s">
        <v>13</v>
      </c>
      <c r="Q155" s="4">
        <v>16</v>
      </c>
      <c r="R155" s="4">
        <v>12</v>
      </c>
      <c r="S155" s="1" t="s">
        <v>43</v>
      </c>
      <c r="T155" s="1" t="s">
        <v>40</v>
      </c>
      <c r="U155" s="5" t="s">
        <v>159</v>
      </c>
      <c r="V155" s="4">
        <v>36</v>
      </c>
    </row>
    <row r="156" spans="1:22" x14ac:dyDescent="0.3">
      <c r="A156" s="1" t="s">
        <v>816</v>
      </c>
      <c r="B156" s="1" t="s">
        <v>23</v>
      </c>
      <c r="C156" s="1" t="s">
        <v>79</v>
      </c>
      <c r="D156" s="1" t="s">
        <v>31</v>
      </c>
      <c r="E156" s="4">
        <v>15</v>
      </c>
      <c r="F156" s="4">
        <v>9</v>
      </c>
      <c r="G156" s="1" t="s">
        <v>25</v>
      </c>
      <c r="H156" s="1" t="s">
        <v>76</v>
      </c>
      <c r="I156" s="5" t="s">
        <v>149</v>
      </c>
      <c r="J156" s="4">
        <v>79</v>
      </c>
      <c r="M156" s="1" t="s">
        <v>179</v>
      </c>
      <c r="N156" s="1" t="s">
        <v>29</v>
      </c>
      <c r="O156" s="1" t="s">
        <v>58</v>
      </c>
      <c r="P156" s="1" t="s">
        <v>31</v>
      </c>
      <c r="Q156" s="4">
        <v>16</v>
      </c>
      <c r="R156" s="4">
        <v>11</v>
      </c>
      <c r="S156" s="1" t="s">
        <v>25</v>
      </c>
      <c r="T156" s="1" t="s">
        <v>26</v>
      </c>
      <c r="U156" s="5" t="s">
        <v>180</v>
      </c>
      <c r="V156" s="4">
        <v>75</v>
      </c>
    </row>
    <row r="157" spans="1:22" x14ac:dyDescent="0.3">
      <c r="A157" s="1" t="s">
        <v>192</v>
      </c>
      <c r="B157" s="1" t="s">
        <v>68</v>
      </c>
      <c r="C157" s="1" t="s">
        <v>85</v>
      </c>
      <c r="D157" s="1" t="s">
        <v>13</v>
      </c>
      <c r="E157" s="4">
        <v>19</v>
      </c>
      <c r="F157" s="4">
        <v>11</v>
      </c>
      <c r="G157" s="1" t="s">
        <v>43</v>
      </c>
      <c r="H157" s="1" t="s">
        <v>61</v>
      </c>
      <c r="I157" s="5" t="s">
        <v>193</v>
      </c>
      <c r="J157" s="4">
        <v>78</v>
      </c>
      <c r="M157" s="1" t="s">
        <v>211</v>
      </c>
      <c r="N157" s="1" t="s">
        <v>35</v>
      </c>
      <c r="O157" s="1" t="s">
        <v>19</v>
      </c>
      <c r="P157" s="1" t="s">
        <v>31</v>
      </c>
      <c r="Q157" s="4">
        <v>16</v>
      </c>
      <c r="R157" s="4">
        <v>9</v>
      </c>
      <c r="S157" s="1" t="s">
        <v>14</v>
      </c>
      <c r="T157" s="1" t="s">
        <v>37</v>
      </c>
      <c r="U157" s="5" t="s">
        <v>212</v>
      </c>
      <c r="V157" s="4">
        <v>57</v>
      </c>
    </row>
    <row r="158" spans="1:22" x14ac:dyDescent="0.3">
      <c r="A158" s="1" t="s">
        <v>209</v>
      </c>
      <c r="B158" s="1" t="s">
        <v>29</v>
      </c>
      <c r="C158" s="1" t="s">
        <v>30</v>
      </c>
      <c r="D158" s="1" t="s">
        <v>31</v>
      </c>
      <c r="E158" s="4">
        <v>18</v>
      </c>
      <c r="F158" s="4">
        <v>11</v>
      </c>
      <c r="G158" s="1" t="s">
        <v>43</v>
      </c>
      <c r="H158" s="1" t="s">
        <v>20</v>
      </c>
      <c r="I158" s="5" t="s">
        <v>210</v>
      </c>
      <c r="J158" s="4">
        <v>78</v>
      </c>
      <c r="M158" s="1" t="s">
        <v>237</v>
      </c>
      <c r="N158" s="1" t="s">
        <v>23</v>
      </c>
      <c r="O158" s="1" t="s">
        <v>24</v>
      </c>
      <c r="P158" s="1" t="s">
        <v>31</v>
      </c>
      <c r="Q158" s="4">
        <v>16</v>
      </c>
      <c r="R158" s="4">
        <v>10</v>
      </c>
      <c r="S158" s="1" t="s">
        <v>43</v>
      </c>
      <c r="T158" s="1" t="s">
        <v>20</v>
      </c>
      <c r="U158" s="5" t="s">
        <v>238</v>
      </c>
      <c r="V158" s="4">
        <v>71</v>
      </c>
    </row>
    <row r="159" spans="1:22" x14ac:dyDescent="0.3">
      <c r="A159" s="1" t="s">
        <v>373</v>
      </c>
      <c r="B159" s="1" t="s">
        <v>51</v>
      </c>
      <c r="C159" s="1" t="s">
        <v>19</v>
      </c>
      <c r="D159" s="1" t="s">
        <v>13</v>
      </c>
      <c r="E159" s="4">
        <v>15</v>
      </c>
      <c r="F159" s="4">
        <v>11</v>
      </c>
      <c r="G159" s="1" t="s">
        <v>14</v>
      </c>
      <c r="H159" s="1" t="s">
        <v>61</v>
      </c>
      <c r="I159" s="5" t="s">
        <v>374</v>
      </c>
      <c r="J159" s="4">
        <v>78</v>
      </c>
      <c r="M159" s="1" t="s">
        <v>249</v>
      </c>
      <c r="N159" s="1" t="s">
        <v>68</v>
      </c>
      <c r="O159" s="1" t="s">
        <v>30</v>
      </c>
      <c r="P159" s="1" t="s">
        <v>31</v>
      </c>
      <c r="Q159" s="4">
        <v>16</v>
      </c>
      <c r="R159" s="4">
        <v>11</v>
      </c>
      <c r="S159" s="1" t="s">
        <v>32</v>
      </c>
      <c r="T159" s="1" t="s">
        <v>20</v>
      </c>
      <c r="U159" s="5" t="s">
        <v>250</v>
      </c>
      <c r="V159" s="4">
        <v>90</v>
      </c>
    </row>
    <row r="160" spans="1:22" x14ac:dyDescent="0.3">
      <c r="A160" s="1" t="s">
        <v>399</v>
      </c>
      <c r="B160" s="1" t="s">
        <v>35</v>
      </c>
      <c r="C160" s="1" t="s">
        <v>79</v>
      </c>
      <c r="D160" s="1" t="s">
        <v>13</v>
      </c>
      <c r="E160" s="4">
        <v>17</v>
      </c>
      <c r="F160" s="4">
        <v>10</v>
      </c>
      <c r="G160" s="1" t="s">
        <v>43</v>
      </c>
      <c r="H160" s="1" t="s">
        <v>37</v>
      </c>
      <c r="I160" s="5" t="s">
        <v>400</v>
      </c>
      <c r="J160" s="4">
        <v>78</v>
      </c>
      <c r="M160" s="1" t="s">
        <v>251</v>
      </c>
      <c r="N160" s="1" t="s">
        <v>23</v>
      </c>
      <c r="O160" s="1" t="s">
        <v>24</v>
      </c>
      <c r="P160" s="1" t="s">
        <v>13</v>
      </c>
      <c r="Q160" s="4">
        <v>16</v>
      </c>
      <c r="R160" s="4">
        <v>12</v>
      </c>
      <c r="S160" s="1" t="s">
        <v>43</v>
      </c>
      <c r="T160" s="1" t="s">
        <v>40</v>
      </c>
      <c r="U160" s="5" t="s">
        <v>252</v>
      </c>
      <c r="V160" s="4">
        <v>50</v>
      </c>
    </row>
    <row r="161" spans="1:22" x14ac:dyDescent="0.3">
      <c r="A161" s="1" t="s">
        <v>848</v>
      </c>
      <c r="B161" s="1" t="s">
        <v>18</v>
      </c>
      <c r="C161" s="1" t="s">
        <v>24</v>
      </c>
      <c r="D161" s="1" t="s">
        <v>31</v>
      </c>
      <c r="E161" s="4">
        <v>16</v>
      </c>
      <c r="F161" s="4">
        <v>10</v>
      </c>
      <c r="G161" s="1" t="s">
        <v>25</v>
      </c>
      <c r="H161" s="1" t="s">
        <v>61</v>
      </c>
      <c r="I161" s="5" t="s">
        <v>849</v>
      </c>
      <c r="J161" s="4">
        <v>78</v>
      </c>
      <c r="M161" s="1" t="s">
        <v>268</v>
      </c>
      <c r="N161" s="1" t="s">
        <v>68</v>
      </c>
      <c r="O161" s="1" t="s">
        <v>24</v>
      </c>
      <c r="P161" s="1" t="s">
        <v>31</v>
      </c>
      <c r="Q161" s="4">
        <v>16</v>
      </c>
      <c r="R161" s="4">
        <v>12</v>
      </c>
      <c r="S161" s="1" t="s">
        <v>43</v>
      </c>
      <c r="T161" s="1" t="s">
        <v>26</v>
      </c>
      <c r="U161" s="5" t="s">
        <v>269</v>
      </c>
      <c r="V161" s="4">
        <v>47</v>
      </c>
    </row>
    <row r="162" spans="1:22" x14ac:dyDescent="0.3">
      <c r="A162" s="1" t="s">
        <v>856</v>
      </c>
      <c r="B162" s="1" t="s">
        <v>29</v>
      </c>
      <c r="C162" s="1" t="s">
        <v>85</v>
      </c>
      <c r="D162" s="1" t="s">
        <v>13</v>
      </c>
      <c r="E162" s="4">
        <v>16</v>
      </c>
      <c r="F162" s="4">
        <v>9</v>
      </c>
      <c r="G162" s="1" t="s">
        <v>14</v>
      </c>
      <c r="H162" s="1" t="s">
        <v>61</v>
      </c>
      <c r="I162" s="5" t="s">
        <v>262</v>
      </c>
      <c r="J162" s="4">
        <v>78</v>
      </c>
      <c r="M162" s="1" t="s">
        <v>283</v>
      </c>
      <c r="N162" s="1" t="s">
        <v>68</v>
      </c>
      <c r="O162" s="1" t="s">
        <v>79</v>
      </c>
      <c r="P162" s="1" t="s">
        <v>31</v>
      </c>
      <c r="Q162" s="4">
        <v>16</v>
      </c>
      <c r="R162" s="4">
        <v>11</v>
      </c>
      <c r="S162" s="1" t="s">
        <v>32</v>
      </c>
      <c r="T162" s="1" t="s">
        <v>40</v>
      </c>
      <c r="U162" s="5" t="s">
        <v>284</v>
      </c>
      <c r="V162" s="4">
        <v>95</v>
      </c>
    </row>
    <row r="163" spans="1:22" x14ac:dyDescent="0.3">
      <c r="A163" s="1" t="s">
        <v>108</v>
      </c>
      <c r="B163" s="1" t="s">
        <v>29</v>
      </c>
      <c r="C163" s="1" t="s">
        <v>96</v>
      </c>
      <c r="D163" s="1" t="s">
        <v>31</v>
      </c>
      <c r="E163" s="4">
        <v>15</v>
      </c>
      <c r="F163" s="4">
        <v>11</v>
      </c>
      <c r="G163" s="1" t="s">
        <v>43</v>
      </c>
      <c r="H163" s="1" t="s">
        <v>26</v>
      </c>
      <c r="I163" s="5" t="s">
        <v>109</v>
      </c>
      <c r="J163" s="4">
        <v>77</v>
      </c>
      <c r="M163" s="1" t="s">
        <v>291</v>
      </c>
      <c r="N163" s="1" t="s">
        <v>11</v>
      </c>
      <c r="O163" s="1" t="s">
        <v>30</v>
      </c>
      <c r="P163" s="1" t="s">
        <v>31</v>
      </c>
      <c r="Q163" s="4">
        <v>16</v>
      </c>
      <c r="R163" s="4">
        <v>9</v>
      </c>
      <c r="S163" s="1" t="s">
        <v>25</v>
      </c>
      <c r="T163" s="1" t="s">
        <v>61</v>
      </c>
      <c r="U163" s="5" t="s">
        <v>292</v>
      </c>
      <c r="V163" s="4">
        <v>97</v>
      </c>
    </row>
    <row r="164" spans="1:22" x14ac:dyDescent="0.3">
      <c r="A164" s="1" t="s">
        <v>154</v>
      </c>
      <c r="B164" s="1" t="s">
        <v>51</v>
      </c>
      <c r="C164" s="1" t="s">
        <v>36</v>
      </c>
      <c r="D164" s="1" t="s">
        <v>31</v>
      </c>
      <c r="E164" s="4">
        <v>18</v>
      </c>
      <c r="F164" s="4">
        <v>12</v>
      </c>
      <c r="G164" s="1" t="s">
        <v>43</v>
      </c>
      <c r="H164" s="1" t="s">
        <v>76</v>
      </c>
      <c r="I164" s="5" t="s">
        <v>155</v>
      </c>
      <c r="J164" s="4">
        <v>77</v>
      </c>
      <c r="M164" s="1" t="s">
        <v>306</v>
      </c>
      <c r="N164" s="1" t="s">
        <v>23</v>
      </c>
      <c r="O164" s="1" t="s">
        <v>19</v>
      </c>
      <c r="P164" s="1" t="s">
        <v>31</v>
      </c>
      <c r="Q164" s="4">
        <v>16</v>
      </c>
      <c r="R164" s="4">
        <v>10</v>
      </c>
      <c r="S164" s="1" t="s">
        <v>43</v>
      </c>
      <c r="T164" s="1" t="s">
        <v>61</v>
      </c>
      <c r="U164" s="5" t="s">
        <v>307</v>
      </c>
      <c r="V164" s="4">
        <v>47</v>
      </c>
    </row>
    <row r="165" spans="1:22" x14ac:dyDescent="0.3">
      <c r="A165" s="1" t="s">
        <v>304</v>
      </c>
      <c r="B165" s="1" t="s">
        <v>51</v>
      </c>
      <c r="C165" s="1" t="s">
        <v>36</v>
      </c>
      <c r="D165" s="1" t="s">
        <v>31</v>
      </c>
      <c r="E165" s="4">
        <v>15</v>
      </c>
      <c r="F165" s="4">
        <v>12</v>
      </c>
      <c r="G165" s="1" t="s">
        <v>32</v>
      </c>
      <c r="H165" s="1" t="s">
        <v>46</v>
      </c>
      <c r="I165" s="5" t="s">
        <v>305</v>
      </c>
      <c r="J165" s="4">
        <v>77</v>
      </c>
      <c r="M165" s="1" t="s">
        <v>310</v>
      </c>
      <c r="N165" s="1" t="s">
        <v>29</v>
      </c>
      <c r="O165" s="1" t="s">
        <v>96</v>
      </c>
      <c r="P165" s="1" t="s">
        <v>31</v>
      </c>
      <c r="Q165" s="4">
        <v>16</v>
      </c>
      <c r="R165" s="4">
        <v>9</v>
      </c>
      <c r="S165" s="1" t="s">
        <v>32</v>
      </c>
      <c r="T165" s="1" t="s">
        <v>46</v>
      </c>
      <c r="U165" s="5" t="s">
        <v>311</v>
      </c>
      <c r="V165" s="4">
        <v>67</v>
      </c>
    </row>
    <row r="166" spans="1:22" x14ac:dyDescent="0.3">
      <c r="A166" s="1" t="s">
        <v>505</v>
      </c>
      <c r="B166" s="1" t="s">
        <v>11</v>
      </c>
      <c r="C166" s="1" t="s">
        <v>12</v>
      </c>
      <c r="D166" s="1" t="s">
        <v>31</v>
      </c>
      <c r="E166" s="4">
        <v>19</v>
      </c>
      <c r="F166" s="4">
        <v>10</v>
      </c>
      <c r="G166" s="1" t="s">
        <v>14</v>
      </c>
      <c r="H166" s="1" t="s">
        <v>40</v>
      </c>
      <c r="I166" s="5" t="s">
        <v>506</v>
      </c>
      <c r="J166" s="4">
        <v>77</v>
      </c>
      <c r="M166" s="1" t="s">
        <v>320</v>
      </c>
      <c r="N166" s="1" t="s">
        <v>84</v>
      </c>
      <c r="O166" s="1" t="s">
        <v>55</v>
      </c>
      <c r="P166" s="1" t="s">
        <v>31</v>
      </c>
      <c r="Q166" s="4">
        <v>16</v>
      </c>
      <c r="R166" s="4">
        <v>12</v>
      </c>
      <c r="S166" s="1" t="s">
        <v>32</v>
      </c>
      <c r="T166" s="1" t="s">
        <v>76</v>
      </c>
      <c r="U166" s="5" t="s">
        <v>321</v>
      </c>
      <c r="V166" s="4">
        <v>66</v>
      </c>
    </row>
    <row r="167" spans="1:22" x14ac:dyDescent="0.3">
      <c r="A167" s="1" t="s">
        <v>557</v>
      </c>
      <c r="B167" s="1" t="s">
        <v>23</v>
      </c>
      <c r="C167" s="1" t="s">
        <v>96</v>
      </c>
      <c r="D167" s="1" t="s">
        <v>13</v>
      </c>
      <c r="E167" s="4">
        <v>18</v>
      </c>
      <c r="F167" s="4">
        <v>11</v>
      </c>
      <c r="G167" s="1" t="s">
        <v>25</v>
      </c>
      <c r="H167" s="1" t="s">
        <v>76</v>
      </c>
      <c r="I167" s="5" t="s">
        <v>182</v>
      </c>
      <c r="J167" s="4">
        <v>77</v>
      </c>
      <c r="M167" s="1" t="s">
        <v>324</v>
      </c>
      <c r="N167" s="1" t="s">
        <v>23</v>
      </c>
      <c r="O167" s="1" t="s">
        <v>85</v>
      </c>
      <c r="P167" s="1" t="s">
        <v>31</v>
      </c>
      <c r="Q167" s="4">
        <v>16</v>
      </c>
      <c r="R167" s="4">
        <v>9</v>
      </c>
      <c r="S167" s="1" t="s">
        <v>32</v>
      </c>
      <c r="T167" s="1" t="s">
        <v>61</v>
      </c>
      <c r="U167" s="5" t="s">
        <v>325</v>
      </c>
      <c r="V167" s="4">
        <v>54</v>
      </c>
    </row>
    <row r="168" spans="1:22" x14ac:dyDescent="0.3">
      <c r="A168" s="1" t="s">
        <v>620</v>
      </c>
      <c r="B168" s="1" t="s">
        <v>84</v>
      </c>
      <c r="C168" s="1" t="s">
        <v>24</v>
      </c>
      <c r="D168" s="1" t="s">
        <v>31</v>
      </c>
      <c r="E168" s="4">
        <v>19</v>
      </c>
      <c r="F168" s="4">
        <v>12</v>
      </c>
      <c r="G168" s="1" t="s">
        <v>14</v>
      </c>
      <c r="H168" s="1" t="s">
        <v>61</v>
      </c>
      <c r="I168" s="5" t="s">
        <v>621</v>
      </c>
      <c r="J168" s="4">
        <v>77</v>
      </c>
      <c r="M168" s="1" t="s">
        <v>332</v>
      </c>
      <c r="N168" s="1" t="s">
        <v>29</v>
      </c>
      <c r="O168" s="1" t="s">
        <v>12</v>
      </c>
      <c r="P168" s="1" t="s">
        <v>31</v>
      </c>
      <c r="Q168" s="4">
        <v>16</v>
      </c>
      <c r="R168" s="4">
        <v>11</v>
      </c>
      <c r="S168" s="1" t="s">
        <v>32</v>
      </c>
      <c r="T168" s="1" t="s">
        <v>76</v>
      </c>
      <c r="U168" s="5" t="s">
        <v>333</v>
      </c>
      <c r="V168" s="4">
        <v>42</v>
      </c>
    </row>
    <row r="169" spans="1:22" x14ac:dyDescent="0.3">
      <c r="A169" s="1" t="s">
        <v>648</v>
      </c>
      <c r="B169" s="1" t="s">
        <v>51</v>
      </c>
      <c r="C169" s="1" t="s">
        <v>79</v>
      </c>
      <c r="D169" s="1" t="s">
        <v>13</v>
      </c>
      <c r="E169" s="4">
        <v>14</v>
      </c>
      <c r="F169" s="4">
        <v>9</v>
      </c>
      <c r="G169" s="1" t="s">
        <v>25</v>
      </c>
      <c r="H169" s="1" t="s">
        <v>15</v>
      </c>
      <c r="I169" s="5" t="s">
        <v>649</v>
      </c>
      <c r="J169" s="4">
        <v>77</v>
      </c>
      <c r="M169" s="1" t="s">
        <v>357</v>
      </c>
      <c r="N169" s="1" t="s">
        <v>23</v>
      </c>
      <c r="O169" s="1" t="s">
        <v>24</v>
      </c>
      <c r="P169" s="1" t="s">
        <v>13</v>
      </c>
      <c r="Q169" s="4">
        <v>16</v>
      </c>
      <c r="R169" s="4">
        <v>9</v>
      </c>
      <c r="S169" s="1" t="s">
        <v>25</v>
      </c>
      <c r="T169" s="1" t="s">
        <v>20</v>
      </c>
      <c r="U169" s="5" t="s">
        <v>358</v>
      </c>
      <c r="V169" s="4">
        <v>66</v>
      </c>
    </row>
    <row r="170" spans="1:22" x14ac:dyDescent="0.3">
      <c r="A170" s="1" t="s">
        <v>733</v>
      </c>
      <c r="B170" s="1" t="s">
        <v>84</v>
      </c>
      <c r="C170" s="1" t="s">
        <v>85</v>
      </c>
      <c r="D170" s="1" t="s">
        <v>31</v>
      </c>
      <c r="E170" s="4">
        <v>17</v>
      </c>
      <c r="F170" s="4">
        <v>12</v>
      </c>
      <c r="G170" s="1" t="s">
        <v>43</v>
      </c>
      <c r="H170" s="1" t="s">
        <v>15</v>
      </c>
      <c r="I170" s="5" t="s">
        <v>734</v>
      </c>
      <c r="J170" s="4">
        <v>77</v>
      </c>
      <c r="M170" s="1" t="s">
        <v>365</v>
      </c>
      <c r="N170" s="1" t="s">
        <v>11</v>
      </c>
      <c r="O170" s="1" t="s">
        <v>55</v>
      </c>
      <c r="P170" s="1" t="s">
        <v>13</v>
      </c>
      <c r="Q170" s="4">
        <v>16</v>
      </c>
      <c r="R170" s="4">
        <v>10</v>
      </c>
      <c r="S170" s="1" t="s">
        <v>32</v>
      </c>
      <c r="T170" s="1" t="s">
        <v>15</v>
      </c>
      <c r="U170" s="5" t="s">
        <v>366</v>
      </c>
      <c r="V170" s="4">
        <v>72</v>
      </c>
    </row>
    <row r="171" spans="1:22" x14ac:dyDescent="0.3">
      <c r="A171" s="1" t="s">
        <v>797</v>
      </c>
      <c r="B171" s="1" t="s">
        <v>23</v>
      </c>
      <c r="C171" s="1" t="s">
        <v>85</v>
      </c>
      <c r="D171" s="1" t="s">
        <v>13</v>
      </c>
      <c r="E171" s="4">
        <v>17</v>
      </c>
      <c r="F171" s="4">
        <v>12</v>
      </c>
      <c r="G171" s="1" t="s">
        <v>14</v>
      </c>
      <c r="H171" s="1" t="s">
        <v>76</v>
      </c>
      <c r="I171" s="5" t="s">
        <v>71</v>
      </c>
      <c r="J171" s="4">
        <v>77</v>
      </c>
      <c r="M171" s="1" t="s">
        <v>382</v>
      </c>
      <c r="N171" s="1" t="s">
        <v>51</v>
      </c>
      <c r="O171" s="1" t="s">
        <v>85</v>
      </c>
      <c r="P171" s="1" t="s">
        <v>13</v>
      </c>
      <c r="Q171" s="4">
        <v>16</v>
      </c>
      <c r="R171" s="4">
        <v>10</v>
      </c>
      <c r="S171" s="1" t="s">
        <v>43</v>
      </c>
      <c r="T171" s="1" t="s">
        <v>61</v>
      </c>
      <c r="U171" s="5" t="s">
        <v>383</v>
      </c>
      <c r="V171" s="4">
        <v>72</v>
      </c>
    </row>
    <row r="172" spans="1:22" x14ac:dyDescent="0.3">
      <c r="A172" s="1" t="s">
        <v>923</v>
      </c>
      <c r="B172" s="1" t="s">
        <v>68</v>
      </c>
      <c r="C172" s="1" t="s">
        <v>55</v>
      </c>
      <c r="D172" s="1" t="s">
        <v>31</v>
      </c>
      <c r="E172" s="4">
        <v>16</v>
      </c>
      <c r="F172" s="4">
        <v>12</v>
      </c>
      <c r="G172" s="1" t="s">
        <v>43</v>
      </c>
      <c r="H172" s="1" t="s">
        <v>37</v>
      </c>
      <c r="I172" s="5" t="s">
        <v>924</v>
      </c>
      <c r="J172" s="4">
        <v>77</v>
      </c>
      <c r="M172" s="1" t="s">
        <v>384</v>
      </c>
      <c r="N172" s="1" t="s">
        <v>54</v>
      </c>
      <c r="O172" s="1" t="s">
        <v>19</v>
      </c>
      <c r="P172" s="1" t="s">
        <v>31</v>
      </c>
      <c r="Q172" s="4">
        <v>16</v>
      </c>
      <c r="R172" s="4">
        <v>12</v>
      </c>
      <c r="S172" s="1" t="s">
        <v>25</v>
      </c>
      <c r="T172" s="1" t="s">
        <v>20</v>
      </c>
      <c r="U172" s="5" t="s">
        <v>385</v>
      </c>
      <c r="V172" s="4">
        <v>39</v>
      </c>
    </row>
    <row r="173" spans="1:22" x14ac:dyDescent="0.3">
      <c r="A173" s="1" t="s">
        <v>72</v>
      </c>
      <c r="B173" s="1" t="s">
        <v>73</v>
      </c>
      <c r="C173" s="1" t="s">
        <v>58</v>
      </c>
      <c r="D173" s="1" t="s">
        <v>31</v>
      </c>
      <c r="E173" s="4">
        <v>19</v>
      </c>
      <c r="F173" s="4">
        <v>9</v>
      </c>
      <c r="G173" s="1" t="s">
        <v>32</v>
      </c>
      <c r="H173" s="1" t="s">
        <v>46</v>
      </c>
      <c r="I173" s="5" t="s">
        <v>74</v>
      </c>
      <c r="J173" s="4">
        <v>76</v>
      </c>
      <c r="M173" s="1" t="s">
        <v>407</v>
      </c>
      <c r="N173" s="1" t="s">
        <v>29</v>
      </c>
      <c r="O173" s="1" t="s">
        <v>12</v>
      </c>
      <c r="P173" s="1" t="s">
        <v>31</v>
      </c>
      <c r="Q173" s="4">
        <v>16</v>
      </c>
      <c r="R173" s="4">
        <v>10</v>
      </c>
      <c r="S173" s="1" t="s">
        <v>14</v>
      </c>
      <c r="T173" s="1" t="s">
        <v>40</v>
      </c>
      <c r="U173" s="5" t="s">
        <v>71</v>
      </c>
      <c r="V173" s="4">
        <v>100</v>
      </c>
    </row>
    <row r="174" spans="1:22" x14ac:dyDescent="0.3">
      <c r="A174" s="1" t="s">
        <v>175</v>
      </c>
      <c r="B174" s="1" t="s">
        <v>35</v>
      </c>
      <c r="C174" s="1" t="s">
        <v>30</v>
      </c>
      <c r="D174" s="1" t="s">
        <v>31</v>
      </c>
      <c r="E174" s="4">
        <v>20</v>
      </c>
      <c r="F174" s="4">
        <v>9</v>
      </c>
      <c r="G174" s="1" t="s">
        <v>14</v>
      </c>
      <c r="H174" s="1" t="s">
        <v>61</v>
      </c>
      <c r="I174" s="5" t="s">
        <v>176</v>
      </c>
      <c r="J174" s="4">
        <v>76</v>
      </c>
      <c r="M174" s="1" t="s">
        <v>412</v>
      </c>
      <c r="N174" s="1" t="s">
        <v>73</v>
      </c>
      <c r="O174" s="1" t="s">
        <v>55</v>
      </c>
      <c r="P174" s="1" t="s">
        <v>13</v>
      </c>
      <c r="Q174" s="4">
        <v>16</v>
      </c>
      <c r="R174" s="4">
        <v>12</v>
      </c>
      <c r="S174" s="1" t="s">
        <v>32</v>
      </c>
      <c r="T174" s="1" t="s">
        <v>46</v>
      </c>
      <c r="U174" s="5" t="s">
        <v>413</v>
      </c>
      <c r="V174" s="4">
        <v>85</v>
      </c>
    </row>
    <row r="175" spans="1:22" x14ac:dyDescent="0.3">
      <c r="A175" s="1" t="s">
        <v>194</v>
      </c>
      <c r="B175" s="1" t="s">
        <v>23</v>
      </c>
      <c r="C175" s="1" t="s">
        <v>19</v>
      </c>
      <c r="D175" s="1" t="s">
        <v>31</v>
      </c>
      <c r="E175" s="4">
        <v>20</v>
      </c>
      <c r="F175" s="4">
        <v>9</v>
      </c>
      <c r="G175" s="1" t="s">
        <v>25</v>
      </c>
      <c r="H175" s="1" t="s">
        <v>76</v>
      </c>
      <c r="I175" s="5" t="s">
        <v>195</v>
      </c>
      <c r="J175" s="4">
        <v>76</v>
      </c>
      <c r="M175" s="1" t="s">
        <v>414</v>
      </c>
      <c r="N175" s="1" t="s">
        <v>11</v>
      </c>
      <c r="O175" s="1" t="s">
        <v>55</v>
      </c>
      <c r="P175" s="1" t="s">
        <v>13</v>
      </c>
      <c r="Q175" s="4">
        <v>16</v>
      </c>
      <c r="R175" s="4">
        <v>12</v>
      </c>
      <c r="S175" s="1" t="s">
        <v>32</v>
      </c>
      <c r="T175" s="1" t="s">
        <v>37</v>
      </c>
      <c r="U175" s="5" t="s">
        <v>415</v>
      </c>
      <c r="V175" s="4">
        <v>47</v>
      </c>
    </row>
    <row r="176" spans="1:22" x14ac:dyDescent="0.3">
      <c r="A176" s="1" t="s">
        <v>207</v>
      </c>
      <c r="B176" s="1" t="s">
        <v>54</v>
      </c>
      <c r="C176" s="1" t="s">
        <v>19</v>
      </c>
      <c r="D176" s="1" t="s">
        <v>31</v>
      </c>
      <c r="E176" s="4">
        <v>19</v>
      </c>
      <c r="F176" s="4">
        <v>9</v>
      </c>
      <c r="G176" s="1" t="s">
        <v>14</v>
      </c>
      <c r="H176" s="1" t="s">
        <v>61</v>
      </c>
      <c r="I176" s="5" t="s">
        <v>208</v>
      </c>
      <c r="J176" s="4">
        <v>76</v>
      </c>
      <c r="M176" s="1" t="s">
        <v>420</v>
      </c>
      <c r="N176" s="1" t="s">
        <v>73</v>
      </c>
      <c r="O176" s="1" t="s">
        <v>85</v>
      </c>
      <c r="P176" s="1" t="s">
        <v>13</v>
      </c>
      <c r="Q176" s="4">
        <v>16</v>
      </c>
      <c r="R176" s="4">
        <v>11</v>
      </c>
      <c r="S176" s="1" t="s">
        <v>43</v>
      </c>
      <c r="T176" s="1" t="s">
        <v>46</v>
      </c>
      <c r="U176" s="5" t="s">
        <v>421</v>
      </c>
      <c r="V176" s="4">
        <v>55</v>
      </c>
    </row>
    <row r="177" spans="1:22" x14ac:dyDescent="0.3">
      <c r="A177" s="1" t="s">
        <v>270</v>
      </c>
      <c r="B177" s="1" t="s">
        <v>73</v>
      </c>
      <c r="C177" s="1" t="s">
        <v>30</v>
      </c>
      <c r="D177" s="1" t="s">
        <v>31</v>
      </c>
      <c r="E177" s="4">
        <v>15</v>
      </c>
      <c r="F177" s="4">
        <v>9</v>
      </c>
      <c r="G177" s="1" t="s">
        <v>43</v>
      </c>
      <c r="H177" s="1" t="s">
        <v>26</v>
      </c>
      <c r="I177" s="5" t="s">
        <v>271</v>
      </c>
      <c r="J177" s="4">
        <v>76</v>
      </c>
      <c r="M177" s="1" t="s">
        <v>424</v>
      </c>
      <c r="N177" s="1" t="s">
        <v>29</v>
      </c>
      <c r="O177" s="1" t="s">
        <v>36</v>
      </c>
      <c r="P177" s="1" t="s">
        <v>31</v>
      </c>
      <c r="Q177" s="4">
        <v>16</v>
      </c>
      <c r="R177" s="4">
        <v>12</v>
      </c>
      <c r="S177" s="1" t="s">
        <v>32</v>
      </c>
      <c r="T177" s="1" t="s">
        <v>37</v>
      </c>
      <c r="U177" s="5" t="s">
        <v>180</v>
      </c>
      <c r="V177" s="4">
        <v>89</v>
      </c>
    </row>
    <row r="178" spans="1:22" x14ac:dyDescent="0.3">
      <c r="A178" s="1" t="s">
        <v>501</v>
      </c>
      <c r="B178" s="1" t="s">
        <v>84</v>
      </c>
      <c r="C178" s="1" t="s">
        <v>19</v>
      </c>
      <c r="D178" s="1" t="s">
        <v>13</v>
      </c>
      <c r="E178" s="4">
        <v>18</v>
      </c>
      <c r="F178" s="4">
        <v>10</v>
      </c>
      <c r="G178" s="1" t="s">
        <v>14</v>
      </c>
      <c r="H178" s="1" t="s">
        <v>61</v>
      </c>
      <c r="I178" s="5" t="s">
        <v>502</v>
      </c>
      <c r="J178" s="4">
        <v>76</v>
      </c>
      <c r="M178" s="1" t="s">
        <v>426</v>
      </c>
      <c r="N178" s="1" t="s">
        <v>54</v>
      </c>
      <c r="O178" s="1" t="s">
        <v>96</v>
      </c>
      <c r="P178" s="1" t="s">
        <v>31</v>
      </c>
      <c r="Q178" s="4">
        <v>16</v>
      </c>
      <c r="R178" s="4">
        <v>12</v>
      </c>
      <c r="S178" s="1" t="s">
        <v>25</v>
      </c>
      <c r="T178" s="1" t="s">
        <v>20</v>
      </c>
      <c r="U178" s="5" t="s">
        <v>427</v>
      </c>
      <c r="V178" s="4">
        <v>82</v>
      </c>
    </row>
    <row r="179" spans="1:22" x14ac:dyDescent="0.3">
      <c r="A179" s="1" t="s">
        <v>601</v>
      </c>
      <c r="B179" s="1" t="s">
        <v>73</v>
      </c>
      <c r="C179" s="1" t="s">
        <v>55</v>
      </c>
      <c r="D179" s="1" t="s">
        <v>31</v>
      </c>
      <c r="E179" s="4">
        <v>17</v>
      </c>
      <c r="F179" s="4">
        <v>11</v>
      </c>
      <c r="G179" s="1" t="s">
        <v>43</v>
      </c>
      <c r="H179" s="1" t="s">
        <v>61</v>
      </c>
      <c r="I179" s="5" t="s">
        <v>502</v>
      </c>
      <c r="J179" s="4">
        <v>76</v>
      </c>
      <c r="M179" s="1" t="s">
        <v>428</v>
      </c>
      <c r="N179" s="1" t="s">
        <v>54</v>
      </c>
      <c r="O179" s="1" t="s">
        <v>55</v>
      </c>
      <c r="P179" s="1" t="s">
        <v>13</v>
      </c>
      <c r="Q179" s="4">
        <v>16</v>
      </c>
      <c r="R179" s="4">
        <v>11</v>
      </c>
      <c r="S179" s="1" t="s">
        <v>25</v>
      </c>
      <c r="T179" s="1" t="s">
        <v>15</v>
      </c>
      <c r="U179" s="5" t="s">
        <v>429</v>
      </c>
      <c r="V179" s="4">
        <v>86</v>
      </c>
    </row>
    <row r="180" spans="1:22" x14ac:dyDescent="0.3">
      <c r="A180" s="1" t="s">
        <v>778</v>
      </c>
      <c r="B180" s="1" t="s">
        <v>73</v>
      </c>
      <c r="C180" s="1" t="s">
        <v>19</v>
      </c>
      <c r="D180" s="1" t="s">
        <v>13</v>
      </c>
      <c r="E180" s="4">
        <v>17</v>
      </c>
      <c r="F180" s="4">
        <v>12</v>
      </c>
      <c r="G180" s="1" t="s">
        <v>14</v>
      </c>
      <c r="H180" s="1" t="s">
        <v>37</v>
      </c>
      <c r="I180" s="5" t="s">
        <v>779</v>
      </c>
      <c r="J180" s="4">
        <v>76</v>
      </c>
      <c r="M180" s="1" t="s">
        <v>454</v>
      </c>
      <c r="N180" s="1" t="s">
        <v>29</v>
      </c>
      <c r="O180" s="1" t="s">
        <v>12</v>
      </c>
      <c r="P180" s="1" t="s">
        <v>31</v>
      </c>
      <c r="Q180" s="4">
        <v>16</v>
      </c>
      <c r="R180" s="4">
        <v>11</v>
      </c>
      <c r="S180" s="1" t="s">
        <v>43</v>
      </c>
      <c r="T180" s="1" t="s">
        <v>61</v>
      </c>
      <c r="U180" s="5" t="s">
        <v>385</v>
      </c>
      <c r="V180" s="4">
        <v>40</v>
      </c>
    </row>
    <row r="181" spans="1:22" x14ac:dyDescent="0.3">
      <c r="A181" s="1" t="s">
        <v>179</v>
      </c>
      <c r="B181" s="1" t="s">
        <v>29</v>
      </c>
      <c r="C181" s="1" t="s">
        <v>58</v>
      </c>
      <c r="D181" s="1" t="s">
        <v>31</v>
      </c>
      <c r="E181" s="4">
        <v>16</v>
      </c>
      <c r="F181" s="4">
        <v>11</v>
      </c>
      <c r="G181" s="1" t="s">
        <v>25</v>
      </c>
      <c r="H181" s="1" t="s">
        <v>26</v>
      </c>
      <c r="I181" s="5" t="s">
        <v>180</v>
      </c>
      <c r="J181" s="4">
        <v>75</v>
      </c>
      <c r="M181" s="1" t="s">
        <v>455</v>
      </c>
      <c r="N181" s="1" t="s">
        <v>29</v>
      </c>
      <c r="O181" s="1" t="s">
        <v>30</v>
      </c>
      <c r="P181" s="1" t="s">
        <v>13</v>
      </c>
      <c r="Q181" s="4">
        <v>16</v>
      </c>
      <c r="R181" s="4">
        <v>9</v>
      </c>
      <c r="S181" s="1" t="s">
        <v>14</v>
      </c>
      <c r="T181" s="1" t="s">
        <v>61</v>
      </c>
      <c r="U181" s="5" t="s">
        <v>447</v>
      </c>
      <c r="V181" s="4">
        <v>60</v>
      </c>
    </row>
    <row r="182" spans="1:22" x14ac:dyDescent="0.3">
      <c r="A182" s="1" t="s">
        <v>326</v>
      </c>
      <c r="B182" s="1" t="s">
        <v>54</v>
      </c>
      <c r="C182" s="1" t="s">
        <v>55</v>
      </c>
      <c r="D182" s="1" t="s">
        <v>13</v>
      </c>
      <c r="E182" s="4">
        <v>20</v>
      </c>
      <c r="F182" s="4">
        <v>9</v>
      </c>
      <c r="G182" s="1" t="s">
        <v>32</v>
      </c>
      <c r="H182" s="1" t="s">
        <v>15</v>
      </c>
      <c r="I182" s="5" t="s">
        <v>77</v>
      </c>
      <c r="J182" s="4">
        <v>75</v>
      </c>
      <c r="M182" s="1" t="s">
        <v>460</v>
      </c>
      <c r="N182" s="1" t="s">
        <v>51</v>
      </c>
      <c r="O182" s="1" t="s">
        <v>96</v>
      </c>
      <c r="P182" s="1" t="s">
        <v>31</v>
      </c>
      <c r="Q182" s="4">
        <v>16</v>
      </c>
      <c r="R182" s="4">
        <v>12</v>
      </c>
      <c r="S182" s="1" t="s">
        <v>43</v>
      </c>
      <c r="T182" s="1" t="s">
        <v>15</v>
      </c>
      <c r="U182" s="5" t="s">
        <v>461</v>
      </c>
      <c r="V182" s="4">
        <v>65</v>
      </c>
    </row>
    <row r="183" spans="1:22" x14ac:dyDescent="0.3">
      <c r="A183" s="1" t="s">
        <v>468</v>
      </c>
      <c r="B183" s="1" t="s">
        <v>73</v>
      </c>
      <c r="C183" s="1" t="s">
        <v>12</v>
      </c>
      <c r="D183" s="1" t="s">
        <v>13</v>
      </c>
      <c r="E183" s="4">
        <v>17</v>
      </c>
      <c r="F183" s="4">
        <v>10</v>
      </c>
      <c r="G183" s="1" t="s">
        <v>43</v>
      </c>
      <c r="H183" s="1" t="s">
        <v>15</v>
      </c>
      <c r="I183" s="5" t="s">
        <v>469</v>
      </c>
      <c r="J183" s="4">
        <v>75</v>
      </c>
      <c r="M183" s="1" t="s">
        <v>464</v>
      </c>
      <c r="N183" s="1" t="s">
        <v>11</v>
      </c>
      <c r="O183" s="1" t="s">
        <v>36</v>
      </c>
      <c r="P183" s="1" t="s">
        <v>13</v>
      </c>
      <c r="Q183" s="4">
        <v>16</v>
      </c>
      <c r="R183" s="4">
        <v>11</v>
      </c>
      <c r="S183" s="1" t="s">
        <v>25</v>
      </c>
      <c r="T183" s="1" t="s">
        <v>40</v>
      </c>
      <c r="U183" s="5" t="s">
        <v>465</v>
      </c>
      <c r="V183" s="4">
        <v>79</v>
      </c>
    </row>
    <row r="184" spans="1:22" x14ac:dyDescent="0.3">
      <c r="A184" s="1" t="s">
        <v>473</v>
      </c>
      <c r="B184" s="1" t="s">
        <v>18</v>
      </c>
      <c r="C184" s="1" t="s">
        <v>19</v>
      </c>
      <c r="D184" s="1" t="s">
        <v>31</v>
      </c>
      <c r="E184" s="4">
        <v>16</v>
      </c>
      <c r="F184" s="4">
        <v>11</v>
      </c>
      <c r="G184" s="1" t="s">
        <v>14</v>
      </c>
      <c r="H184" s="1" t="s">
        <v>61</v>
      </c>
      <c r="I184" s="5" t="s">
        <v>474</v>
      </c>
      <c r="J184" s="4">
        <v>75</v>
      </c>
      <c r="M184" s="1" t="s">
        <v>470</v>
      </c>
      <c r="N184" s="1" t="s">
        <v>35</v>
      </c>
      <c r="O184" s="1" t="s">
        <v>96</v>
      </c>
      <c r="P184" s="1" t="s">
        <v>31</v>
      </c>
      <c r="Q184" s="4">
        <v>16</v>
      </c>
      <c r="R184" s="4">
        <v>11</v>
      </c>
      <c r="S184" s="1" t="s">
        <v>32</v>
      </c>
      <c r="T184" s="1" t="s">
        <v>61</v>
      </c>
      <c r="U184" s="5" t="s">
        <v>471</v>
      </c>
      <c r="V184" s="4">
        <v>65</v>
      </c>
    </row>
    <row r="185" spans="1:22" x14ac:dyDescent="0.3">
      <c r="A185" s="1" t="s">
        <v>697</v>
      </c>
      <c r="B185" s="1" t="s">
        <v>29</v>
      </c>
      <c r="C185" s="1" t="s">
        <v>30</v>
      </c>
      <c r="D185" s="1" t="s">
        <v>31</v>
      </c>
      <c r="E185" s="4">
        <v>19</v>
      </c>
      <c r="F185" s="4">
        <v>10</v>
      </c>
      <c r="G185" s="1" t="s">
        <v>25</v>
      </c>
      <c r="H185" s="1" t="s">
        <v>61</v>
      </c>
      <c r="I185" s="5" t="s">
        <v>698</v>
      </c>
      <c r="J185" s="4">
        <v>75</v>
      </c>
      <c r="M185" s="1" t="s">
        <v>473</v>
      </c>
      <c r="N185" s="1" t="s">
        <v>18</v>
      </c>
      <c r="O185" s="1" t="s">
        <v>19</v>
      </c>
      <c r="P185" s="1" t="s">
        <v>31</v>
      </c>
      <c r="Q185" s="4">
        <v>16</v>
      </c>
      <c r="R185" s="4">
        <v>11</v>
      </c>
      <c r="S185" s="1" t="s">
        <v>14</v>
      </c>
      <c r="T185" s="1" t="s">
        <v>61</v>
      </c>
      <c r="U185" s="5" t="s">
        <v>474</v>
      </c>
      <c r="V185" s="4">
        <v>75</v>
      </c>
    </row>
    <row r="186" spans="1:22" x14ac:dyDescent="0.3">
      <c r="A186" s="1" t="s">
        <v>901</v>
      </c>
      <c r="B186" s="1" t="s">
        <v>68</v>
      </c>
      <c r="C186" s="1" t="s">
        <v>19</v>
      </c>
      <c r="D186" s="1" t="s">
        <v>31</v>
      </c>
      <c r="E186" s="4">
        <v>18</v>
      </c>
      <c r="F186" s="4">
        <v>11</v>
      </c>
      <c r="G186" s="1" t="s">
        <v>14</v>
      </c>
      <c r="H186" s="1" t="s">
        <v>40</v>
      </c>
      <c r="I186" s="5" t="s">
        <v>139</v>
      </c>
      <c r="J186" s="4">
        <v>75</v>
      </c>
      <c r="M186" s="1" t="s">
        <v>485</v>
      </c>
      <c r="N186" s="1" t="s">
        <v>18</v>
      </c>
      <c r="O186" s="1" t="s">
        <v>12</v>
      </c>
      <c r="P186" s="1" t="s">
        <v>31</v>
      </c>
      <c r="Q186" s="4">
        <v>16</v>
      </c>
      <c r="R186" s="4">
        <v>12</v>
      </c>
      <c r="S186" s="1" t="s">
        <v>14</v>
      </c>
      <c r="T186" s="1" t="s">
        <v>76</v>
      </c>
      <c r="U186" s="5" t="s">
        <v>486</v>
      </c>
      <c r="V186" s="4">
        <v>70</v>
      </c>
    </row>
    <row r="187" spans="1:22" x14ac:dyDescent="0.3">
      <c r="A187" s="1" t="s">
        <v>906</v>
      </c>
      <c r="B187" s="1" t="s">
        <v>73</v>
      </c>
      <c r="C187" s="1" t="s">
        <v>36</v>
      </c>
      <c r="D187" s="1" t="s">
        <v>13</v>
      </c>
      <c r="E187" s="4">
        <v>17</v>
      </c>
      <c r="F187" s="4">
        <v>12</v>
      </c>
      <c r="G187" s="1" t="s">
        <v>25</v>
      </c>
      <c r="H187" s="1" t="s">
        <v>76</v>
      </c>
      <c r="I187" s="5" t="s">
        <v>907</v>
      </c>
      <c r="J187" s="4">
        <v>75</v>
      </c>
      <c r="M187" s="1" t="s">
        <v>487</v>
      </c>
      <c r="N187" s="1" t="s">
        <v>18</v>
      </c>
      <c r="O187" s="1" t="s">
        <v>79</v>
      </c>
      <c r="P187" s="1" t="s">
        <v>13</v>
      </c>
      <c r="Q187" s="4">
        <v>16</v>
      </c>
      <c r="R187" s="4">
        <v>11</v>
      </c>
      <c r="S187" s="1" t="s">
        <v>43</v>
      </c>
      <c r="T187" s="1" t="s">
        <v>61</v>
      </c>
      <c r="U187" s="5" t="s">
        <v>488</v>
      </c>
      <c r="V187" s="4">
        <v>86</v>
      </c>
    </row>
    <row r="188" spans="1:22" x14ac:dyDescent="0.3">
      <c r="A188" s="1" t="s">
        <v>213</v>
      </c>
      <c r="B188" s="1" t="s">
        <v>29</v>
      </c>
      <c r="C188" s="1" t="s">
        <v>24</v>
      </c>
      <c r="D188" s="1" t="s">
        <v>31</v>
      </c>
      <c r="E188" s="4">
        <v>17</v>
      </c>
      <c r="F188" s="4">
        <v>11</v>
      </c>
      <c r="G188" s="1" t="s">
        <v>14</v>
      </c>
      <c r="H188" s="1" t="s">
        <v>76</v>
      </c>
      <c r="I188" s="5" t="s">
        <v>214</v>
      </c>
      <c r="J188" s="4">
        <v>74</v>
      </c>
      <c r="M188" s="1" t="s">
        <v>497</v>
      </c>
      <c r="N188" s="1" t="s">
        <v>51</v>
      </c>
      <c r="O188" s="1" t="s">
        <v>96</v>
      </c>
      <c r="P188" s="1" t="s">
        <v>13</v>
      </c>
      <c r="Q188" s="4">
        <v>16</v>
      </c>
      <c r="R188" s="4">
        <v>9</v>
      </c>
      <c r="S188" s="1" t="s">
        <v>25</v>
      </c>
      <c r="T188" s="1" t="s">
        <v>26</v>
      </c>
      <c r="U188" s="5" t="s">
        <v>498</v>
      </c>
      <c r="V188" s="4">
        <v>42</v>
      </c>
    </row>
    <row r="189" spans="1:22" x14ac:dyDescent="0.3">
      <c r="A189" s="1" t="s">
        <v>245</v>
      </c>
      <c r="B189" s="1" t="s">
        <v>54</v>
      </c>
      <c r="C189" s="1" t="s">
        <v>19</v>
      </c>
      <c r="D189" s="1" t="s">
        <v>31</v>
      </c>
      <c r="E189" s="4">
        <v>18</v>
      </c>
      <c r="F189" s="4">
        <v>12</v>
      </c>
      <c r="G189" s="1" t="s">
        <v>32</v>
      </c>
      <c r="H189" s="1" t="s">
        <v>26</v>
      </c>
      <c r="I189" s="5" t="s">
        <v>246</v>
      </c>
      <c r="J189" s="4">
        <v>74</v>
      </c>
      <c r="M189" s="1" t="s">
        <v>507</v>
      </c>
      <c r="N189" s="1" t="s">
        <v>54</v>
      </c>
      <c r="O189" s="1" t="s">
        <v>12</v>
      </c>
      <c r="P189" s="1" t="s">
        <v>31</v>
      </c>
      <c r="Q189" s="4">
        <v>16</v>
      </c>
      <c r="R189" s="4">
        <v>12</v>
      </c>
      <c r="S189" s="1" t="s">
        <v>43</v>
      </c>
      <c r="T189" s="1" t="s">
        <v>61</v>
      </c>
      <c r="U189" s="5" t="s">
        <v>483</v>
      </c>
      <c r="V189" s="4">
        <v>45</v>
      </c>
    </row>
    <row r="190" spans="1:22" x14ac:dyDescent="0.3">
      <c r="A190" s="1" t="s">
        <v>386</v>
      </c>
      <c r="B190" s="1" t="s">
        <v>68</v>
      </c>
      <c r="C190" s="1" t="s">
        <v>96</v>
      </c>
      <c r="D190" s="1" t="s">
        <v>13</v>
      </c>
      <c r="E190" s="4">
        <v>18</v>
      </c>
      <c r="F190" s="4">
        <v>9</v>
      </c>
      <c r="G190" s="1" t="s">
        <v>25</v>
      </c>
      <c r="H190" s="1" t="s">
        <v>46</v>
      </c>
      <c r="I190" s="5" t="s">
        <v>387</v>
      </c>
      <c r="J190" s="4">
        <v>74</v>
      </c>
      <c r="M190" s="1" t="s">
        <v>537</v>
      </c>
      <c r="N190" s="1" t="s">
        <v>68</v>
      </c>
      <c r="O190" s="1" t="s">
        <v>36</v>
      </c>
      <c r="P190" s="1" t="s">
        <v>31</v>
      </c>
      <c r="Q190" s="4">
        <v>16</v>
      </c>
      <c r="R190" s="4">
        <v>12</v>
      </c>
      <c r="S190" s="1" t="s">
        <v>25</v>
      </c>
      <c r="T190" s="1" t="s">
        <v>26</v>
      </c>
      <c r="U190" s="5" t="s">
        <v>538</v>
      </c>
      <c r="V190" s="4">
        <v>42</v>
      </c>
    </row>
    <row r="191" spans="1:22" x14ac:dyDescent="0.3">
      <c r="A191" s="1" t="s">
        <v>684</v>
      </c>
      <c r="B191" s="1" t="s">
        <v>54</v>
      </c>
      <c r="C191" s="1" t="s">
        <v>24</v>
      </c>
      <c r="D191" s="1" t="s">
        <v>31</v>
      </c>
      <c r="E191" s="4">
        <v>17</v>
      </c>
      <c r="F191" s="4">
        <v>10</v>
      </c>
      <c r="G191" s="1" t="s">
        <v>43</v>
      </c>
      <c r="H191" s="1" t="s">
        <v>46</v>
      </c>
      <c r="I191" s="5" t="s">
        <v>685</v>
      </c>
      <c r="J191" s="4">
        <v>74</v>
      </c>
      <c r="M191" s="1" t="s">
        <v>544</v>
      </c>
      <c r="N191" s="1" t="s">
        <v>68</v>
      </c>
      <c r="O191" s="1" t="s">
        <v>19</v>
      </c>
      <c r="P191" s="1" t="s">
        <v>31</v>
      </c>
      <c r="Q191" s="4">
        <v>16</v>
      </c>
      <c r="R191" s="4">
        <v>9</v>
      </c>
      <c r="S191" s="1" t="s">
        <v>14</v>
      </c>
      <c r="T191" s="1" t="s">
        <v>40</v>
      </c>
      <c r="U191" s="5" t="s">
        <v>545</v>
      </c>
      <c r="V191" s="4">
        <v>37</v>
      </c>
    </row>
    <row r="192" spans="1:22" x14ac:dyDescent="0.3">
      <c r="A192" s="1" t="s">
        <v>793</v>
      </c>
      <c r="B192" s="1" t="s">
        <v>35</v>
      </c>
      <c r="C192" s="1" t="s">
        <v>19</v>
      </c>
      <c r="D192" s="1" t="s">
        <v>31</v>
      </c>
      <c r="E192" s="4">
        <v>20</v>
      </c>
      <c r="F192" s="4">
        <v>11</v>
      </c>
      <c r="G192" s="1" t="s">
        <v>32</v>
      </c>
      <c r="H192" s="1" t="s">
        <v>20</v>
      </c>
      <c r="I192" s="5" t="s">
        <v>794</v>
      </c>
      <c r="J192" s="4">
        <v>74</v>
      </c>
      <c r="M192" s="1" t="s">
        <v>555</v>
      </c>
      <c r="N192" s="1" t="s">
        <v>73</v>
      </c>
      <c r="O192" s="1" t="s">
        <v>55</v>
      </c>
      <c r="P192" s="1" t="s">
        <v>31</v>
      </c>
      <c r="Q192" s="4">
        <v>16</v>
      </c>
      <c r="R192" s="4">
        <v>9</v>
      </c>
      <c r="S192" s="1" t="s">
        <v>14</v>
      </c>
      <c r="T192" s="1" t="s">
        <v>76</v>
      </c>
      <c r="U192" s="5" t="s">
        <v>556</v>
      </c>
      <c r="V192" s="4">
        <v>93</v>
      </c>
    </row>
    <row r="193" spans="1:22" x14ac:dyDescent="0.3">
      <c r="A193" s="1" t="s">
        <v>852</v>
      </c>
      <c r="B193" s="1" t="s">
        <v>29</v>
      </c>
      <c r="C193" s="1" t="s">
        <v>55</v>
      </c>
      <c r="D193" s="1" t="s">
        <v>13</v>
      </c>
      <c r="E193" s="4">
        <v>15</v>
      </c>
      <c r="F193" s="4">
        <v>9</v>
      </c>
      <c r="G193" s="1" t="s">
        <v>14</v>
      </c>
      <c r="H193" s="1" t="s">
        <v>20</v>
      </c>
      <c r="I193" s="5" t="s">
        <v>853</v>
      </c>
      <c r="J193" s="4">
        <v>74</v>
      </c>
      <c r="M193" s="1" t="s">
        <v>571</v>
      </c>
      <c r="N193" s="1" t="s">
        <v>68</v>
      </c>
      <c r="O193" s="1" t="s">
        <v>12</v>
      </c>
      <c r="P193" s="1" t="s">
        <v>13</v>
      </c>
      <c r="Q193" s="4">
        <v>16</v>
      </c>
      <c r="R193" s="4">
        <v>10</v>
      </c>
      <c r="S193" s="1" t="s">
        <v>25</v>
      </c>
      <c r="T193" s="1" t="s">
        <v>26</v>
      </c>
      <c r="U193" s="5" t="s">
        <v>434</v>
      </c>
      <c r="V193" s="4">
        <v>63</v>
      </c>
    </row>
    <row r="194" spans="1:22" x14ac:dyDescent="0.3">
      <c r="A194" s="1" t="s">
        <v>586</v>
      </c>
      <c r="B194" s="1" t="s">
        <v>11</v>
      </c>
      <c r="C194" s="1" t="s">
        <v>24</v>
      </c>
      <c r="D194" s="1" t="s">
        <v>31</v>
      </c>
      <c r="E194" s="4">
        <v>17</v>
      </c>
      <c r="F194" s="4">
        <v>11</v>
      </c>
      <c r="G194" s="1" t="s">
        <v>43</v>
      </c>
      <c r="H194" s="1" t="s">
        <v>61</v>
      </c>
      <c r="I194" s="5" t="s">
        <v>587</v>
      </c>
      <c r="J194" s="4">
        <v>73</v>
      </c>
      <c r="M194" s="1" t="s">
        <v>584</v>
      </c>
      <c r="N194" s="1" t="s">
        <v>68</v>
      </c>
      <c r="O194" s="1" t="s">
        <v>55</v>
      </c>
      <c r="P194" s="1" t="s">
        <v>31</v>
      </c>
      <c r="Q194" s="4">
        <v>16</v>
      </c>
      <c r="R194" s="4">
        <v>9</v>
      </c>
      <c r="S194" s="1" t="s">
        <v>14</v>
      </c>
      <c r="T194" s="1" t="s">
        <v>61</v>
      </c>
      <c r="U194" s="5" t="s">
        <v>585</v>
      </c>
      <c r="V194" s="4">
        <v>59</v>
      </c>
    </row>
    <row r="195" spans="1:22" x14ac:dyDescent="0.3">
      <c r="A195" s="1" t="s">
        <v>599</v>
      </c>
      <c r="B195" s="1" t="s">
        <v>84</v>
      </c>
      <c r="C195" s="1" t="s">
        <v>30</v>
      </c>
      <c r="D195" s="1" t="s">
        <v>13</v>
      </c>
      <c r="E195" s="4">
        <v>17</v>
      </c>
      <c r="F195" s="4">
        <v>11</v>
      </c>
      <c r="G195" s="1" t="s">
        <v>43</v>
      </c>
      <c r="H195" s="1" t="s">
        <v>15</v>
      </c>
      <c r="I195" s="5" t="s">
        <v>600</v>
      </c>
      <c r="J195" s="4">
        <v>73</v>
      </c>
      <c r="M195" s="1" t="s">
        <v>627</v>
      </c>
      <c r="N195" s="1" t="s">
        <v>35</v>
      </c>
      <c r="O195" s="1" t="s">
        <v>85</v>
      </c>
      <c r="P195" s="1" t="s">
        <v>31</v>
      </c>
      <c r="Q195" s="4">
        <v>16</v>
      </c>
      <c r="R195" s="4">
        <v>9</v>
      </c>
      <c r="S195" s="1" t="s">
        <v>43</v>
      </c>
      <c r="T195" s="1" t="s">
        <v>20</v>
      </c>
      <c r="U195" s="5" t="s">
        <v>628</v>
      </c>
      <c r="V195" s="4">
        <v>84</v>
      </c>
    </row>
    <row r="196" spans="1:22" x14ac:dyDescent="0.3">
      <c r="A196" s="1" t="s">
        <v>93</v>
      </c>
      <c r="B196" s="1" t="s">
        <v>29</v>
      </c>
      <c r="C196" s="1" t="s">
        <v>24</v>
      </c>
      <c r="D196" s="1" t="s">
        <v>31</v>
      </c>
      <c r="E196" s="4">
        <v>14</v>
      </c>
      <c r="F196" s="4">
        <v>12</v>
      </c>
      <c r="G196" s="1" t="s">
        <v>32</v>
      </c>
      <c r="H196" s="1" t="s">
        <v>61</v>
      </c>
      <c r="I196" s="5" t="s">
        <v>94</v>
      </c>
      <c r="J196" s="4">
        <v>72</v>
      </c>
      <c r="M196" s="1" t="s">
        <v>644</v>
      </c>
      <c r="N196" s="1" t="s">
        <v>51</v>
      </c>
      <c r="O196" s="1" t="s">
        <v>36</v>
      </c>
      <c r="P196" s="1" t="s">
        <v>31</v>
      </c>
      <c r="Q196" s="4">
        <v>16</v>
      </c>
      <c r="R196" s="4">
        <v>11</v>
      </c>
      <c r="S196" s="1" t="s">
        <v>43</v>
      </c>
      <c r="T196" s="1" t="s">
        <v>20</v>
      </c>
      <c r="U196" s="5" t="s">
        <v>645</v>
      </c>
      <c r="V196" s="4">
        <v>81</v>
      </c>
    </row>
    <row r="197" spans="1:22" x14ac:dyDescent="0.3">
      <c r="A197" s="1" t="s">
        <v>221</v>
      </c>
      <c r="B197" s="1" t="s">
        <v>51</v>
      </c>
      <c r="C197" s="1" t="s">
        <v>55</v>
      </c>
      <c r="D197" s="1" t="s">
        <v>13</v>
      </c>
      <c r="E197" s="4">
        <v>14</v>
      </c>
      <c r="F197" s="4">
        <v>10</v>
      </c>
      <c r="G197" s="1" t="s">
        <v>43</v>
      </c>
      <c r="H197" s="1" t="s">
        <v>61</v>
      </c>
      <c r="I197" s="5" t="s">
        <v>222</v>
      </c>
      <c r="J197" s="4">
        <v>72</v>
      </c>
      <c r="M197" s="1" t="s">
        <v>652</v>
      </c>
      <c r="N197" s="1" t="s">
        <v>51</v>
      </c>
      <c r="O197" s="1" t="s">
        <v>55</v>
      </c>
      <c r="P197" s="1" t="s">
        <v>13</v>
      </c>
      <c r="Q197" s="4">
        <v>16</v>
      </c>
      <c r="R197" s="4">
        <v>12</v>
      </c>
      <c r="S197" s="1" t="s">
        <v>32</v>
      </c>
      <c r="T197" s="1" t="s">
        <v>61</v>
      </c>
      <c r="U197" s="5" t="s">
        <v>653</v>
      </c>
      <c r="V197" s="4">
        <v>45</v>
      </c>
    </row>
    <row r="198" spans="1:22" x14ac:dyDescent="0.3">
      <c r="A198" s="1" t="s">
        <v>243</v>
      </c>
      <c r="B198" s="1" t="s">
        <v>23</v>
      </c>
      <c r="C198" s="1" t="s">
        <v>96</v>
      </c>
      <c r="D198" s="1" t="s">
        <v>31</v>
      </c>
      <c r="E198" s="4">
        <v>15</v>
      </c>
      <c r="F198" s="4">
        <v>11</v>
      </c>
      <c r="G198" s="1" t="s">
        <v>25</v>
      </c>
      <c r="H198" s="1" t="s">
        <v>61</v>
      </c>
      <c r="I198" s="5" t="s">
        <v>244</v>
      </c>
      <c r="J198" s="4">
        <v>72</v>
      </c>
      <c r="M198" s="1" t="s">
        <v>660</v>
      </c>
      <c r="N198" s="1" t="s">
        <v>23</v>
      </c>
      <c r="O198" s="1" t="s">
        <v>12</v>
      </c>
      <c r="P198" s="1" t="s">
        <v>13</v>
      </c>
      <c r="Q198" s="4">
        <v>16</v>
      </c>
      <c r="R198" s="4">
        <v>11</v>
      </c>
      <c r="S198" s="1" t="s">
        <v>25</v>
      </c>
      <c r="T198" s="1" t="s">
        <v>40</v>
      </c>
      <c r="U198" s="5" t="s">
        <v>41</v>
      </c>
      <c r="V198" s="4">
        <v>86</v>
      </c>
    </row>
    <row r="199" spans="1:22" x14ac:dyDescent="0.3">
      <c r="A199" s="1" t="s">
        <v>365</v>
      </c>
      <c r="B199" s="1" t="s">
        <v>11</v>
      </c>
      <c r="C199" s="1" t="s">
        <v>55</v>
      </c>
      <c r="D199" s="1" t="s">
        <v>13</v>
      </c>
      <c r="E199" s="4">
        <v>16</v>
      </c>
      <c r="F199" s="4">
        <v>10</v>
      </c>
      <c r="G199" s="1" t="s">
        <v>32</v>
      </c>
      <c r="H199" s="1" t="s">
        <v>15</v>
      </c>
      <c r="I199" s="5" t="s">
        <v>366</v>
      </c>
      <c r="J199" s="4">
        <v>72</v>
      </c>
      <c r="M199" s="1" t="s">
        <v>683</v>
      </c>
      <c r="N199" s="1" t="s">
        <v>84</v>
      </c>
      <c r="O199" s="1" t="s">
        <v>55</v>
      </c>
      <c r="P199" s="1" t="s">
        <v>31</v>
      </c>
      <c r="Q199" s="4">
        <v>16</v>
      </c>
      <c r="R199" s="4">
        <v>12</v>
      </c>
      <c r="S199" s="1" t="s">
        <v>14</v>
      </c>
      <c r="T199" s="1" t="s">
        <v>76</v>
      </c>
      <c r="U199" s="5" t="s">
        <v>125</v>
      </c>
      <c r="V199" s="4">
        <v>60</v>
      </c>
    </row>
    <row r="200" spans="1:22" x14ac:dyDescent="0.3">
      <c r="A200" s="1" t="s">
        <v>382</v>
      </c>
      <c r="B200" s="1" t="s">
        <v>51</v>
      </c>
      <c r="C200" s="1" t="s">
        <v>85</v>
      </c>
      <c r="D200" s="1" t="s">
        <v>13</v>
      </c>
      <c r="E200" s="4">
        <v>16</v>
      </c>
      <c r="F200" s="4">
        <v>10</v>
      </c>
      <c r="G200" s="1" t="s">
        <v>43</v>
      </c>
      <c r="H200" s="1" t="s">
        <v>61</v>
      </c>
      <c r="I200" s="5" t="s">
        <v>383</v>
      </c>
      <c r="J200" s="4">
        <v>72</v>
      </c>
      <c r="M200" s="1" t="s">
        <v>686</v>
      </c>
      <c r="N200" s="1" t="s">
        <v>23</v>
      </c>
      <c r="O200" s="1" t="s">
        <v>96</v>
      </c>
      <c r="P200" s="1" t="s">
        <v>31</v>
      </c>
      <c r="Q200" s="4">
        <v>16</v>
      </c>
      <c r="R200" s="4">
        <v>9</v>
      </c>
      <c r="S200" s="1" t="s">
        <v>25</v>
      </c>
      <c r="T200" s="1" t="s">
        <v>20</v>
      </c>
      <c r="U200" s="5" t="s">
        <v>277</v>
      </c>
      <c r="V200" s="4">
        <v>71</v>
      </c>
    </row>
    <row r="201" spans="1:22" x14ac:dyDescent="0.3">
      <c r="A201" s="1" t="s">
        <v>472</v>
      </c>
      <c r="B201" s="1" t="s">
        <v>84</v>
      </c>
      <c r="C201" s="1" t="s">
        <v>79</v>
      </c>
      <c r="D201" s="1" t="s">
        <v>31</v>
      </c>
      <c r="E201" s="4">
        <v>15</v>
      </c>
      <c r="F201" s="4">
        <v>11</v>
      </c>
      <c r="G201" s="1" t="s">
        <v>14</v>
      </c>
      <c r="H201" s="1" t="s">
        <v>40</v>
      </c>
      <c r="I201" s="5" t="s">
        <v>317</v>
      </c>
      <c r="J201" s="4">
        <v>72</v>
      </c>
      <c r="M201" s="1" t="s">
        <v>687</v>
      </c>
      <c r="N201" s="1" t="s">
        <v>84</v>
      </c>
      <c r="O201" s="1" t="s">
        <v>19</v>
      </c>
      <c r="P201" s="1" t="s">
        <v>13</v>
      </c>
      <c r="Q201" s="4">
        <v>16</v>
      </c>
      <c r="R201" s="4">
        <v>10</v>
      </c>
      <c r="S201" s="1" t="s">
        <v>25</v>
      </c>
      <c r="T201" s="1" t="s">
        <v>46</v>
      </c>
      <c r="U201" s="5" t="s">
        <v>564</v>
      </c>
      <c r="V201" s="4">
        <v>52</v>
      </c>
    </row>
    <row r="202" spans="1:22" x14ac:dyDescent="0.3">
      <c r="A202" s="1" t="s">
        <v>563</v>
      </c>
      <c r="B202" s="1" t="s">
        <v>35</v>
      </c>
      <c r="C202" s="1" t="s">
        <v>55</v>
      </c>
      <c r="D202" s="1" t="s">
        <v>31</v>
      </c>
      <c r="E202" s="4">
        <v>19</v>
      </c>
      <c r="F202" s="4">
        <v>10</v>
      </c>
      <c r="G202" s="1" t="s">
        <v>43</v>
      </c>
      <c r="H202" s="1" t="s">
        <v>46</v>
      </c>
      <c r="I202" s="5" t="s">
        <v>564</v>
      </c>
      <c r="J202" s="4">
        <v>72</v>
      </c>
      <c r="M202" s="1" t="s">
        <v>691</v>
      </c>
      <c r="N202" s="1" t="s">
        <v>84</v>
      </c>
      <c r="O202" s="1" t="s">
        <v>55</v>
      </c>
      <c r="P202" s="1" t="s">
        <v>13</v>
      </c>
      <c r="Q202" s="4">
        <v>16</v>
      </c>
      <c r="R202" s="4">
        <v>10</v>
      </c>
      <c r="S202" s="1" t="s">
        <v>43</v>
      </c>
      <c r="T202" s="1" t="s">
        <v>46</v>
      </c>
      <c r="U202" s="5" t="s">
        <v>692</v>
      </c>
      <c r="V202" s="4">
        <v>91</v>
      </c>
    </row>
    <row r="203" spans="1:22" x14ac:dyDescent="0.3">
      <c r="A203" s="1" t="s">
        <v>577</v>
      </c>
      <c r="B203" s="1" t="s">
        <v>84</v>
      </c>
      <c r="C203" s="1" t="s">
        <v>79</v>
      </c>
      <c r="D203" s="1" t="s">
        <v>31</v>
      </c>
      <c r="E203" s="4">
        <v>15</v>
      </c>
      <c r="F203" s="4">
        <v>11</v>
      </c>
      <c r="G203" s="1" t="s">
        <v>25</v>
      </c>
      <c r="H203" s="1" t="s">
        <v>40</v>
      </c>
      <c r="I203" s="5" t="s">
        <v>578</v>
      </c>
      <c r="J203" s="4">
        <v>72</v>
      </c>
      <c r="M203" s="1" t="s">
        <v>693</v>
      </c>
      <c r="N203" s="1" t="s">
        <v>73</v>
      </c>
      <c r="O203" s="1" t="s">
        <v>58</v>
      </c>
      <c r="P203" s="1" t="s">
        <v>31</v>
      </c>
      <c r="Q203" s="4">
        <v>16</v>
      </c>
      <c r="R203" s="4">
        <v>11</v>
      </c>
      <c r="S203" s="1" t="s">
        <v>25</v>
      </c>
      <c r="T203" s="1" t="s">
        <v>37</v>
      </c>
      <c r="U203" s="5" t="s">
        <v>694</v>
      </c>
      <c r="V203" s="4">
        <v>65</v>
      </c>
    </row>
    <row r="204" spans="1:22" x14ac:dyDescent="0.3">
      <c r="A204" s="1" t="s">
        <v>699</v>
      </c>
      <c r="B204" s="1" t="s">
        <v>11</v>
      </c>
      <c r="C204" s="1" t="s">
        <v>30</v>
      </c>
      <c r="D204" s="1" t="s">
        <v>31</v>
      </c>
      <c r="E204" s="4">
        <v>16</v>
      </c>
      <c r="F204" s="4">
        <v>11</v>
      </c>
      <c r="G204" s="1" t="s">
        <v>43</v>
      </c>
      <c r="H204" s="1" t="s">
        <v>40</v>
      </c>
      <c r="I204" s="5" t="s">
        <v>97</v>
      </c>
      <c r="J204" s="4">
        <v>72</v>
      </c>
      <c r="M204" s="1" t="s">
        <v>699</v>
      </c>
      <c r="N204" s="1" t="s">
        <v>11</v>
      </c>
      <c r="O204" s="1" t="s">
        <v>30</v>
      </c>
      <c r="P204" s="1" t="s">
        <v>31</v>
      </c>
      <c r="Q204" s="4">
        <v>16</v>
      </c>
      <c r="R204" s="4">
        <v>11</v>
      </c>
      <c r="S204" s="1" t="s">
        <v>43</v>
      </c>
      <c r="T204" s="1" t="s">
        <v>40</v>
      </c>
      <c r="U204" s="5" t="s">
        <v>97</v>
      </c>
      <c r="V204" s="4">
        <v>72</v>
      </c>
    </row>
    <row r="205" spans="1:22" x14ac:dyDescent="0.3">
      <c r="A205" s="1" t="s">
        <v>711</v>
      </c>
      <c r="B205" s="1" t="s">
        <v>29</v>
      </c>
      <c r="C205" s="1" t="s">
        <v>79</v>
      </c>
      <c r="D205" s="1" t="s">
        <v>13</v>
      </c>
      <c r="E205" s="4">
        <v>14</v>
      </c>
      <c r="F205" s="4">
        <v>9</v>
      </c>
      <c r="G205" s="1" t="s">
        <v>32</v>
      </c>
      <c r="H205" s="1" t="s">
        <v>15</v>
      </c>
      <c r="I205" s="5" t="s">
        <v>712</v>
      </c>
      <c r="J205" s="4">
        <v>72</v>
      </c>
      <c r="M205" s="1" t="s">
        <v>713</v>
      </c>
      <c r="N205" s="1" t="s">
        <v>29</v>
      </c>
      <c r="O205" s="1" t="s">
        <v>24</v>
      </c>
      <c r="P205" s="1" t="s">
        <v>31</v>
      </c>
      <c r="Q205" s="4">
        <v>16</v>
      </c>
      <c r="R205" s="4">
        <v>12</v>
      </c>
      <c r="S205" s="1" t="s">
        <v>32</v>
      </c>
      <c r="T205" s="1" t="s">
        <v>26</v>
      </c>
      <c r="U205" s="5" t="s">
        <v>714</v>
      </c>
      <c r="V205" s="4">
        <v>57</v>
      </c>
    </row>
    <row r="206" spans="1:22" x14ac:dyDescent="0.3">
      <c r="A206" s="1" t="s">
        <v>725</v>
      </c>
      <c r="B206" s="1" t="s">
        <v>11</v>
      </c>
      <c r="C206" s="1" t="s">
        <v>55</v>
      </c>
      <c r="D206" s="1" t="s">
        <v>31</v>
      </c>
      <c r="E206" s="4">
        <v>15</v>
      </c>
      <c r="F206" s="4">
        <v>9</v>
      </c>
      <c r="G206" s="1" t="s">
        <v>25</v>
      </c>
      <c r="H206" s="1" t="s">
        <v>37</v>
      </c>
      <c r="I206" s="5" t="s">
        <v>726</v>
      </c>
      <c r="J206" s="4">
        <v>72</v>
      </c>
      <c r="M206" s="1" t="s">
        <v>735</v>
      </c>
      <c r="N206" s="1" t="s">
        <v>68</v>
      </c>
      <c r="O206" s="1" t="s">
        <v>24</v>
      </c>
      <c r="P206" s="1" t="s">
        <v>31</v>
      </c>
      <c r="Q206" s="4">
        <v>16</v>
      </c>
      <c r="R206" s="4">
        <v>12</v>
      </c>
      <c r="S206" s="1" t="s">
        <v>43</v>
      </c>
      <c r="T206" s="1" t="s">
        <v>26</v>
      </c>
      <c r="U206" s="5" t="s">
        <v>736</v>
      </c>
      <c r="V206" s="4">
        <v>85</v>
      </c>
    </row>
    <row r="207" spans="1:22" x14ac:dyDescent="0.3">
      <c r="A207" s="1" t="s">
        <v>773</v>
      </c>
      <c r="B207" s="1" t="s">
        <v>68</v>
      </c>
      <c r="C207" s="1" t="s">
        <v>19</v>
      </c>
      <c r="D207" s="1" t="s">
        <v>13</v>
      </c>
      <c r="E207" s="4">
        <v>14</v>
      </c>
      <c r="F207" s="4">
        <v>11</v>
      </c>
      <c r="G207" s="1" t="s">
        <v>14</v>
      </c>
      <c r="H207" s="1" t="s">
        <v>20</v>
      </c>
      <c r="I207" s="5" t="s">
        <v>774</v>
      </c>
      <c r="J207" s="4">
        <v>72</v>
      </c>
      <c r="M207" s="1" t="s">
        <v>745</v>
      </c>
      <c r="N207" s="1" t="s">
        <v>73</v>
      </c>
      <c r="O207" s="1" t="s">
        <v>36</v>
      </c>
      <c r="P207" s="1" t="s">
        <v>13</v>
      </c>
      <c r="Q207" s="4">
        <v>16</v>
      </c>
      <c r="R207" s="4">
        <v>9</v>
      </c>
      <c r="S207" s="1" t="s">
        <v>32</v>
      </c>
      <c r="T207" s="1" t="s">
        <v>76</v>
      </c>
      <c r="U207" s="5" t="s">
        <v>746</v>
      </c>
      <c r="V207" s="4">
        <v>38</v>
      </c>
    </row>
    <row r="208" spans="1:22" x14ac:dyDescent="0.3">
      <c r="A208" s="1" t="s">
        <v>144</v>
      </c>
      <c r="B208" s="1" t="s">
        <v>73</v>
      </c>
      <c r="C208" s="1" t="s">
        <v>12</v>
      </c>
      <c r="D208" s="1" t="s">
        <v>31</v>
      </c>
      <c r="E208" s="4">
        <v>20</v>
      </c>
      <c r="F208" s="4">
        <v>10</v>
      </c>
      <c r="G208" s="1" t="s">
        <v>14</v>
      </c>
      <c r="H208" s="1" t="s">
        <v>26</v>
      </c>
      <c r="I208" s="5" t="s">
        <v>145</v>
      </c>
      <c r="J208" s="4">
        <v>71</v>
      </c>
      <c r="M208" s="1" t="s">
        <v>758</v>
      </c>
      <c r="N208" s="1" t="s">
        <v>73</v>
      </c>
      <c r="O208" s="1" t="s">
        <v>12</v>
      </c>
      <c r="P208" s="1" t="s">
        <v>31</v>
      </c>
      <c r="Q208" s="4">
        <v>16</v>
      </c>
      <c r="R208" s="4">
        <v>11</v>
      </c>
      <c r="S208" s="1" t="s">
        <v>43</v>
      </c>
      <c r="T208" s="1" t="s">
        <v>40</v>
      </c>
      <c r="U208" s="5" t="s">
        <v>759</v>
      </c>
      <c r="V208" s="4">
        <v>70</v>
      </c>
    </row>
    <row r="209" spans="1:22" x14ac:dyDescent="0.3">
      <c r="A209" s="1" t="s">
        <v>237</v>
      </c>
      <c r="B209" s="1" t="s">
        <v>23</v>
      </c>
      <c r="C209" s="1" t="s">
        <v>24</v>
      </c>
      <c r="D209" s="1" t="s">
        <v>31</v>
      </c>
      <c r="E209" s="4">
        <v>16</v>
      </c>
      <c r="F209" s="4">
        <v>10</v>
      </c>
      <c r="G209" s="1" t="s">
        <v>43</v>
      </c>
      <c r="H209" s="1" t="s">
        <v>20</v>
      </c>
      <c r="I209" s="5" t="s">
        <v>238</v>
      </c>
      <c r="J209" s="4">
        <v>71</v>
      </c>
      <c r="M209" s="1" t="s">
        <v>760</v>
      </c>
      <c r="N209" s="1" t="s">
        <v>84</v>
      </c>
      <c r="O209" s="1" t="s">
        <v>96</v>
      </c>
      <c r="P209" s="1" t="s">
        <v>31</v>
      </c>
      <c r="Q209" s="4">
        <v>16</v>
      </c>
      <c r="R209" s="4">
        <v>11</v>
      </c>
      <c r="S209" s="1" t="s">
        <v>32</v>
      </c>
      <c r="T209" s="1" t="s">
        <v>76</v>
      </c>
      <c r="U209" s="5" t="s">
        <v>761</v>
      </c>
      <c r="V209" s="4">
        <v>83</v>
      </c>
    </row>
    <row r="210" spans="1:22" x14ac:dyDescent="0.3">
      <c r="A210" s="1" t="s">
        <v>363</v>
      </c>
      <c r="B210" s="1" t="s">
        <v>11</v>
      </c>
      <c r="C210" s="1" t="s">
        <v>85</v>
      </c>
      <c r="D210" s="1" t="s">
        <v>31</v>
      </c>
      <c r="E210" s="4">
        <v>15</v>
      </c>
      <c r="F210" s="4">
        <v>10</v>
      </c>
      <c r="G210" s="1" t="s">
        <v>14</v>
      </c>
      <c r="H210" s="1" t="s">
        <v>37</v>
      </c>
      <c r="I210" s="5" t="s">
        <v>364</v>
      </c>
      <c r="J210" s="4">
        <v>71</v>
      </c>
      <c r="M210" s="1" t="s">
        <v>764</v>
      </c>
      <c r="N210" s="1" t="s">
        <v>18</v>
      </c>
      <c r="O210" s="1" t="s">
        <v>55</v>
      </c>
      <c r="P210" s="1" t="s">
        <v>13</v>
      </c>
      <c r="Q210" s="4">
        <v>16</v>
      </c>
      <c r="R210" s="4">
        <v>12</v>
      </c>
      <c r="S210" s="1" t="s">
        <v>14</v>
      </c>
      <c r="T210" s="1" t="s">
        <v>40</v>
      </c>
      <c r="U210" s="5" t="s">
        <v>765</v>
      </c>
      <c r="V210" s="4">
        <v>61</v>
      </c>
    </row>
    <row r="211" spans="1:22" x14ac:dyDescent="0.3">
      <c r="A211" s="1" t="s">
        <v>686</v>
      </c>
      <c r="B211" s="1" t="s">
        <v>23</v>
      </c>
      <c r="C211" s="1" t="s">
        <v>96</v>
      </c>
      <c r="D211" s="1" t="s">
        <v>31</v>
      </c>
      <c r="E211" s="4">
        <v>16</v>
      </c>
      <c r="F211" s="4">
        <v>9</v>
      </c>
      <c r="G211" s="1" t="s">
        <v>25</v>
      </c>
      <c r="H211" s="1" t="s">
        <v>20</v>
      </c>
      <c r="I211" s="5" t="s">
        <v>277</v>
      </c>
      <c r="J211" s="4">
        <v>71</v>
      </c>
      <c r="M211" s="1" t="s">
        <v>769</v>
      </c>
      <c r="N211" s="1" t="s">
        <v>35</v>
      </c>
      <c r="O211" s="1" t="s">
        <v>30</v>
      </c>
      <c r="P211" s="1" t="s">
        <v>13</v>
      </c>
      <c r="Q211" s="4">
        <v>16</v>
      </c>
      <c r="R211" s="4">
        <v>11</v>
      </c>
      <c r="S211" s="1" t="s">
        <v>32</v>
      </c>
      <c r="T211" s="1" t="s">
        <v>46</v>
      </c>
      <c r="U211" s="5" t="s">
        <v>770</v>
      </c>
      <c r="V211" s="4">
        <v>85</v>
      </c>
    </row>
    <row r="212" spans="1:22" x14ac:dyDescent="0.3">
      <c r="A212" s="1" t="s">
        <v>102</v>
      </c>
      <c r="B212" s="1" t="s">
        <v>35</v>
      </c>
      <c r="C212" s="1" t="s">
        <v>12</v>
      </c>
      <c r="D212" s="1" t="s">
        <v>13</v>
      </c>
      <c r="E212" s="4">
        <v>20</v>
      </c>
      <c r="F212" s="4">
        <v>11</v>
      </c>
      <c r="G212" s="1" t="s">
        <v>14</v>
      </c>
      <c r="H212" s="1" t="s">
        <v>26</v>
      </c>
      <c r="I212" s="5" t="s">
        <v>103</v>
      </c>
      <c r="J212" s="4">
        <v>70</v>
      </c>
      <c r="M212" s="1" t="s">
        <v>787</v>
      </c>
      <c r="N212" s="1" t="s">
        <v>18</v>
      </c>
      <c r="O212" s="1" t="s">
        <v>36</v>
      </c>
      <c r="P212" s="1" t="s">
        <v>31</v>
      </c>
      <c r="Q212" s="4">
        <v>16</v>
      </c>
      <c r="R212" s="4">
        <v>9</v>
      </c>
      <c r="S212" s="1" t="s">
        <v>14</v>
      </c>
      <c r="T212" s="1" t="s">
        <v>76</v>
      </c>
      <c r="U212" s="5" t="s">
        <v>788</v>
      </c>
      <c r="V212" s="4">
        <v>88</v>
      </c>
    </row>
    <row r="213" spans="1:22" x14ac:dyDescent="0.3">
      <c r="A213" s="1" t="s">
        <v>202</v>
      </c>
      <c r="B213" s="1" t="s">
        <v>51</v>
      </c>
      <c r="C213" s="1" t="s">
        <v>55</v>
      </c>
      <c r="D213" s="1" t="s">
        <v>31</v>
      </c>
      <c r="E213" s="4">
        <v>15</v>
      </c>
      <c r="F213" s="4">
        <v>9</v>
      </c>
      <c r="G213" s="1" t="s">
        <v>14</v>
      </c>
      <c r="H213" s="1" t="s">
        <v>40</v>
      </c>
      <c r="I213" s="5" t="s">
        <v>111</v>
      </c>
      <c r="J213" s="4">
        <v>70</v>
      </c>
      <c r="M213" s="1" t="s">
        <v>807</v>
      </c>
      <c r="N213" s="1" t="s">
        <v>68</v>
      </c>
      <c r="O213" s="1" t="s">
        <v>79</v>
      </c>
      <c r="P213" s="1" t="s">
        <v>31</v>
      </c>
      <c r="Q213" s="4">
        <v>16</v>
      </c>
      <c r="R213" s="4">
        <v>10</v>
      </c>
      <c r="S213" s="1" t="s">
        <v>43</v>
      </c>
      <c r="T213" s="1" t="s">
        <v>76</v>
      </c>
      <c r="U213" s="5" t="s">
        <v>305</v>
      </c>
      <c r="V213" s="4">
        <v>40</v>
      </c>
    </row>
    <row r="214" spans="1:22" x14ac:dyDescent="0.3">
      <c r="A214" s="1" t="s">
        <v>405</v>
      </c>
      <c r="B214" s="1" t="s">
        <v>18</v>
      </c>
      <c r="C214" s="1" t="s">
        <v>19</v>
      </c>
      <c r="D214" s="1" t="s">
        <v>31</v>
      </c>
      <c r="E214" s="4">
        <v>18</v>
      </c>
      <c r="F214" s="4">
        <v>12</v>
      </c>
      <c r="G214" s="1" t="s">
        <v>25</v>
      </c>
      <c r="H214" s="1" t="s">
        <v>37</v>
      </c>
      <c r="I214" s="5" t="s">
        <v>406</v>
      </c>
      <c r="J214" s="4">
        <v>70</v>
      </c>
      <c r="M214" s="1" t="s">
        <v>835</v>
      </c>
      <c r="N214" s="1" t="s">
        <v>18</v>
      </c>
      <c r="O214" s="1" t="s">
        <v>55</v>
      </c>
      <c r="P214" s="1" t="s">
        <v>31</v>
      </c>
      <c r="Q214" s="4">
        <v>16</v>
      </c>
      <c r="R214" s="4">
        <v>10</v>
      </c>
      <c r="S214" s="1" t="s">
        <v>14</v>
      </c>
      <c r="T214" s="1" t="s">
        <v>61</v>
      </c>
      <c r="U214" s="5" t="s">
        <v>411</v>
      </c>
      <c r="V214" s="4">
        <v>52</v>
      </c>
    </row>
    <row r="215" spans="1:22" x14ac:dyDescent="0.3">
      <c r="A215" s="1" t="s">
        <v>485</v>
      </c>
      <c r="B215" s="1" t="s">
        <v>18</v>
      </c>
      <c r="C215" s="1" t="s">
        <v>12</v>
      </c>
      <c r="D215" s="1" t="s">
        <v>31</v>
      </c>
      <c r="E215" s="4">
        <v>16</v>
      </c>
      <c r="F215" s="4">
        <v>12</v>
      </c>
      <c r="G215" s="1" t="s">
        <v>14</v>
      </c>
      <c r="H215" s="1" t="s">
        <v>76</v>
      </c>
      <c r="I215" s="5" t="s">
        <v>486</v>
      </c>
      <c r="J215" s="4">
        <v>70</v>
      </c>
      <c r="M215" s="1" t="s">
        <v>836</v>
      </c>
      <c r="N215" s="1" t="s">
        <v>18</v>
      </c>
      <c r="O215" s="1" t="s">
        <v>58</v>
      </c>
      <c r="P215" s="1" t="s">
        <v>13</v>
      </c>
      <c r="Q215" s="4">
        <v>16</v>
      </c>
      <c r="R215" s="4">
        <v>9</v>
      </c>
      <c r="S215" s="1" t="s">
        <v>14</v>
      </c>
      <c r="T215" s="1" t="s">
        <v>37</v>
      </c>
      <c r="U215" s="5" t="s">
        <v>837</v>
      </c>
      <c r="V215" s="4">
        <v>64</v>
      </c>
    </row>
    <row r="216" spans="1:22" x14ac:dyDescent="0.3">
      <c r="A216" s="1" t="s">
        <v>758</v>
      </c>
      <c r="B216" s="1" t="s">
        <v>73</v>
      </c>
      <c r="C216" s="1" t="s">
        <v>12</v>
      </c>
      <c r="D216" s="1" t="s">
        <v>31</v>
      </c>
      <c r="E216" s="4">
        <v>16</v>
      </c>
      <c r="F216" s="4">
        <v>11</v>
      </c>
      <c r="G216" s="1" t="s">
        <v>43</v>
      </c>
      <c r="H216" s="1" t="s">
        <v>40</v>
      </c>
      <c r="I216" s="5" t="s">
        <v>759</v>
      </c>
      <c r="J216" s="4">
        <v>70</v>
      </c>
      <c r="M216" s="1" t="s">
        <v>848</v>
      </c>
      <c r="N216" s="1" t="s">
        <v>18</v>
      </c>
      <c r="O216" s="1" t="s">
        <v>24</v>
      </c>
      <c r="P216" s="1" t="s">
        <v>31</v>
      </c>
      <c r="Q216" s="4">
        <v>16</v>
      </c>
      <c r="R216" s="4">
        <v>10</v>
      </c>
      <c r="S216" s="1" t="s">
        <v>25</v>
      </c>
      <c r="T216" s="1" t="s">
        <v>61</v>
      </c>
      <c r="U216" s="5" t="s">
        <v>849</v>
      </c>
      <c r="V216" s="4">
        <v>78</v>
      </c>
    </row>
    <row r="217" spans="1:22" x14ac:dyDescent="0.3">
      <c r="A217" s="1" t="s">
        <v>912</v>
      </c>
      <c r="B217" s="1" t="s">
        <v>23</v>
      </c>
      <c r="C217" s="1" t="s">
        <v>79</v>
      </c>
      <c r="D217" s="1" t="s">
        <v>31</v>
      </c>
      <c r="E217" s="4">
        <v>17</v>
      </c>
      <c r="F217" s="4">
        <v>12</v>
      </c>
      <c r="G217" s="1" t="s">
        <v>32</v>
      </c>
      <c r="H217" s="1" t="s">
        <v>46</v>
      </c>
      <c r="I217" s="5" t="s">
        <v>400</v>
      </c>
      <c r="J217" s="4">
        <v>70</v>
      </c>
      <c r="M217" s="1" t="s">
        <v>856</v>
      </c>
      <c r="N217" s="1" t="s">
        <v>29</v>
      </c>
      <c r="O217" s="1" t="s">
        <v>85</v>
      </c>
      <c r="P217" s="1" t="s">
        <v>13</v>
      </c>
      <c r="Q217" s="4">
        <v>16</v>
      </c>
      <c r="R217" s="4">
        <v>9</v>
      </c>
      <c r="S217" s="1" t="s">
        <v>14</v>
      </c>
      <c r="T217" s="1" t="s">
        <v>61</v>
      </c>
      <c r="U217" s="5" t="s">
        <v>262</v>
      </c>
      <c r="V217" s="4">
        <v>78</v>
      </c>
    </row>
    <row r="218" spans="1:22" x14ac:dyDescent="0.3">
      <c r="A218" s="1" t="s">
        <v>604</v>
      </c>
      <c r="B218" s="1" t="s">
        <v>51</v>
      </c>
      <c r="C218" s="1" t="s">
        <v>85</v>
      </c>
      <c r="D218" s="1" t="s">
        <v>31</v>
      </c>
      <c r="E218" s="4">
        <v>20</v>
      </c>
      <c r="F218" s="4">
        <v>12</v>
      </c>
      <c r="G218" s="1" t="s">
        <v>25</v>
      </c>
      <c r="H218" s="1" t="s">
        <v>26</v>
      </c>
      <c r="I218" s="5" t="s">
        <v>299</v>
      </c>
      <c r="J218" s="4">
        <v>69</v>
      </c>
      <c r="M218" s="1" t="s">
        <v>860</v>
      </c>
      <c r="N218" s="1" t="s">
        <v>68</v>
      </c>
      <c r="O218" s="1" t="s">
        <v>12</v>
      </c>
      <c r="P218" s="1" t="s">
        <v>13</v>
      </c>
      <c r="Q218" s="4">
        <v>16</v>
      </c>
      <c r="R218" s="4">
        <v>12</v>
      </c>
      <c r="S218" s="1" t="s">
        <v>14</v>
      </c>
      <c r="T218" s="1" t="s">
        <v>37</v>
      </c>
      <c r="U218" s="5" t="s">
        <v>861</v>
      </c>
      <c r="V218" s="4">
        <v>84</v>
      </c>
    </row>
    <row r="219" spans="1:22" x14ac:dyDescent="0.3">
      <c r="A219" s="1" t="s">
        <v>695</v>
      </c>
      <c r="B219" s="1" t="s">
        <v>51</v>
      </c>
      <c r="C219" s="1" t="s">
        <v>24</v>
      </c>
      <c r="D219" s="1" t="s">
        <v>13</v>
      </c>
      <c r="E219" s="4">
        <v>17</v>
      </c>
      <c r="F219" s="4">
        <v>9</v>
      </c>
      <c r="G219" s="1" t="s">
        <v>32</v>
      </c>
      <c r="H219" s="1" t="s">
        <v>15</v>
      </c>
      <c r="I219" s="5" t="s">
        <v>696</v>
      </c>
      <c r="J219" s="4">
        <v>69</v>
      </c>
      <c r="M219" s="1" t="s">
        <v>874</v>
      </c>
      <c r="N219" s="1" t="s">
        <v>35</v>
      </c>
      <c r="O219" s="1" t="s">
        <v>36</v>
      </c>
      <c r="P219" s="1" t="s">
        <v>13</v>
      </c>
      <c r="Q219" s="4">
        <v>16</v>
      </c>
      <c r="R219" s="4">
        <v>10</v>
      </c>
      <c r="S219" s="1" t="s">
        <v>14</v>
      </c>
      <c r="T219" s="1" t="s">
        <v>61</v>
      </c>
      <c r="U219" s="5" t="s">
        <v>875</v>
      </c>
      <c r="V219" s="4">
        <v>35</v>
      </c>
    </row>
    <row r="220" spans="1:22" x14ac:dyDescent="0.3">
      <c r="A220" s="1" t="s">
        <v>883</v>
      </c>
      <c r="B220" s="1" t="s">
        <v>23</v>
      </c>
      <c r="C220" s="1" t="s">
        <v>85</v>
      </c>
      <c r="D220" s="1" t="s">
        <v>13</v>
      </c>
      <c r="E220" s="4">
        <v>19</v>
      </c>
      <c r="F220" s="4">
        <v>9</v>
      </c>
      <c r="G220" s="1" t="s">
        <v>43</v>
      </c>
      <c r="H220" s="1" t="s">
        <v>20</v>
      </c>
      <c r="I220" s="5" t="s">
        <v>884</v>
      </c>
      <c r="J220" s="4">
        <v>69</v>
      </c>
      <c r="M220" s="1" t="s">
        <v>876</v>
      </c>
      <c r="N220" s="1" t="s">
        <v>18</v>
      </c>
      <c r="O220" s="1" t="s">
        <v>24</v>
      </c>
      <c r="P220" s="1" t="s">
        <v>31</v>
      </c>
      <c r="Q220" s="4">
        <v>16</v>
      </c>
      <c r="R220" s="4">
        <v>9</v>
      </c>
      <c r="S220" s="1" t="s">
        <v>43</v>
      </c>
      <c r="T220" s="1" t="s">
        <v>26</v>
      </c>
      <c r="U220" s="5" t="s">
        <v>515</v>
      </c>
      <c r="V220" s="4">
        <v>48</v>
      </c>
    </row>
    <row r="221" spans="1:22" x14ac:dyDescent="0.3">
      <c r="A221" s="1" t="s">
        <v>913</v>
      </c>
      <c r="B221" s="1" t="s">
        <v>68</v>
      </c>
      <c r="C221" s="1" t="s">
        <v>58</v>
      </c>
      <c r="D221" s="1" t="s">
        <v>13</v>
      </c>
      <c r="E221" s="4">
        <v>14</v>
      </c>
      <c r="F221" s="4">
        <v>10</v>
      </c>
      <c r="G221" s="1" t="s">
        <v>14</v>
      </c>
      <c r="H221" s="1" t="s">
        <v>15</v>
      </c>
      <c r="I221" s="5" t="s">
        <v>914</v>
      </c>
      <c r="J221" s="4">
        <v>69</v>
      </c>
      <c r="M221" s="1" t="s">
        <v>885</v>
      </c>
      <c r="N221" s="1" t="s">
        <v>51</v>
      </c>
      <c r="O221" s="1" t="s">
        <v>55</v>
      </c>
      <c r="P221" s="1" t="s">
        <v>13</v>
      </c>
      <c r="Q221" s="4">
        <v>16</v>
      </c>
      <c r="R221" s="4">
        <v>11</v>
      </c>
      <c r="S221" s="1" t="s">
        <v>32</v>
      </c>
      <c r="T221" s="1" t="s">
        <v>76</v>
      </c>
      <c r="U221" s="5" t="s">
        <v>886</v>
      </c>
      <c r="V221" s="4">
        <v>65</v>
      </c>
    </row>
    <row r="222" spans="1:22" x14ac:dyDescent="0.3">
      <c r="A222" s="1" t="s">
        <v>128</v>
      </c>
      <c r="B222" s="1" t="s">
        <v>11</v>
      </c>
      <c r="C222" s="1" t="s">
        <v>24</v>
      </c>
      <c r="D222" s="1" t="s">
        <v>31</v>
      </c>
      <c r="E222" s="4">
        <v>17</v>
      </c>
      <c r="F222" s="4">
        <v>12</v>
      </c>
      <c r="G222" s="1" t="s">
        <v>32</v>
      </c>
      <c r="H222" s="1" t="s">
        <v>15</v>
      </c>
      <c r="I222" s="5" t="s">
        <v>129</v>
      </c>
      <c r="J222" s="4">
        <v>68</v>
      </c>
      <c r="M222" s="1" t="s">
        <v>905</v>
      </c>
      <c r="N222" s="1" t="s">
        <v>54</v>
      </c>
      <c r="O222" s="1" t="s">
        <v>30</v>
      </c>
      <c r="P222" s="1" t="s">
        <v>13</v>
      </c>
      <c r="Q222" s="4">
        <v>16</v>
      </c>
      <c r="R222" s="4">
        <v>12</v>
      </c>
      <c r="S222" s="1" t="s">
        <v>43</v>
      </c>
      <c r="T222" s="1" t="s">
        <v>40</v>
      </c>
      <c r="U222" s="5" t="s">
        <v>556</v>
      </c>
      <c r="V222" s="4">
        <v>81</v>
      </c>
    </row>
    <row r="223" spans="1:22" x14ac:dyDescent="0.3">
      <c r="A223" s="1" t="s">
        <v>336</v>
      </c>
      <c r="B223" s="1" t="s">
        <v>11</v>
      </c>
      <c r="C223" s="1" t="s">
        <v>58</v>
      </c>
      <c r="D223" s="1" t="s">
        <v>31</v>
      </c>
      <c r="E223" s="4">
        <v>19</v>
      </c>
      <c r="F223" s="4">
        <v>12</v>
      </c>
      <c r="G223" s="1" t="s">
        <v>25</v>
      </c>
      <c r="H223" s="1" t="s">
        <v>61</v>
      </c>
      <c r="I223" s="5" t="s">
        <v>218</v>
      </c>
      <c r="J223" s="4">
        <v>68</v>
      </c>
      <c r="M223" s="1" t="s">
        <v>923</v>
      </c>
      <c r="N223" s="1" t="s">
        <v>68</v>
      </c>
      <c r="O223" s="1" t="s">
        <v>55</v>
      </c>
      <c r="P223" s="1" t="s">
        <v>31</v>
      </c>
      <c r="Q223" s="4">
        <v>16</v>
      </c>
      <c r="R223" s="4">
        <v>12</v>
      </c>
      <c r="S223" s="1" t="s">
        <v>43</v>
      </c>
      <c r="T223" s="1" t="s">
        <v>37</v>
      </c>
      <c r="U223" s="5" t="s">
        <v>924</v>
      </c>
      <c r="V223" s="4">
        <v>77</v>
      </c>
    </row>
    <row r="224" spans="1:22" x14ac:dyDescent="0.3">
      <c r="A224" s="1" t="s">
        <v>409</v>
      </c>
      <c r="B224" s="1" t="s">
        <v>84</v>
      </c>
      <c r="C224" s="1" t="s">
        <v>24</v>
      </c>
      <c r="D224" s="1" t="s">
        <v>13</v>
      </c>
      <c r="E224" s="4">
        <v>20</v>
      </c>
      <c r="F224" s="4">
        <v>9</v>
      </c>
      <c r="G224" s="1" t="s">
        <v>25</v>
      </c>
      <c r="H224" s="1" t="s">
        <v>46</v>
      </c>
      <c r="I224" s="5" t="s">
        <v>290</v>
      </c>
      <c r="J224" s="4">
        <v>68</v>
      </c>
      <c r="M224" s="1" t="s">
        <v>937</v>
      </c>
      <c r="N224" s="1" t="s">
        <v>73</v>
      </c>
      <c r="O224" s="1" t="s">
        <v>85</v>
      </c>
      <c r="P224" s="1" t="s">
        <v>31</v>
      </c>
      <c r="Q224" s="4">
        <v>16</v>
      </c>
      <c r="R224" s="4">
        <v>10</v>
      </c>
      <c r="S224" s="1" t="s">
        <v>25</v>
      </c>
      <c r="T224" s="1" t="s">
        <v>76</v>
      </c>
      <c r="U224" s="5" t="s">
        <v>305</v>
      </c>
      <c r="V224" s="4">
        <v>90</v>
      </c>
    </row>
    <row r="225" spans="1:22" x14ac:dyDescent="0.3">
      <c r="A225" s="1" t="s">
        <v>665</v>
      </c>
      <c r="B225" s="1" t="s">
        <v>51</v>
      </c>
      <c r="C225" s="1" t="s">
        <v>96</v>
      </c>
      <c r="D225" s="1" t="s">
        <v>13</v>
      </c>
      <c r="E225" s="4">
        <v>14</v>
      </c>
      <c r="F225" s="4">
        <v>10</v>
      </c>
      <c r="G225" s="1" t="s">
        <v>14</v>
      </c>
      <c r="H225" s="1" t="s">
        <v>37</v>
      </c>
      <c r="I225" s="5" t="s">
        <v>666</v>
      </c>
      <c r="J225" s="4">
        <v>68</v>
      </c>
      <c r="M225" s="1" t="s">
        <v>938</v>
      </c>
      <c r="N225" s="1" t="s">
        <v>18</v>
      </c>
      <c r="O225" s="1" t="s">
        <v>58</v>
      </c>
      <c r="P225" s="1" t="s">
        <v>13</v>
      </c>
      <c r="Q225" s="4">
        <v>16</v>
      </c>
      <c r="R225" s="4">
        <v>12</v>
      </c>
      <c r="S225" s="1" t="s">
        <v>25</v>
      </c>
      <c r="T225" s="1" t="s">
        <v>26</v>
      </c>
      <c r="U225" s="5" t="s">
        <v>939</v>
      </c>
      <c r="V225" s="4">
        <v>41</v>
      </c>
    </row>
    <row r="226" spans="1:22" x14ac:dyDescent="0.3">
      <c r="A226" s="1" t="s">
        <v>727</v>
      </c>
      <c r="B226" s="1" t="s">
        <v>68</v>
      </c>
      <c r="C226" s="1" t="s">
        <v>12</v>
      </c>
      <c r="D226" s="1" t="s">
        <v>13</v>
      </c>
      <c r="E226" s="4">
        <v>14</v>
      </c>
      <c r="F226" s="4">
        <v>9</v>
      </c>
      <c r="G226" s="1" t="s">
        <v>14</v>
      </c>
      <c r="H226" s="1" t="s">
        <v>20</v>
      </c>
      <c r="I226" s="5" t="s">
        <v>728</v>
      </c>
      <c r="J226" s="4">
        <v>68</v>
      </c>
      <c r="M226" s="1" t="s">
        <v>34</v>
      </c>
      <c r="N226" s="1" t="s">
        <v>35</v>
      </c>
      <c r="O226" s="1" t="s">
        <v>36</v>
      </c>
      <c r="P226" s="1" t="s">
        <v>31</v>
      </c>
      <c r="Q226" s="4">
        <v>17</v>
      </c>
      <c r="R226" s="4">
        <v>10</v>
      </c>
      <c r="S226" s="1" t="s">
        <v>32</v>
      </c>
      <c r="T226" s="1" t="s">
        <v>37</v>
      </c>
      <c r="U226" s="5" t="s">
        <v>38</v>
      </c>
      <c r="V226" s="4">
        <v>45</v>
      </c>
    </row>
    <row r="227" spans="1:22" x14ac:dyDescent="0.3">
      <c r="A227" s="1" t="s">
        <v>196</v>
      </c>
      <c r="B227" s="1" t="s">
        <v>23</v>
      </c>
      <c r="C227" s="1" t="s">
        <v>79</v>
      </c>
      <c r="D227" s="1" t="s">
        <v>13</v>
      </c>
      <c r="E227" s="4">
        <v>18</v>
      </c>
      <c r="F227" s="4">
        <v>12</v>
      </c>
      <c r="G227" s="1" t="s">
        <v>43</v>
      </c>
      <c r="H227" s="1" t="s">
        <v>76</v>
      </c>
      <c r="I227" s="5" t="s">
        <v>197</v>
      </c>
      <c r="J227" s="4">
        <v>67</v>
      </c>
      <c r="M227" s="1" t="s">
        <v>75</v>
      </c>
      <c r="N227" s="1" t="s">
        <v>29</v>
      </c>
      <c r="O227" s="1" t="s">
        <v>58</v>
      </c>
      <c r="P227" s="1" t="s">
        <v>31</v>
      </c>
      <c r="Q227" s="4">
        <v>17</v>
      </c>
      <c r="R227" s="4">
        <v>12</v>
      </c>
      <c r="S227" s="1" t="s">
        <v>32</v>
      </c>
      <c r="T227" s="1" t="s">
        <v>76</v>
      </c>
      <c r="U227" s="5" t="s">
        <v>77</v>
      </c>
      <c r="V227" s="4">
        <v>66</v>
      </c>
    </row>
    <row r="228" spans="1:22" x14ac:dyDescent="0.3">
      <c r="A228" s="1" t="s">
        <v>310</v>
      </c>
      <c r="B228" s="1" t="s">
        <v>29</v>
      </c>
      <c r="C228" s="1" t="s">
        <v>96</v>
      </c>
      <c r="D228" s="1" t="s">
        <v>31</v>
      </c>
      <c r="E228" s="4">
        <v>16</v>
      </c>
      <c r="F228" s="4">
        <v>9</v>
      </c>
      <c r="G228" s="1" t="s">
        <v>32</v>
      </c>
      <c r="H228" s="1" t="s">
        <v>46</v>
      </c>
      <c r="I228" s="5" t="s">
        <v>311</v>
      </c>
      <c r="J228" s="4">
        <v>67</v>
      </c>
      <c r="M228" s="1" t="s">
        <v>128</v>
      </c>
      <c r="N228" s="1" t="s">
        <v>11</v>
      </c>
      <c r="O228" s="1" t="s">
        <v>24</v>
      </c>
      <c r="P228" s="1" t="s">
        <v>31</v>
      </c>
      <c r="Q228" s="4">
        <v>17</v>
      </c>
      <c r="R228" s="4">
        <v>12</v>
      </c>
      <c r="S228" s="1" t="s">
        <v>32</v>
      </c>
      <c r="T228" s="1" t="s">
        <v>15</v>
      </c>
      <c r="U228" s="5" t="s">
        <v>129</v>
      </c>
      <c r="V228" s="4">
        <v>68</v>
      </c>
    </row>
    <row r="229" spans="1:22" x14ac:dyDescent="0.3">
      <c r="A229" s="1" t="s">
        <v>380</v>
      </c>
      <c r="B229" s="1" t="s">
        <v>11</v>
      </c>
      <c r="C229" s="1" t="s">
        <v>24</v>
      </c>
      <c r="D229" s="1" t="s">
        <v>31</v>
      </c>
      <c r="E229" s="4">
        <v>18</v>
      </c>
      <c r="F229" s="4">
        <v>11</v>
      </c>
      <c r="G229" s="1" t="s">
        <v>32</v>
      </c>
      <c r="H229" s="1" t="s">
        <v>61</v>
      </c>
      <c r="I229" s="5" t="s">
        <v>381</v>
      </c>
      <c r="J229" s="4">
        <v>67</v>
      </c>
      <c r="M229" s="1" t="s">
        <v>130</v>
      </c>
      <c r="N229" s="1" t="s">
        <v>73</v>
      </c>
      <c r="O229" s="1" t="s">
        <v>30</v>
      </c>
      <c r="P229" s="1" t="s">
        <v>13</v>
      </c>
      <c r="Q229" s="4">
        <v>17</v>
      </c>
      <c r="R229" s="4">
        <v>12</v>
      </c>
      <c r="S229" s="1" t="s">
        <v>25</v>
      </c>
      <c r="T229" s="1" t="s">
        <v>40</v>
      </c>
      <c r="U229" s="5" t="s">
        <v>131</v>
      </c>
      <c r="V229" s="4">
        <v>82</v>
      </c>
    </row>
    <row r="230" spans="1:22" x14ac:dyDescent="0.3">
      <c r="A230" s="1" t="s">
        <v>565</v>
      </c>
      <c r="B230" s="1" t="s">
        <v>54</v>
      </c>
      <c r="C230" s="1" t="s">
        <v>79</v>
      </c>
      <c r="D230" s="1" t="s">
        <v>31</v>
      </c>
      <c r="E230" s="4">
        <v>20</v>
      </c>
      <c r="F230" s="4">
        <v>9</v>
      </c>
      <c r="G230" s="1" t="s">
        <v>43</v>
      </c>
      <c r="H230" s="1" t="s">
        <v>20</v>
      </c>
      <c r="I230" s="5" t="s">
        <v>566</v>
      </c>
      <c r="J230" s="4">
        <v>67</v>
      </c>
      <c r="M230" s="1" t="s">
        <v>132</v>
      </c>
      <c r="N230" s="1" t="s">
        <v>29</v>
      </c>
      <c r="O230" s="1" t="s">
        <v>12</v>
      </c>
      <c r="P230" s="1" t="s">
        <v>13</v>
      </c>
      <c r="Q230" s="4">
        <v>17</v>
      </c>
      <c r="R230" s="4">
        <v>10</v>
      </c>
      <c r="S230" s="1" t="s">
        <v>25</v>
      </c>
      <c r="T230" s="1" t="s">
        <v>37</v>
      </c>
      <c r="U230" s="5" t="s">
        <v>133</v>
      </c>
      <c r="V230" s="4">
        <v>88</v>
      </c>
    </row>
    <row r="231" spans="1:22" x14ac:dyDescent="0.3">
      <c r="A231" s="1" t="s">
        <v>618</v>
      </c>
      <c r="B231" s="1" t="s">
        <v>73</v>
      </c>
      <c r="C231" s="1" t="s">
        <v>85</v>
      </c>
      <c r="D231" s="1" t="s">
        <v>31</v>
      </c>
      <c r="E231" s="4">
        <v>14</v>
      </c>
      <c r="F231" s="4">
        <v>11</v>
      </c>
      <c r="G231" s="1" t="s">
        <v>25</v>
      </c>
      <c r="H231" s="1" t="s">
        <v>20</v>
      </c>
      <c r="I231" s="5" t="s">
        <v>619</v>
      </c>
      <c r="J231" s="4">
        <v>67</v>
      </c>
      <c r="M231" s="1" t="s">
        <v>150</v>
      </c>
      <c r="N231" s="1" t="s">
        <v>23</v>
      </c>
      <c r="O231" s="1" t="s">
        <v>55</v>
      </c>
      <c r="P231" s="1" t="s">
        <v>31</v>
      </c>
      <c r="Q231" s="4">
        <v>17</v>
      </c>
      <c r="R231" s="4">
        <v>9</v>
      </c>
      <c r="S231" s="1" t="s">
        <v>25</v>
      </c>
      <c r="T231" s="1" t="s">
        <v>20</v>
      </c>
      <c r="U231" s="5" t="s">
        <v>151</v>
      </c>
      <c r="V231" s="4">
        <v>55</v>
      </c>
    </row>
    <row r="232" spans="1:22" x14ac:dyDescent="0.3">
      <c r="A232" s="1" t="s">
        <v>681</v>
      </c>
      <c r="B232" s="1" t="s">
        <v>35</v>
      </c>
      <c r="C232" s="1" t="s">
        <v>36</v>
      </c>
      <c r="D232" s="1" t="s">
        <v>13</v>
      </c>
      <c r="E232" s="4">
        <v>14</v>
      </c>
      <c r="F232" s="4">
        <v>9</v>
      </c>
      <c r="G232" s="1" t="s">
        <v>43</v>
      </c>
      <c r="H232" s="1" t="s">
        <v>46</v>
      </c>
      <c r="I232" s="5" t="s">
        <v>682</v>
      </c>
      <c r="J232" s="4">
        <v>67</v>
      </c>
      <c r="M232" s="1" t="s">
        <v>152</v>
      </c>
      <c r="N232" s="1" t="s">
        <v>23</v>
      </c>
      <c r="O232" s="1" t="s">
        <v>55</v>
      </c>
      <c r="P232" s="1" t="s">
        <v>13</v>
      </c>
      <c r="Q232" s="4">
        <v>17</v>
      </c>
      <c r="R232" s="4">
        <v>12</v>
      </c>
      <c r="S232" s="1" t="s">
        <v>32</v>
      </c>
      <c r="T232" s="1" t="s">
        <v>46</v>
      </c>
      <c r="U232" s="5" t="s">
        <v>153</v>
      </c>
      <c r="V232" s="4">
        <v>39</v>
      </c>
    </row>
    <row r="233" spans="1:22" x14ac:dyDescent="0.3">
      <c r="A233" s="1" t="s">
        <v>747</v>
      </c>
      <c r="B233" s="1" t="s">
        <v>51</v>
      </c>
      <c r="C233" s="1" t="s">
        <v>96</v>
      </c>
      <c r="D233" s="1" t="s">
        <v>13</v>
      </c>
      <c r="E233" s="4">
        <v>17</v>
      </c>
      <c r="F233" s="4">
        <v>12</v>
      </c>
      <c r="G233" s="1" t="s">
        <v>14</v>
      </c>
      <c r="H233" s="1" t="s">
        <v>26</v>
      </c>
      <c r="I233" s="5" t="s">
        <v>748</v>
      </c>
      <c r="J233" s="4">
        <v>67</v>
      </c>
      <c r="M233" s="1" t="s">
        <v>160</v>
      </c>
      <c r="N233" s="1" t="s">
        <v>51</v>
      </c>
      <c r="O233" s="1" t="s">
        <v>85</v>
      </c>
      <c r="P233" s="1" t="s">
        <v>31</v>
      </c>
      <c r="Q233" s="4">
        <v>17</v>
      </c>
      <c r="R233" s="4">
        <v>11</v>
      </c>
      <c r="S233" s="1" t="s">
        <v>43</v>
      </c>
      <c r="T233" s="1" t="s">
        <v>37</v>
      </c>
      <c r="U233" s="5" t="s">
        <v>161</v>
      </c>
      <c r="V233" s="4">
        <v>99</v>
      </c>
    </row>
    <row r="234" spans="1:22" x14ac:dyDescent="0.3">
      <c r="A234" s="1" t="s">
        <v>75</v>
      </c>
      <c r="B234" s="1" t="s">
        <v>29</v>
      </c>
      <c r="C234" s="1" t="s">
        <v>58</v>
      </c>
      <c r="D234" s="1" t="s">
        <v>31</v>
      </c>
      <c r="E234" s="4">
        <v>17</v>
      </c>
      <c r="F234" s="4">
        <v>12</v>
      </c>
      <c r="G234" s="1" t="s">
        <v>32</v>
      </c>
      <c r="H234" s="1" t="s">
        <v>76</v>
      </c>
      <c r="I234" s="5" t="s">
        <v>77</v>
      </c>
      <c r="J234" s="4">
        <v>66</v>
      </c>
      <c r="M234" s="1" t="s">
        <v>164</v>
      </c>
      <c r="N234" s="1" t="s">
        <v>23</v>
      </c>
      <c r="O234" s="1" t="s">
        <v>19</v>
      </c>
      <c r="P234" s="1" t="s">
        <v>31</v>
      </c>
      <c r="Q234" s="4">
        <v>17</v>
      </c>
      <c r="R234" s="4">
        <v>9</v>
      </c>
      <c r="S234" s="1" t="s">
        <v>25</v>
      </c>
      <c r="T234" s="1" t="s">
        <v>15</v>
      </c>
      <c r="U234" s="5" t="s">
        <v>165</v>
      </c>
      <c r="V234" s="4">
        <v>64</v>
      </c>
    </row>
    <row r="235" spans="1:22" x14ac:dyDescent="0.3">
      <c r="A235" s="1" t="s">
        <v>124</v>
      </c>
      <c r="B235" s="1" t="s">
        <v>68</v>
      </c>
      <c r="C235" s="1" t="s">
        <v>36</v>
      </c>
      <c r="D235" s="1" t="s">
        <v>13</v>
      </c>
      <c r="E235" s="4">
        <v>18</v>
      </c>
      <c r="F235" s="4">
        <v>10</v>
      </c>
      <c r="G235" s="1" t="s">
        <v>43</v>
      </c>
      <c r="H235" s="1" t="s">
        <v>20</v>
      </c>
      <c r="I235" s="5" t="s">
        <v>125</v>
      </c>
      <c r="J235" s="4">
        <v>66</v>
      </c>
      <c r="M235" s="1" t="s">
        <v>168</v>
      </c>
      <c r="N235" s="1" t="s">
        <v>18</v>
      </c>
      <c r="O235" s="1" t="s">
        <v>79</v>
      </c>
      <c r="P235" s="1" t="s">
        <v>13</v>
      </c>
      <c r="Q235" s="4">
        <v>17</v>
      </c>
      <c r="R235" s="4">
        <v>12</v>
      </c>
      <c r="S235" s="1" t="s">
        <v>25</v>
      </c>
      <c r="T235" s="1" t="s">
        <v>26</v>
      </c>
      <c r="U235" s="5" t="s">
        <v>137</v>
      </c>
      <c r="V235" s="4">
        <v>82</v>
      </c>
    </row>
    <row r="236" spans="1:22" x14ac:dyDescent="0.3">
      <c r="A236" s="1" t="s">
        <v>187</v>
      </c>
      <c r="B236" s="1" t="s">
        <v>51</v>
      </c>
      <c r="C236" s="1" t="s">
        <v>12</v>
      </c>
      <c r="D236" s="1" t="s">
        <v>31</v>
      </c>
      <c r="E236" s="4">
        <v>17</v>
      </c>
      <c r="F236" s="4">
        <v>10</v>
      </c>
      <c r="G236" s="1" t="s">
        <v>43</v>
      </c>
      <c r="H236" s="1" t="s">
        <v>46</v>
      </c>
      <c r="I236" s="5" t="s">
        <v>101</v>
      </c>
      <c r="J236" s="4">
        <v>66</v>
      </c>
      <c r="M236" s="1" t="s">
        <v>183</v>
      </c>
      <c r="N236" s="1" t="s">
        <v>11</v>
      </c>
      <c r="O236" s="1" t="s">
        <v>30</v>
      </c>
      <c r="P236" s="1" t="s">
        <v>31</v>
      </c>
      <c r="Q236" s="4">
        <v>17</v>
      </c>
      <c r="R236" s="4">
        <v>12</v>
      </c>
      <c r="S236" s="1" t="s">
        <v>14</v>
      </c>
      <c r="T236" s="1" t="s">
        <v>37</v>
      </c>
      <c r="U236" s="5" t="s">
        <v>184</v>
      </c>
      <c r="V236" s="4">
        <v>49</v>
      </c>
    </row>
    <row r="237" spans="1:22" x14ac:dyDescent="0.3">
      <c r="A237" s="1" t="s">
        <v>233</v>
      </c>
      <c r="B237" s="1" t="s">
        <v>11</v>
      </c>
      <c r="C237" s="1" t="s">
        <v>55</v>
      </c>
      <c r="D237" s="1" t="s">
        <v>13</v>
      </c>
      <c r="E237" s="4">
        <v>14</v>
      </c>
      <c r="F237" s="4">
        <v>9</v>
      </c>
      <c r="G237" s="1" t="s">
        <v>25</v>
      </c>
      <c r="H237" s="1" t="s">
        <v>37</v>
      </c>
      <c r="I237" s="5" t="s">
        <v>234</v>
      </c>
      <c r="J237" s="4">
        <v>66</v>
      </c>
      <c r="M237" s="1" t="s">
        <v>187</v>
      </c>
      <c r="N237" s="1" t="s">
        <v>51</v>
      </c>
      <c r="O237" s="1" t="s">
        <v>12</v>
      </c>
      <c r="P237" s="1" t="s">
        <v>31</v>
      </c>
      <c r="Q237" s="4">
        <v>17</v>
      </c>
      <c r="R237" s="4">
        <v>10</v>
      </c>
      <c r="S237" s="1" t="s">
        <v>43</v>
      </c>
      <c r="T237" s="1" t="s">
        <v>46</v>
      </c>
      <c r="U237" s="5" t="s">
        <v>101</v>
      </c>
      <c r="V237" s="4">
        <v>66</v>
      </c>
    </row>
    <row r="238" spans="1:22" x14ac:dyDescent="0.3">
      <c r="A238" s="1" t="s">
        <v>247</v>
      </c>
      <c r="B238" s="1" t="s">
        <v>29</v>
      </c>
      <c r="C238" s="1" t="s">
        <v>58</v>
      </c>
      <c r="D238" s="1" t="s">
        <v>31</v>
      </c>
      <c r="E238" s="4">
        <v>14</v>
      </c>
      <c r="F238" s="4">
        <v>12</v>
      </c>
      <c r="G238" s="1" t="s">
        <v>14</v>
      </c>
      <c r="H238" s="1" t="s">
        <v>40</v>
      </c>
      <c r="I238" s="5" t="s">
        <v>248</v>
      </c>
      <c r="J238" s="4">
        <v>66</v>
      </c>
      <c r="M238" s="1" t="s">
        <v>203</v>
      </c>
      <c r="N238" s="1" t="s">
        <v>35</v>
      </c>
      <c r="O238" s="1" t="s">
        <v>96</v>
      </c>
      <c r="P238" s="1" t="s">
        <v>13</v>
      </c>
      <c r="Q238" s="4">
        <v>17</v>
      </c>
      <c r="R238" s="4">
        <v>12</v>
      </c>
      <c r="S238" s="1" t="s">
        <v>25</v>
      </c>
      <c r="T238" s="1" t="s">
        <v>20</v>
      </c>
      <c r="U238" s="5" t="s">
        <v>204</v>
      </c>
      <c r="V238" s="4">
        <v>90</v>
      </c>
    </row>
    <row r="239" spans="1:22" x14ac:dyDescent="0.3">
      <c r="A239" s="1" t="s">
        <v>281</v>
      </c>
      <c r="B239" s="1" t="s">
        <v>51</v>
      </c>
      <c r="C239" s="1" t="s">
        <v>36</v>
      </c>
      <c r="D239" s="1" t="s">
        <v>31</v>
      </c>
      <c r="E239" s="4">
        <v>15</v>
      </c>
      <c r="F239" s="4">
        <v>11</v>
      </c>
      <c r="G239" s="1" t="s">
        <v>43</v>
      </c>
      <c r="H239" s="1" t="s">
        <v>37</v>
      </c>
      <c r="I239" s="5" t="s">
        <v>282</v>
      </c>
      <c r="J239" s="4">
        <v>66</v>
      </c>
      <c r="M239" s="1" t="s">
        <v>205</v>
      </c>
      <c r="N239" s="1" t="s">
        <v>73</v>
      </c>
      <c r="O239" s="1" t="s">
        <v>24</v>
      </c>
      <c r="P239" s="1" t="s">
        <v>13</v>
      </c>
      <c r="Q239" s="4">
        <v>17</v>
      </c>
      <c r="R239" s="4">
        <v>9</v>
      </c>
      <c r="S239" s="1" t="s">
        <v>14</v>
      </c>
      <c r="T239" s="1" t="s">
        <v>46</v>
      </c>
      <c r="U239" s="5" t="s">
        <v>206</v>
      </c>
      <c r="V239" s="4">
        <v>59</v>
      </c>
    </row>
    <row r="240" spans="1:22" x14ac:dyDescent="0.3">
      <c r="A240" s="1" t="s">
        <v>300</v>
      </c>
      <c r="B240" s="1" t="s">
        <v>11</v>
      </c>
      <c r="C240" s="1" t="s">
        <v>79</v>
      </c>
      <c r="D240" s="1" t="s">
        <v>31</v>
      </c>
      <c r="E240" s="4">
        <v>18</v>
      </c>
      <c r="F240" s="4">
        <v>9</v>
      </c>
      <c r="G240" s="1" t="s">
        <v>14</v>
      </c>
      <c r="H240" s="1" t="s">
        <v>20</v>
      </c>
      <c r="I240" s="5" t="s">
        <v>301</v>
      </c>
      <c r="J240" s="4">
        <v>66</v>
      </c>
      <c r="M240" s="1" t="s">
        <v>213</v>
      </c>
      <c r="N240" s="1" t="s">
        <v>29</v>
      </c>
      <c r="O240" s="1" t="s">
        <v>24</v>
      </c>
      <c r="P240" s="1" t="s">
        <v>31</v>
      </c>
      <c r="Q240" s="4">
        <v>17</v>
      </c>
      <c r="R240" s="4">
        <v>11</v>
      </c>
      <c r="S240" s="1" t="s">
        <v>14</v>
      </c>
      <c r="T240" s="1" t="s">
        <v>76</v>
      </c>
      <c r="U240" s="5" t="s">
        <v>214</v>
      </c>
      <c r="V240" s="4">
        <v>74</v>
      </c>
    </row>
    <row r="241" spans="1:22" x14ac:dyDescent="0.3">
      <c r="A241" s="1" t="s">
        <v>302</v>
      </c>
      <c r="B241" s="1" t="s">
        <v>29</v>
      </c>
      <c r="C241" s="1" t="s">
        <v>79</v>
      </c>
      <c r="D241" s="1" t="s">
        <v>13</v>
      </c>
      <c r="E241" s="4">
        <v>14</v>
      </c>
      <c r="F241" s="4">
        <v>12</v>
      </c>
      <c r="G241" s="1" t="s">
        <v>14</v>
      </c>
      <c r="H241" s="1" t="s">
        <v>20</v>
      </c>
      <c r="I241" s="5" t="s">
        <v>303</v>
      </c>
      <c r="J241" s="4">
        <v>66</v>
      </c>
      <c r="M241" s="1" t="s">
        <v>217</v>
      </c>
      <c r="N241" s="1" t="s">
        <v>84</v>
      </c>
      <c r="O241" s="1" t="s">
        <v>96</v>
      </c>
      <c r="P241" s="1" t="s">
        <v>31</v>
      </c>
      <c r="Q241" s="4">
        <v>17</v>
      </c>
      <c r="R241" s="4">
        <v>10</v>
      </c>
      <c r="S241" s="1" t="s">
        <v>43</v>
      </c>
      <c r="T241" s="1" t="s">
        <v>46</v>
      </c>
      <c r="U241" s="5" t="s">
        <v>218</v>
      </c>
      <c r="V241" s="4">
        <v>46</v>
      </c>
    </row>
    <row r="242" spans="1:22" x14ac:dyDescent="0.3">
      <c r="A242" s="1" t="s">
        <v>320</v>
      </c>
      <c r="B242" s="1" t="s">
        <v>84</v>
      </c>
      <c r="C242" s="1" t="s">
        <v>55</v>
      </c>
      <c r="D242" s="1" t="s">
        <v>31</v>
      </c>
      <c r="E242" s="4">
        <v>16</v>
      </c>
      <c r="F242" s="4">
        <v>12</v>
      </c>
      <c r="G242" s="1" t="s">
        <v>32</v>
      </c>
      <c r="H242" s="1" t="s">
        <v>76</v>
      </c>
      <c r="I242" s="5" t="s">
        <v>321</v>
      </c>
      <c r="J242" s="4">
        <v>66</v>
      </c>
      <c r="M242" s="1" t="s">
        <v>227</v>
      </c>
      <c r="N242" s="1" t="s">
        <v>68</v>
      </c>
      <c r="O242" s="1" t="s">
        <v>58</v>
      </c>
      <c r="P242" s="1" t="s">
        <v>13</v>
      </c>
      <c r="Q242" s="4">
        <v>17</v>
      </c>
      <c r="R242" s="4">
        <v>12</v>
      </c>
      <c r="S242" s="1" t="s">
        <v>32</v>
      </c>
      <c r="T242" s="1" t="s">
        <v>26</v>
      </c>
      <c r="U242" s="5" t="s">
        <v>228</v>
      </c>
      <c r="V242" s="4">
        <v>37</v>
      </c>
    </row>
    <row r="243" spans="1:22" x14ac:dyDescent="0.3">
      <c r="A243" s="1" t="s">
        <v>357</v>
      </c>
      <c r="B243" s="1" t="s">
        <v>23</v>
      </c>
      <c r="C243" s="1" t="s">
        <v>24</v>
      </c>
      <c r="D243" s="1" t="s">
        <v>13</v>
      </c>
      <c r="E243" s="4">
        <v>16</v>
      </c>
      <c r="F243" s="4">
        <v>9</v>
      </c>
      <c r="G243" s="1" t="s">
        <v>25</v>
      </c>
      <c r="H243" s="1" t="s">
        <v>20</v>
      </c>
      <c r="I243" s="5" t="s">
        <v>358</v>
      </c>
      <c r="J243" s="4">
        <v>66</v>
      </c>
      <c r="M243" s="1" t="s">
        <v>229</v>
      </c>
      <c r="N243" s="1" t="s">
        <v>68</v>
      </c>
      <c r="O243" s="1" t="s">
        <v>24</v>
      </c>
      <c r="P243" s="1" t="s">
        <v>13</v>
      </c>
      <c r="Q243" s="4">
        <v>17</v>
      </c>
      <c r="R243" s="4">
        <v>11</v>
      </c>
      <c r="S243" s="1" t="s">
        <v>43</v>
      </c>
      <c r="T243" s="1" t="s">
        <v>26</v>
      </c>
      <c r="U243" s="5" t="s">
        <v>230</v>
      </c>
      <c r="V243" s="4">
        <v>53</v>
      </c>
    </row>
    <row r="244" spans="1:22" x14ac:dyDescent="0.3">
      <c r="A244" s="1" t="s">
        <v>378</v>
      </c>
      <c r="B244" s="1" t="s">
        <v>18</v>
      </c>
      <c r="C244" s="1" t="s">
        <v>55</v>
      </c>
      <c r="D244" s="1" t="s">
        <v>31</v>
      </c>
      <c r="E244" s="4">
        <v>17</v>
      </c>
      <c r="F244" s="4">
        <v>9</v>
      </c>
      <c r="G244" s="1" t="s">
        <v>32</v>
      </c>
      <c r="H244" s="1" t="s">
        <v>26</v>
      </c>
      <c r="I244" s="5" t="s">
        <v>379</v>
      </c>
      <c r="J244" s="4">
        <v>66</v>
      </c>
      <c r="M244" s="1" t="s">
        <v>289</v>
      </c>
      <c r="N244" s="1" t="s">
        <v>23</v>
      </c>
      <c r="O244" s="1" t="s">
        <v>79</v>
      </c>
      <c r="P244" s="1" t="s">
        <v>31</v>
      </c>
      <c r="Q244" s="4">
        <v>17</v>
      </c>
      <c r="R244" s="4">
        <v>9</v>
      </c>
      <c r="S244" s="1" t="s">
        <v>25</v>
      </c>
      <c r="T244" s="1" t="s">
        <v>37</v>
      </c>
      <c r="U244" s="5" t="s">
        <v>290</v>
      </c>
      <c r="V244" s="4">
        <v>62</v>
      </c>
    </row>
    <row r="245" spans="1:22" x14ac:dyDescent="0.3">
      <c r="A245" s="1" t="s">
        <v>510</v>
      </c>
      <c r="B245" s="1" t="s">
        <v>54</v>
      </c>
      <c r="C245" s="1" t="s">
        <v>79</v>
      </c>
      <c r="D245" s="1" t="s">
        <v>31</v>
      </c>
      <c r="E245" s="4">
        <v>15</v>
      </c>
      <c r="F245" s="4">
        <v>9</v>
      </c>
      <c r="G245" s="1" t="s">
        <v>14</v>
      </c>
      <c r="H245" s="1" t="s">
        <v>40</v>
      </c>
      <c r="I245" s="5" t="s">
        <v>479</v>
      </c>
      <c r="J245" s="4">
        <v>66</v>
      </c>
      <c r="M245" s="1" t="s">
        <v>369</v>
      </c>
      <c r="N245" s="1" t="s">
        <v>23</v>
      </c>
      <c r="O245" s="1" t="s">
        <v>24</v>
      </c>
      <c r="P245" s="1" t="s">
        <v>31</v>
      </c>
      <c r="Q245" s="4">
        <v>17</v>
      </c>
      <c r="R245" s="4">
        <v>12</v>
      </c>
      <c r="S245" s="1" t="s">
        <v>43</v>
      </c>
      <c r="T245" s="1" t="s">
        <v>61</v>
      </c>
      <c r="U245" s="5" t="s">
        <v>370</v>
      </c>
      <c r="V245" s="4">
        <v>96</v>
      </c>
    </row>
    <row r="246" spans="1:22" x14ac:dyDescent="0.3">
      <c r="A246" s="1" t="s">
        <v>871</v>
      </c>
      <c r="B246" s="1" t="s">
        <v>11</v>
      </c>
      <c r="C246" s="1" t="s">
        <v>12</v>
      </c>
      <c r="D246" s="1" t="s">
        <v>13</v>
      </c>
      <c r="E246" s="4">
        <v>20</v>
      </c>
      <c r="F246" s="4">
        <v>10</v>
      </c>
      <c r="G246" s="1" t="s">
        <v>25</v>
      </c>
      <c r="H246" s="1" t="s">
        <v>76</v>
      </c>
      <c r="I246" s="5" t="s">
        <v>872</v>
      </c>
      <c r="J246" s="4">
        <v>66</v>
      </c>
      <c r="M246" s="1" t="s">
        <v>378</v>
      </c>
      <c r="N246" s="1" t="s">
        <v>18</v>
      </c>
      <c r="O246" s="1" t="s">
        <v>55</v>
      </c>
      <c r="P246" s="1" t="s">
        <v>31</v>
      </c>
      <c r="Q246" s="4">
        <v>17</v>
      </c>
      <c r="R246" s="4">
        <v>9</v>
      </c>
      <c r="S246" s="1" t="s">
        <v>32</v>
      </c>
      <c r="T246" s="1" t="s">
        <v>26</v>
      </c>
      <c r="U246" s="5" t="s">
        <v>379</v>
      </c>
      <c r="V246" s="4">
        <v>66</v>
      </c>
    </row>
    <row r="247" spans="1:22" x14ac:dyDescent="0.3">
      <c r="A247" s="1" t="s">
        <v>136</v>
      </c>
      <c r="B247" s="1" t="s">
        <v>11</v>
      </c>
      <c r="C247" s="1" t="s">
        <v>79</v>
      </c>
      <c r="D247" s="1" t="s">
        <v>13</v>
      </c>
      <c r="E247" s="4">
        <v>14</v>
      </c>
      <c r="F247" s="4">
        <v>10</v>
      </c>
      <c r="G247" s="1" t="s">
        <v>43</v>
      </c>
      <c r="H247" s="1" t="s">
        <v>61</v>
      </c>
      <c r="I247" s="5" t="s">
        <v>137</v>
      </c>
      <c r="J247" s="4">
        <v>65</v>
      </c>
      <c r="M247" s="1" t="s">
        <v>399</v>
      </c>
      <c r="N247" s="1" t="s">
        <v>35</v>
      </c>
      <c r="O247" s="1" t="s">
        <v>79</v>
      </c>
      <c r="P247" s="1" t="s">
        <v>13</v>
      </c>
      <c r="Q247" s="4">
        <v>17</v>
      </c>
      <c r="R247" s="4">
        <v>10</v>
      </c>
      <c r="S247" s="1" t="s">
        <v>43</v>
      </c>
      <c r="T247" s="1" t="s">
        <v>37</v>
      </c>
      <c r="U247" s="5" t="s">
        <v>400</v>
      </c>
      <c r="V247" s="4">
        <v>78</v>
      </c>
    </row>
    <row r="248" spans="1:22" x14ac:dyDescent="0.3">
      <c r="A248" s="1" t="s">
        <v>235</v>
      </c>
      <c r="B248" s="1" t="s">
        <v>11</v>
      </c>
      <c r="C248" s="1" t="s">
        <v>36</v>
      </c>
      <c r="D248" s="1" t="s">
        <v>31</v>
      </c>
      <c r="E248" s="4">
        <v>14</v>
      </c>
      <c r="F248" s="4">
        <v>12</v>
      </c>
      <c r="G248" s="1" t="s">
        <v>43</v>
      </c>
      <c r="H248" s="1" t="s">
        <v>40</v>
      </c>
      <c r="I248" s="5" t="s">
        <v>236</v>
      </c>
      <c r="J248" s="4">
        <v>65</v>
      </c>
      <c r="M248" s="1" t="s">
        <v>408</v>
      </c>
      <c r="N248" s="1" t="s">
        <v>51</v>
      </c>
      <c r="O248" s="1" t="s">
        <v>85</v>
      </c>
      <c r="P248" s="1" t="s">
        <v>13</v>
      </c>
      <c r="Q248" s="4">
        <v>17</v>
      </c>
      <c r="R248" s="4">
        <v>11</v>
      </c>
      <c r="S248" s="1" t="s">
        <v>25</v>
      </c>
      <c r="T248" s="1" t="s">
        <v>46</v>
      </c>
      <c r="U248" s="5" t="s">
        <v>52</v>
      </c>
      <c r="V248" s="4">
        <v>42</v>
      </c>
    </row>
    <row r="249" spans="1:22" x14ac:dyDescent="0.3">
      <c r="A249" s="1" t="s">
        <v>395</v>
      </c>
      <c r="B249" s="1" t="s">
        <v>11</v>
      </c>
      <c r="C249" s="1" t="s">
        <v>96</v>
      </c>
      <c r="D249" s="1" t="s">
        <v>13</v>
      </c>
      <c r="E249" s="4">
        <v>18</v>
      </c>
      <c r="F249" s="4">
        <v>11</v>
      </c>
      <c r="G249" s="1" t="s">
        <v>25</v>
      </c>
      <c r="H249" s="1" t="s">
        <v>37</v>
      </c>
      <c r="I249" s="5" t="s">
        <v>396</v>
      </c>
      <c r="J249" s="4">
        <v>65</v>
      </c>
      <c r="M249" s="1" t="s">
        <v>432</v>
      </c>
      <c r="N249" s="1" t="s">
        <v>51</v>
      </c>
      <c r="O249" s="1" t="s">
        <v>24</v>
      </c>
      <c r="P249" s="1" t="s">
        <v>31</v>
      </c>
      <c r="Q249" s="4">
        <v>17</v>
      </c>
      <c r="R249" s="4">
        <v>11</v>
      </c>
      <c r="S249" s="1" t="s">
        <v>43</v>
      </c>
      <c r="T249" s="1" t="s">
        <v>15</v>
      </c>
      <c r="U249" s="5" t="s">
        <v>400</v>
      </c>
      <c r="V249" s="4">
        <v>53</v>
      </c>
    </row>
    <row r="250" spans="1:22" x14ac:dyDescent="0.3">
      <c r="A250" s="1" t="s">
        <v>448</v>
      </c>
      <c r="B250" s="1" t="s">
        <v>73</v>
      </c>
      <c r="C250" s="1" t="s">
        <v>36</v>
      </c>
      <c r="D250" s="1" t="s">
        <v>31</v>
      </c>
      <c r="E250" s="4">
        <v>19</v>
      </c>
      <c r="F250" s="4">
        <v>12</v>
      </c>
      <c r="G250" s="1" t="s">
        <v>14</v>
      </c>
      <c r="H250" s="1" t="s">
        <v>37</v>
      </c>
      <c r="I250" s="5" t="s">
        <v>449</v>
      </c>
      <c r="J250" s="4">
        <v>65</v>
      </c>
      <c r="M250" s="1" t="s">
        <v>441</v>
      </c>
      <c r="N250" s="1" t="s">
        <v>35</v>
      </c>
      <c r="O250" s="1" t="s">
        <v>12</v>
      </c>
      <c r="P250" s="1" t="s">
        <v>13</v>
      </c>
      <c r="Q250" s="4">
        <v>17</v>
      </c>
      <c r="R250" s="4">
        <v>10</v>
      </c>
      <c r="S250" s="1" t="s">
        <v>32</v>
      </c>
      <c r="T250" s="1" t="s">
        <v>15</v>
      </c>
      <c r="U250" s="5" t="s">
        <v>442</v>
      </c>
      <c r="V250" s="4">
        <v>91</v>
      </c>
    </row>
    <row r="251" spans="1:22" x14ac:dyDescent="0.3">
      <c r="A251" s="1" t="s">
        <v>460</v>
      </c>
      <c r="B251" s="1" t="s">
        <v>51</v>
      </c>
      <c r="C251" s="1" t="s">
        <v>96</v>
      </c>
      <c r="D251" s="1" t="s">
        <v>31</v>
      </c>
      <c r="E251" s="4">
        <v>16</v>
      </c>
      <c r="F251" s="4">
        <v>12</v>
      </c>
      <c r="G251" s="1" t="s">
        <v>43</v>
      </c>
      <c r="H251" s="1" t="s">
        <v>15</v>
      </c>
      <c r="I251" s="5" t="s">
        <v>461</v>
      </c>
      <c r="J251" s="4">
        <v>65</v>
      </c>
      <c r="M251" s="1" t="s">
        <v>443</v>
      </c>
      <c r="N251" s="1" t="s">
        <v>18</v>
      </c>
      <c r="O251" s="1" t="s">
        <v>96</v>
      </c>
      <c r="P251" s="1" t="s">
        <v>13</v>
      </c>
      <c r="Q251" s="4">
        <v>17</v>
      </c>
      <c r="R251" s="4">
        <v>9</v>
      </c>
      <c r="S251" s="1" t="s">
        <v>43</v>
      </c>
      <c r="T251" s="1" t="s">
        <v>37</v>
      </c>
      <c r="U251" s="5" t="s">
        <v>444</v>
      </c>
      <c r="V251" s="4">
        <v>60</v>
      </c>
    </row>
    <row r="252" spans="1:22" x14ac:dyDescent="0.3">
      <c r="A252" s="1" t="s">
        <v>470</v>
      </c>
      <c r="B252" s="1" t="s">
        <v>35</v>
      </c>
      <c r="C252" s="1" t="s">
        <v>96</v>
      </c>
      <c r="D252" s="1" t="s">
        <v>31</v>
      </c>
      <c r="E252" s="4">
        <v>16</v>
      </c>
      <c r="F252" s="4">
        <v>11</v>
      </c>
      <c r="G252" s="1" t="s">
        <v>32</v>
      </c>
      <c r="H252" s="1" t="s">
        <v>61</v>
      </c>
      <c r="I252" s="5" t="s">
        <v>471</v>
      </c>
      <c r="J252" s="4">
        <v>65</v>
      </c>
      <c r="M252" s="1" t="s">
        <v>446</v>
      </c>
      <c r="N252" s="1" t="s">
        <v>73</v>
      </c>
      <c r="O252" s="1" t="s">
        <v>24</v>
      </c>
      <c r="P252" s="1" t="s">
        <v>13</v>
      </c>
      <c r="Q252" s="4">
        <v>17</v>
      </c>
      <c r="R252" s="4">
        <v>10</v>
      </c>
      <c r="S252" s="1" t="s">
        <v>14</v>
      </c>
      <c r="T252" s="1" t="s">
        <v>20</v>
      </c>
      <c r="U252" s="5" t="s">
        <v>447</v>
      </c>
      <c r="V252" s="4">
        <v>58</v>
      </c>
    </row>
    <row r="253" spans="1:22" x14ac:dyDescent="0.3">
      <c r="A253" s="1" t="s">
        <v>513</v>
      </c>
      <c r="B253" s="1" t="s">
        <v>11</v>
      </c>
      <c r="C253" s="1" t="s">
        <v>19</v>
      </c>
      <c r="D253" s="1" t="s">
        <v>31</v>
      </c>
      <c r="E253" s="4">
        <v>14</v>
      </c>
      <c r="F253" s="4">
        <v>12</v>
      </c>
      <c r="G253" s="1" t="s">
        <v>32</v>
      </c>
      <c r="H253" s="1" t="s">
        <v>15</v>
      </c>
      <c r="I253" s="5" t="s">
        <v>381</v>
      </c>
      <c r="J253" s="4">
        <v>65</v>
      </c>
      <c r="M253" s="1" t="s">
        <v>468</v>
      </c>
      <c r="N253" s="1" t="s">
        <v>73</v>
      </c>
      <c r="O253" s="1" t="s">
        <v>12</v>
      </c>
      <c r="P253" s="1" t="s">
        <v>13</v>
      </c>
      <c r="Q253" s="4">
        <v>17</v>
      </c>
      <c r="R253" s="4">
        <v>10</v>
      </c>
      <c r="S253" s="1" t="s">
        <v>43</v>
      </c>
      <c r="T253" s="1" t="s">
        <v>15</v>
      </c>
      <c r="U253" s="5" t="s">
        <v>469</v>
      </c>
      <c r="V253" s="4">
        <v>75</v>
      </c>
    </row>
    <row r="254" spans="1:22" x14ac:dyDescent="0.3">
      <c r="A254" s="1" t="s">
        <v>693</v>
      </c>
      <c r="B254" s="1" t="s">
        <v>73</v>
      </c>
      <c r="C254" s="1" t="s">
        <v>58</v>
      </c>
      <c r="D254" s="1" t="s">
        <v>31</v>
      </c>
      <c r="E254" s="4">
        <v>16</v>
      </c>
      <c r="F254" s="4">
        <v>11</v>
      </c>
      <c r="G254" s="1" t="s">
        <v>25</v>
      </c>
      <c r="H254" s="1" t="s">
        <v>37</v>
      </c>
      <c r="I254" s="5" t="s">
        <v>694</v>
      </c>
      <c r="J254" s="4">
        <v>65</v>
      </c>
      <c r="M254" s="1" t="s">
        <v>475</v>
      </c>
      <c r="N254" s="1" t="s">
        <v>35</v>
      </c>
      <c r="O254" s="1" t="s">
        <v>79</v>
      </c>
      <c r="P254" s="1" t="s">
        <v>13</v>
      </c>
      <c r="Q254" s="4">
        <v>17</v>
      </c>
      <c r="R254" s="4">
        <v>9</v>
      </c>
      <c r="S254" s="1" t="s">
        <v>32</v>
      </c>
      <c r="T254" s="1" t="s">
        <v>15</v>
      </c>
      <c r="U254" s="5" t="s">
        <v>248</v>
      </c>
      <c r="V254" s="4">
        <v>50</v>
      </c>
    </row>
    <row r="255" spans="1:22" x14ac:dyDescent="0.3">
      <c r="A255" s="1" t="s">
        <v>723</v>
      </c>
      <c r="B255" s="1" t="s">
        <v>68</v>
      </c>
      <c r="C255" s="1" t="s">
        <v>79</v>
      </c>
      <c r="D255" s="1" t="s">
        <v>31</v>
      </c>
      <c r="E255" s="4">
        <v>19</v>
      </c>
      <c r="F255" s="4">
        <v>12</v>
      </c>
      <c r="G255" s="1" t="s">
        <v>25</v>
      </c>
      <c r="H255" s="1" t="s">
        <v>40</v>
      </c>
      <c r="I255" s="5" t="s">
        <v>724</v>
      </c>
      <c r="J255" s="4">
        <v>65</v>
      </c>
      <c r="M255" s="1" t="s">
        <v>478</v>
      </c>
      <c r="N255" s="1" t="s">
        <v>11</v>
      </c>
      <c r="O255" s="1" t="s">
        <v>36</v>
      </c>
      <c r="P255" s="1" t="s">
        <v>13</v>
      </c>
      <c r="Q255" s="4">
        <v>17</v>
      </c>
      <c r="R255" s="4">
        <v>12</v>
      </c>
      <c r="S255" s="1" t="s">
        <v>14</v>
      </c>
      <c r="T255" s="1" t="s">
        <v>37</v>
      </c>
      <c r="U255" s="5" t="s">
        <v>479</v>
      </c>
      <c r="V255" s="4">
        <v>63</v>
      </c>
    </row>
    <row r="256" spans="1:22" x14ac:dyDescent="0.3">
      <c r="A256" s="1" t="s">
        <v>827</v>
      </c>
      <c r="B256" s="1" t="s">
        <v>35</v>
      </c>
      <c r="C256" s="1" t="s">
        <v>12</v>
      </c>
      <c r="D256" s="1" t="s">
        <v>13</v>
      </c>
      <c r="E256" s="4">
        <v>14</v>
      </c>
      <c r="F256" s="4">
        <v>12</v>
      </c>
      <c r="G256" s="1" t="s">
        <v>25</v>
      </c>
      <c r="H256" s="1" t="s">
        <v>61</v>
      </c>
      <c r="I256" s="5" t="s">
        <v>570</v>
      </c>
      <c r="J256" s="4">
        <v>65</v>
      </c>
      <c r="M256" s="1" t="s">
        <v>490</v>
      </c>
      <c r="N256" s="1" t="s">
        <v>73</v>
      </c>
      <c r="O256" s="1" t="s">
        <v>96</v>
      </c>
      <c r="P256" s="1" t="s">
        <v>13</v>
      </c>
      <c r="Q256" s="4">
        <v>17</v>
      </c>
      <c r="R256" s="4">
        <v>10</v>
      </c>
      <c r="S256" s="1" t="s">
        <v>32</v>
      </c>
      <c r="T256" s="1" t="s">
        <v>61</v>
      </c>
      <c r="U256" s="5" t="s">
        <v>491</v>
      </c>
      <c r="V256" s="4">
        <v>60</v>
      </c>
    </row>
    <row r="257" spans="1:22" x14ac:dyDescent="0.3">
      <c r="A257" s="1" t="s">
        <v>885</v>
      </c>
      <c r="B257" s="1" t="s">
        <v>51</v>
      </c>
      <c r="C257" s="1" t="s">
        <v>55</v>
      </c>
      <c r="D257" s="1" t="s">
        <v>13</v>
      </c>
      <c r="E257" s="4">
        <v>16</v>
      </c>
      <c r="F257" s="4">
        <v>11</v>
      </c>
      <c r="G257" s="1" t="s">
        <v>32</v>
      </c>
      <c r="H257" s="1" t="s">
        <v>76</v>
      </c>
      <c r="I257" s="5" t="s">
        <v>886</v>
      </c>
      <c r="J257" s="4">
        <v>65</v>
      </c>
      <c r="M257" s="1" t="s">
        <v>518</v>
      </c>
      <c r="N257" s="1" t="s">
        <v>51</v>
      </c>
      <c r="O257" s="1" t="s">
        <v>96</v>
      </c>
      <c r="P257" s="1" t="s">
        <v>31</v>
      </c>
      <c r="Q257" s="4">
        <v>17</v>
      </c>
      <c r="R257" s="4">
        <v>11</v>
      </c>
      <c r="S257" s="1" t="s">
        <v>25</v>
      </c>
      <c r="T257" s="1" t="s">
        <v>61</v>
      </c>
      <c r="U257" s="5" t="s">
        <v>519</v>
      </c>
      <c r="V257" s="4">
        <v>52</v>
      </c>
    </row>
    <row r="258" spans="1:22" x14ac:dyDescent="0.3">
      <c r="A258" s="1" t="s">
        <v>164</v>
      </c>
      <c r="B258" s="1" t="s">
        <v>23</v>
      </c>
      <c r="C258" s="1" t="s">
        <v>19</v>
      </c>
      <c r="D258" s="1" t="s">
        <v>31</v>
      </c>
      <c r="E258" s="4">
        <v>17</v>
      </c>
      <c r="F258" s="4">
        <v>9</v>
      </c>
      <c r="G258" s="1" t="s">
        <v>25</v>
      </c>
      <c r="H258" s="1" t="s">
        <v>15</v>
      </c>
      <c r="I258" s="5" t="s">
        <v>165</v>
      </c>
      <c r="J258" s="4">
        <v>64</v>
      </c>
      <c r="M258" s="1" t="s">
        <v>530</v>
      </c>
      <c r="N258" s="1" t="s">
        <v>54</v>
      </c>
      <c r="O258" s="1" t="s">
        <v>58</v>
      </c>
      <c r="P258" s="1" t="s">
        <v>13</v>
      </c>
      <c r="Q258" s="4">
        <v>17</v>
      </c>
      <c r="R258" s="4">
        <v>10</v>
      </c>
      <c r="S258" s="1" t="s">
        <v>32</v>
      </c>
      <c r="T258" s="1" t="s">
        <v>15</v>
      </c>
      <c r="U258" s="5" t="s">
        <v>64</v>
      </c>
      <c r="V258" s="4">
        <v>46</v>
      </c>
    </row>
    <row r="259" spans="1:22" x14ac:dyDescent="0.3">
      <c r="A259" s="1" t="s">
        <v>285</v>
      </c>
      <c r="B259" s="1" t="s">
        <v>18</v>
      </c>
      <c r="C259" s="1" t="s">
        <v>36</v>
      </c>
      <c r="D259" s="1" t="s">
        <v>31</v>
      </c>
      <c r="E259" s="4">
        <v>14</v>
      </c>
      <c r="F259" s="4">
        <v>11</v>
      </c>
      <c r="G259" s="1" t="s">
        <v>25</v>
      </c>
      <c r="H259" s="1" t="s">
        <v>46</v>
      </c>
      <c r="I259" s="5" t="s">
        <v>286</v>
      </c>
      <c r="J259" s="4">
        <v>64</v>
      </c>
      <c r="M259" s="1" t="s">
        <v>569</v>
      </c>
      <c r="N259" s="1" t="s">
        <v>54</v>
      </c>
      <c r="O259" s="1" t="s">
        <v>12</v>
      </c>
      <c r="P259" s="1" t="s">
        <v>31</v>
      </c>
      <c r="Q259" s="4">
        <v>17</v>
      </c>
      <c r="R259" s="4">
        <v>9</v>
      </c>
      <c r="S259" s="1" t="s">
        <v>25</v>
      </c>
      <c r="T259" s="1" t="s">
        <v>37</v>
      </c>
      <c r="U259" s="5" t="s">
        <v>570</v>
      </c>
      <c r="V259" s="4">
        <v>100</v>
      </c>
    </row>
    <row r="260" spans="1:22" x14ac:dyDescent="0.3">
      <c r="A260" s="1" t="s">
        <v>339</v>
      </c>
      <c r="B260" s="1" t="s">
        <v>23</v>
      </c>
      <c r="C260" s="1" t="s">
        <v>36</v>
      </c>
      <c r="D260" s="1" t="s">
        <v>13</v>
      </c>
      <c r="E260" s="4">
        <v>18</v>
      </c>
      <c r="F260" s="4">
        <v>9</v>
      </c>
      <c r="G260" s="1" t="s">
        <v>32</v>
      </c>
      <c r="H260" s="1" t="s">
        <v>37</v>
      </c>
      <c r="I260" s="5" t="s">
        <v>340</v>
      </c>
      <c r="J260" s="4">
        <v>64</v>
      </c>
      <c r="M260" s="1" t="s">
        <v>580</v>
      </c>
      <c r="N260" s="1" t="s">
        <v>29</v>
      </c>
      <c r="O260" s="1" t="s">
        <v>36</v>
      </c>
      <c r="P260" s="1" t="s">
        <v>13</v>
      </c>
      <c r="Q260" s="4">
        <v>17</v>
      </c>
      <c r="R260" s="4">
        <v>10</v>
      </c>
      <c r="S260" s="1" t="s">
        <v>32</v>
      </c>
      <c r="T260" s="1" t="s">
        <v>15</v>
      </c>
      <c r="U260" s="5" t="s">
        <v>581</v>
      </c>
      <c r="V260" s="4">
        <v>37</v>
      </c>
    </row>
    <row r="261" spans="1:22" x14ac:dyDescent="0.3">
      <c r="A261" s="1" t="s">
        <v>359</v>
      </c>
      <c r="B261" s="1" t="s">
        <v>68</v>
      </c>
      <c r="C261" s="1" t="s">
        <v>85</v>
      </c>
      <c r="D261" s="1" t="s">
        <v>13</v>
      </c>
      <c r="E261" s="4">
        <v>19</v>
      </c>
      <c r="F261" s="4">
        <v>11</v>
      </c>
      <c r="G261" s="1" t="s">
        <v>43</v>
      </c>
      <c r="H261" s="1" t="s">
        <v>76</v>
      </c>
      <c r="I261" s="5" t="s">
        <v>360</v>
      </c>
      <c r="J261" s="4">
        <v>64</v>
      </c>
      <c r="M261" s="1" t="s">
        <v>586</v>
      </c>
      <c r="N261" s="1" t="s">
        <v>11</v>
      </c>
      <c r="O261" s="1" t="s">
        <v>24</v>
      </c>
      <c r="P261" s="1" t="s">
        <v>31</v>
      </c>
      <c r="Q261" s="4">
        <v>17</v>
      </c>
      <c r="R261" s="4">
        <v>11</v>
      </c>
      <c r="S261" s="1" t="s">
        <v>43</v>
      </c>
      <c r="T261" s="1" t="s">
        <v>61</v>
      </c>
      <c r="U261" s="5" t="s">
        <v>587</v>
      </c>
      <c r="V261" s="4">
        <v>73</v>
      </c>
    </row>
    <row r="262" spans="1:22" x14ac:dyDescent="0.3">
      <c r="A262" s="1" t="s">
        <v>590</v>
      </c>
      <c r="B262" s="1" t="s">
        <v>35</v>
      </c>
      <c r="C262" s="1" t="s">
        <v>12</v>
      </c>
      <c r="D262" s="1" t="s">
        <v>13</v>
      </c>
      <c r="E262" s="4">
        <v>14</v>
      </c>
      <c r="F262" s="4">
        <v>11</v>
      </c>
      <c r="G262" s="1" t="s">
        <v>25</v>
      </c>
      <c r="H262" s="1" t="s">
        <v>20</v>
      </c>
      <c r="I262" s="5" t="s">
        <v>591</v>
      </c>
      <c r="J262" s="4">
        <v>64</v>
      </c>
      <c r="M262" s="1" t="s">
        <v>588</v>
      </c>
      <c r="N262" s="1" t="s">
        <v>68</v>
      </c>
      <c r="O262" s="1" t="s">
        <v>85</v>
      </c>
      <c r="P262" s="1" t="s">
        <v>31</v>
      </c>
      <c r="Q262" s="4">
        <v>17</v>
      </c>
      <c r="R262" s="4">
        <v>9</v>
      </c>
      <c r="S262" s="1" t="s">
        <v>25</v>
      </c>
      <c r="T262" s="1" t="s">
        <v>61</v>
      </c>
      <c r="U262" s="5" t="s">
        <v>589</v>
      </c>
      <c r="V262" s="4">
        <v>45</v>
      </c>
    </row>
    <row r="263" spans="1:22" x14ac:dyDescent="0.3">
      <c r="A263" s="1" t="s">
        <v>671</v>
      </c>
      <c r="B263" s="1" t="s">
        <v>11</v>
      </c>
      <c r="C263" s="1" t="s">
        <v>36</v>
      </c>
      <c r="D263" s="1" t="s">
        <v>13</v>
      </c>
      <c r="E263" s="4">
        <v>14</v>
      </c>
      <c r="F263" s="4">
        <v>10</v>
      </c>
      <c r="G263" s="1" t="s">
        <v>32</v>
      </c>
      <c r="H263" s="1" t="s">
        <v>40</v>
      </c>
      <c r="I263" s="5" t="s">
        <v>672</v>
      </c>
      <c r="J263" s="4">
        <v>64</v>
      </c>
      <c r="M263" s="1" t="s">
        <v>599</v>
      </c>
      <c r="N263" s="1" t="s">
        <v>84</v>
      </c>
      <c r="O263" s="1" t="s">
        <v>30</v>
      </c>
      <c r="P263" s="1" t="s">
        <v>13</v>
      </c>
      <c r="Q263" s="4">
        <v>17</v>
      </c>
      <c r="R263" s="4">
        <v>11</v>
      </c>
      <c r="S263" s="1" t="s">
        <v>43</v>
      </c>
      <c r="T263" s="1" t="s">
        <v>15</v>
      </c>
      <c r="U263" s="5" t="s">
        <v>600</v>
      </c>
      <c r="V263" s="4">
        <v>73</v>
      </c>
    </row>
    <row r="264" spans="1:22" x14ac:dyDescent="0.3">
      <c r="A264" s="1" t="s">
        <v>828</v>
      </c>
      <c r="B264" s="1" t="s">
        <v>29</v>
      </c>
      <c r="C264" s="1" t="s">
        <v>55</v>
      </c>
      <c r="D264" s="1" t="s">
        <v>13</v>
      </c>
      <c r="E264" s="4">
        <v>15</v>
      </c>
      <c r="F264" s="4">
        <v>9</v>
      </c>
      <c r="G264" s="1" t="s">
        <v>32</v>
      </c>
      <c r="H264" s="1" t="s">
        <v>40</v>
      </c>
      <c r="I264" s="5" t="s">
        <v>829</v>
      </c>
      <c r="J264" s="4">
        <v>64</v>
      </c>
      <c r="M264" s="1" t="s">
        <v>601</v>
      </c>
      <c r="N264" s="1" t="s">
        <v>73</v>
      </c>
      <c r="O264" s="1" t="s">
        <v>55</v>
      </c>
      <c r="P264" s="1" t="s">
        <v>31</v>
      </c>
      <c r="Q264" s="4">
        <v>17</v>
      </c>
      <c r="R264" s="4">
        <v>11</v>
      </c>
      <c r="S264" s="1" t="s">
        <v>43</v>
      </c>
      <c r="T264" s="1" t="s">
        <v>61</v>
      </c>
      <c r="U264" s="5" t="s">
        <v>502</v>
      </c>
      <c r="V264" s="4">
        <v>76</v>
      </c>
    </row>
    <row r="265" spans="1:22" x14ac:dyDescent="0.3">
      <c r="A265" s="1" t="s">
        <v>836</v>
      </c>
      <c r="B265" s="1" t="s">
        <v>18</v>
      </c>
      <c r="C265" s="1" t="s">
        <v>58</v>
      </c>
      <c r="D265" s="1" t="s">
        <v>13</v>
      </c>
      <c r="E265" s="4">
        <v>16</v>
      </c>
      <c r="F265" s="4">
        <v>9</v>
      </c>
      <c r="G265" s="1" t="s">
        <v>14</v>
      </c>
      <c r="H265" s="1" t="s">
        <v>37</v>
      </c>
      <c r="I265" s="5" t="s">
        <v>837</v>
      </c>
      <c r="J265" s="4">
        <v>64</v>
      </c>
      <c r="M265" s="1" t="s">
        <v>615</v>
      </c>
      <c r="N265" s="1" t="s">
        <v>18</v>
      </c>
      <c r="O265" s="1" t="s">
        <v>12</v>
      </c>
      <c r="P265" s="1" t="s">
        <v>13</v>
      </c>
      <c r="Q265" s="4">
        <v>17</v>
      </c>
      <c r="R265" s="4">
        <v>12</v>
      </c>
      <c r="S265" s="1" t="s">
        <v>14</v>
      </c>
      <c r="T265" s="1" t="s">
        <v>61</v>
      </c>
      <c r="U265" s="5" t="s">
        <v>616</v>
      </c>
      <c r="V265" s="4">
        <v>99</v>
      </c>
    </row>
    <row r="266" spans="1:22" x14ac:dyDescent="0.3">
      <c r="A266" s="1" t="s">
        <v>156</v>
      </c>
      <c r="B266" s="1" t="s">
        <v>35</v>
      </c>
      <c r="C266" s="1" t="s">
        <v>55</v>
      </c>
      <c r="D266" s="1" t="s">
        <v>13</v>
      </c>
      <c r="E266" s="4">
        <v>19</v>
      </c>
      <c r="F266" s="4">
        <v>11</v>
      </c>
      <c r="G266" s="1" t="s">
        <v>14</v>
      </c>
      <c r="H266" s="1" t="s">
        <v>40</v>
      </c>
      <c r="I266" s="5" t="s">
        <v>157</v>
      </c>
      <c r="J266" s="4">
        <v>63</v>
      </c>
      <c r="M266" s="1" t="s">
        <v>622</v>
      </c>
      <c r="N266" s="1" t="s">
        <v>23</v>
      </c>
      <c r="O266" s="1" t="s">
        <v>96</v>
      </c>
      <c r="P266" s="1" t="s">
        <v>31</v>
      </c>
      <c r="Q266" s="4">
        <v>17</v>
      </c>
      <c r="R266" s="4">
        <v>12</v>
      </c>
      <c r="S266" s="1" t="s">
        <v>43</v>
      </c>
      <c r="T266" s="1" t="s">
        <v>46</v>
      </c>
      <c r="U266" s="5" t="s">
        <v>170</v>
      </c>
      <c r="V266" s="4">
        <v>62</v>
      </c>
    </row>
    <row r="267" spans="1:22" x14ac:dyDescent="0.3">
      <c r="A267" s="1" t="s">
        <v>190</v>
      </c>
      <c r="B267" s="1" t="s">
        <v>18</v>
      </c>
      <c r="C267" s="1" t="s">
        <v>19</v>
      </c>
      <c r="D267" s="1" t="s">
        <v>31</v>
      </c>
      <c r="E267" s="4">
        <v>14</v>
      </c>
      <c r="F267" s="4">
        <v>12</v>
      </c>
      <c r="G267" s="1" t="s">
        <v>32</v>
      </c>
      <c r="H267" s="1" t="s">
        <v>37</v>
      </c>
      <c r="I267" s="5" t="s">
        <v>191</v>
      </c>
      <c r="J267" s="4">
        <v>63</v>
      </c>
      <c r="M267" s="1" t="s">
        <v>646</v>
      </c>
      <c r="N267" s="1" t="s">
        <v>84</v>
      </c>
      <c r="O267" s="1" t="s">
        <v>12</v>
      </c>
      <c r="P267" s="1" t="s">
        <v>31</v>
      </c>
      <c r="Q267" s="4">
        <v>17</v>
      </c>
      <c r="R267" s="4">
        <v>12</v>
      </c>
      <c r="S267" s="1" t="s">
        <v>25</v>
      </c>
      <c r="T267" s="1" t="s">
        <v>76</v>
      </c>
      <c r="U267" s="5" t="s">
        <v>647</v>
      </c>
      <c r="V267" s="4">
        <v>83</v>
      </c>
    </row>
    <row r="268" spans="1:22" x14ac:dyDescent="0.3">
      <c r="A268" s="1" t="s">
        <v>219</v>
      </c>
      <c r="B268" s="1" t="s">
        <v>68</v>
      </c>
      <c r="C268" s="1" t="s">
        <v>19</v>
      </c>
      <c r="D268" s="1" t="s">
        <v>13</v>
      </c>
      <c r="E268" s="4">
        <v>19</v>
      </c>
      <c r="F268" s="4">
        <v>9</v>
      </c>
      <c r="G268" s="1" t="s">
        <v>14</v>
      </c>
      <c r="H268" s="1" t="s">
        <v>40</v>
      </c>
      <c r="I268" s="5" t="s">
        <v>220</v>
      </c>
      <c r="J268" s="4">
        <v>63</v>
      </c>
      <c r="M268" s="1" t="s">
        <v>650</v>
      </c>
      <c r="N268" s="1" t="s">
        <v>23</v>
      </c>
      <c r="O268" s="1" t="s">
        <v>24</v>
      </c>
      <c r="P268" s="1" t="s">
        <v>13</v>
      </c>
      <c r="Q268" s="4">
        <v>17</v>
      </c>
      <c r="R268" s="4">
        <v>12</v>
      </c>
      <c r="S268" s="1" t="s">
        <v>25</v>
      </c>
      <c r="T268" s="1" t="s">
        <v>46</v>
      </c>
      <c r="U268" s="5" t="s">
        <v>651</v>
      </c>
      <c r="V268" s="4">
        <v>45</v>
      </c>
    </row>
    <row r="269" spans="1:22" x14ac:dyDescent="0.3">
      <c r="A269" s="1" t="s">
        <v>261</v>
      </c>
      <c r="B269" s="1" t="s">
        <v>23</v>
      </c>
      <c r="C269" s="1" t="s">
        <v>36</v>
      </c>
      <c r="D269" s="1" t="s">
        <v>13</v>
      </c>
      <c r="E269" s="4">
        <v>15</v>
      </c>
      <c r="F269" s="4">
        <v>11</v>
      </c>
      <c r="G269" s="1" t="s">
        <v>25</v>
      </c>
      <c r="H269" s="1" t="s">
        <v>26</v>
      </c>
      <c r="I269" s="5" t="s">
        <v>262</v>
      </c>
      <c r="J269" s="4">
        <v>63</v>
      </c>
      <c r="M269" s="1" t="s">
        <v>673</v>
      </c>
      <c r="N269" s="1" t="s">
        <v>11</v>
      </c>
      <c r="O269" s="1" t="s">
        <v>19</v>
      </c>
      <c r="P269" s="1" t="s">
        <v>31</v>
      </c>
      <c r="Q269" s="4">
        <v>17</v>
      </c>
      <c r="R269" s="4">
        <v>10</v>
      </c>
      <c r="S269" s="1" t="s">
        <v>32</v>
      </c>
      <c r="T269" s="1" t="s">
        <v>46</v>
      </c>
      <c r="U269" s="5" t="s">
        <v>674</v>
      </c>
      <c r="V269" s="4">
        <v>85</v>
      </c>
    </row>
    <row r="270" spans="1:22" x14ac:dyDescent="0.3">
      <c r="A270" s="1" t="s">
        <v>274</v>
      </c>
      <c r="B270" s="1" t="s">
        <v>35</v>
      </c>
      <c r="C270" s="1" t="s">
        <v>36</v>
      </c>
      <c r="D270" s="1" t="s">
        <v>13</v>
      </c>
      <c r="E270" s="4">
        <v>19</v>
      </c>
      <c r="F270" s="4">
        <v>9</v>
      </c>
      <c r="G270" s="1" t="s">
        <v>32</v>
      </c>
      <c r="H270" s="1" t="s">
        <v>61</v>
      </c>
      <c r="I270" s="5" t="s">
        <v>275</v>
      </c>
      <c r="J270" s="4">
        <v>63</v>
      </c>
      <c r="M270" s="1" t="s">
        <v>684</v>
      </c>
      <c r="N270" s="1" t="s">
        <v>54</v>
      </c>
      <c r="O270" s="1" t="s">
        <v>24</v>
      </c>
      <c r="P270" s="1" t="s">
        <v>31</v>
      </c>
      <c r="Q270" s="4">
        <v>17</v>
      </c>
      <c r="R270" s="4">
        <v>10</v>
      </c>
      <c r="S270" s="1" t="s">
        <v>43</v>
      </c>
      <c r="T270" s="1" t="s">
        <v>46</v>
      </c>
      <c r="U270" s="5" t="s">
        <v>685</v>
      </c>
      <c r="V270" s="4">
        <v>74</v>
      </c>
    </row>
    <row r="271" spans="1:22" x14ac:dyDescent="0.3">
      <c r="A271" s="1" t="s">
        <v>418</v>
      </c>
      <c r="B271" s="1" t="s">
        <v>84</v>
      </c>
      <c r="C271" s="1" t="s">
        <v>24</v>
      </c>
      <c r="D271" s="1" t="s">
        <v>13</v>
      </c>
      <c r="E271" s="4">
        <v>15</v>
      </c>
      <c r="F271" s="4">
        <v>9</v>
      </c>
      <c r="G271" s="1" t="s">
        <v>25</v>
      </c>
      <c r="H271" s="1" t="s">
        <v>20</v>
      </c>
      <c r="I271" s="5" t="s">
        <v>419</v>
      </c>
      <c r="J271" s="4">
        <v>63</v>
      </c>
      <c r="M271" s="1" t="s">
        <v>695</v>
      </c>
      <c r="N271" s="1" t="s">
        <v>51</v>
      </c>
      <c r="O271" s="1" t="s">
        <v>24</v>
      </c>
      <c r="P271" s="1" t="s">
        <v>13</v>
      </c>
      <c r="Q271" s="4">
        <v>17</v>
      </c>
      <c r="R271" s="4">
        <v>9</v>
      </c>
      <c r="S271" s="1" t="s">
        <v>32</v>
      </c>
      <c r="T271" s="1" t="s">
        <v>15</v>
      </c>
      <c r="U271" s="5" t="s">
        <v>696</v>
      </c>
      <c r="V271" s="4">
        <v>69</v>
      </c>
    </row>
    <row r="272" spans="1:22" x14ac:dyDescent="0.3">
      <c r="A272" s="1" t="s">
        <v>478</v>
      </c>
      <c r="B272" s="1" t="s">
        <v>11</v>
      </c>
      <c r="C272" s="1" t="s">
        <v>36</v>
      </c>
      <c r="D272" s="1" t="s">
        <v>13</v>
      </c>
      <c r="E272" s="4">
        <v>17</v>
      </c>
      <c r="F272" s="4">
        <v>12</v>
      </c>
      <c r="G272" s="1" t="s">
        <v>14</v>
      </c>
      <c r="H272" s="1" t="s">
        <v>37</v>
      </c>
      <c r="I272" s="5" t="s">
        <v>479</v>
      </c>
      <c r="J272" s="4">
        <v>63</v>
      </c>
      <c r="M272" s="1" t="s">
        <v>703</v>
      </c>
      <c r="N272" s="1" t="s">
        <v>73</v>
      </c>
      <c r="O272" s="1" t="s">
        <v>30</v>
      </c>
      <c r="P272" s="1" t="s">
        <v>31</v>
      </c>
      <c r="Q272" s="4">
        <v>17</v>
      </c>
      <c r="R272" s="4">
        <v>12</v>
      </c>
      <c r="S272" s="1" t="s">
        <v>32</v>
      </c>
      <c r="T272" s="1" t="s">
        <v>40</v>
      </c>
      <c r="U272" s="5" t="s">
        <v>704</v>
      </c>
      <c r="V272" s="4">
        <v>93</v>
      </c>
    </row>
    <row r="273" spans="1:22" x14ac:dyDescent="0.3">
      <c r="A273" s="1" t="s">
        <v>540</v>
      </c>
      <c r="B273" s="1" t="s">
        <v>51</v>
      </c>
      <c r="C273" s="1" t="s">
        <v>85</v>
      </c>
      <c r="D273" s="1" t="s">
        <v>13</v>
      </c>
      <c r="E273" s="4">
        <v>18</v>
      </c>
      <c r="F273" s="4">
        <v>10</v>
      </c>
      <c r="G273" s="1" t="s">
        <v>14</v>
      </c>
      <c r="H273" s="1" t="s">
        <v>46</v>
      </c>
      <c r="I273" s="5" t="s">
        <v>541</v>
      </c>
      <c r="J273" s="4">
        <v>63</v>
      </c>
      <c r="M273" s="1" t="s">
        <v>716</v>
      </c>
      <c r="N273" s="1" t="s">
        <v>23</v>
      </c>
      <c r="O273" s="1" t="s">
        <v>58</v>
      </c>
      <c r="P273" s="1" t="s">
        <v>31</v>
      </c>
      <c r="Q273" s="4">
        <v>17</v>
      </c>
      <c r="R273" s="4">
        <v>9</v>
      </c>
      <c r="S273" s="1" t="s">
        <v>25</v>
      </c>
      <c r="T273" s="1" t="s">
        <v>15</v>
      </c>
      <c r="U273" s="5" t="s">
        <v>717</v>
      </c>
      <c r="V273" s="4">
        <v>51</v>
      </c>
    </row>
    <row r="274" spans="1:22" x14ac:dyDescent="0.3">
      <c r="A274" s="1" t="s">
        <v>560</v>
      </c>
      <c r="B274" s="1" t="s">
        <v>68</v>
      </c>
      <c r="C274" s="1" t="s">
        <v>85</v>
      </c>
      <c r="D274" s="1" t="s">
        <v>31</v>
      </c>
      <c r="E274" s="4">
        <v>15</v>
      </c>
      <c r="F274" s="4">
        <v>10</v>
      </c>
      <c r="G274" s="1" t="s">
        <v>43</v>
      </c>
      <c r="H274" s="1" t="s">
        <v>26</v>
      </c>
      <c r="I274" s="5" t="s">
        <v>561</v>
      </c>
      <c r="J274" s="4">
        <v>63</v>
      </c>
      <c r="M274" s="1" t="s">
        <v>731</v>
      </c>
      <c r="N274" s="1" t="s">
        <v>84</v>
      </c>
      <c r="O274" s="1" t="s">
        <v>85</v>
      </c>
      <c r="P274" s="1" t="s">
        <v>31</v>
      </c>
      <c r="Q274" s="4">
        <v>17</v>
      </c>
      <c r="R274" s="4">
        <v>9</v>
      </c>
      <c r="S274" s="1" t="s">
        <v>43</v>
      </c>
      <c r="T274" s="1" t="s">
        <v>76</v>
      </c>
      <c r="U274" s="5" t="s">
        <v>732</v>
      </c>
      <c r="V274" s="4">
        <v>97</v>
      </c>
    </row>
    <row r="275" spans="1:22" x14ac:dyDescent="0.3">
      <c r="A275" s="1" t="s">
        <v>571</v>
      </c>
      <c r="B275" s="1" t="s">
        <v>68</v>
      </c>
      <c r="C275" s="1" t="s">
        <v>12</v>
      </c>
      <c r="D275" s="1" t="s">
        <v>13</v>
      </c>
      <c r="E275" s="4">
        <v>16</v>
      </c>
      <c r="F275" s="4">
        <v>10</v>
      </c>
      <c r="G275" s="1" t="s">
        <v>25</v>
      </c>
      <c r="H275" s="1" t="s">
        <v>26</v>
      </c>
      <c r="I275" s="5" t="s">
        <v>434</v>
      </c>
      <c r="J275" s="4">
        <v>63</v>
      </c>
      <c r="M275" s="1" t="s">
        <v>733</v>
      </c>
      <c r="N275" s="1" t="s">
        <v>84</v>
      </c>
      <c r="O275" s="1" t="s">
        <v>85</v>
      </c>
      <c r="P275" s="1" t="s">
        <v>31</v>
      </c>
      <c r="Q275" s="4">
        <v>17</v>
      </c>
      <c r="R275" s="4">
        <v>12</v>
      </c>
      <c r="S275" s="1" t="s">
        <v>43</v>
      </c>
      <c r="T275" s="1" t="s">
        <v>15</v>
      </c>
      <c r="U275" s="5" t="s">
        <v>734</v>
      </c>
      <c r="V275" s="4">
        <v>77</v>
      </c>
    </row>
    <row r="276" spans="1:22" x14ac:dyDescent="0.3">
      <c r="A276" s="1" t="s">
        <v>630</v>
      </c>
      <c r="B276" s="1" t="s">
        <v>84</v>
      </c>
      <c r="C276" s="1" t="s">
        <v>96</v>
      </c>
      <c r="D276" s="1" t="s">
        <v>31</v>
      </c>
      <c r="E276" s="4">
        <v>19</v>
      </c>
      <c r="F276" s="4">
        <v>10</v>
      </c>
      <c r="G276" s="1" t="s">
        <v>43</v>
      </c>
      <c r="H276" s="1" t="s">
        <v>20</v>
      </c>
      <c r="I276" s="5" t="s">
        <v>631</v>
      </c>
      <c r="J276" s="4">
        <v>63</v>
      </c>
      <c r="M276" s="1" t="s">
        <v>747</v>
      </c>
      <c r="N276" s="1" t="s">
        <v>51</v>
      </c>
      <c r="O276" s="1" t="s">
        <v>96</v>
      </c>
      <c r="P276" s="1" t="s">
        <v>13</v>
      </c>
      <c r="Q276" s="4">
        <v>17</v>
      </c>
      <c r="R276" s="4">
        <v>12</v>
      </c>
      <c r="S276" s="1" t="s">
        <v>14</v>
      </c>
      <c r="T276" s="1" t="s">
        <v>26</v>
      </c>
      <c r="U276" s="5" t="s">
        <v>748</v>
      </c>
      <c r="V276" s="4">
        <v>67</v>
      </c>
    </row>
    <row r="277" spans="1:22" x14ac:dyDescent="0.3">
      <c r="A277" s="1" t="s">
        <v>705</v>
      </c>
      <c r="B277" s="1" t="s">
        <v>84</v>
      </c>
      <c r="C277" s="1" t="s">
        <v>55</v>
      </c>
      <c r="D277" s="1" t="s">
        <v>31</v>
      </c>
      <c r="E277" s="4">
        <v>14</v>
      </c>
      <c r="F277" s="4">
        <v>12</v>
      </c>
      <c r="G277" s="1" t="s">
        <v>43</v>
      </c>
      <c r="H277" s="1" t="s">
        <v>76</v>
      </c>
      <c r="I277" s="5" t="s">
        <v>706</v>
      </c>
      <c r="J277" s="4">
        <v>63</v>
      </c>
      <c r="M277" s="1" t="s">
        <v>768</v>
      </c>
      <c r="N277" s="1" t="s">
        <v>23</v>
      </c>
      <c r="O277" s="1" t="s">
        <v>24</v>
      </c>
      <c r="P277" s="1" t="s">
        <v>13</v>
      </c>
      <c r="Q277" s="4">
        <v>17</v>
      </c>
      <c r="R277" s="4">
        <v>11</v>
      </c>
      <c r="S277" s="1" t="s">
        <v>25</v>
      </c>
      <c r="T277" s="1" t="s">
        <v>40</v>
      </c>
      <c r="U277" s="5" t="s">
        <v>258</v>
      </c>
      <c r="V277" s="4">
        <v>61</v>
      </c>
    </row>
    <row r="278" spans="1:22" x14ac:dyDescent="0.3">
      <c r="A278" s="1" t="s">
        <v>65</v>
      </c>
      <c r="B278" s="1" t="s">
        <v>23</v>
      </c>
      <c r="C278" s="1" t="s">
        <v>30</v>
      </c>
      <c r="D278" s="1" t="s">
        <v>13</v>
      </c>
      <c r="E278" s="4">
        <v>20</v>
      </c>
      <c r="F278" s="4">
        <v>12</v>
      </c>
      <c r="G278" s="1" t="s">
        <v>14</v>
      </c>
      <c r="H278" s="1" t="s">
        <v>40</v>
      </c>
      <c r="I278" s="5" t="s">
        <v>66</v>
      </c>
      <c r="J278" s="4">
        <v>62</v>
      </c>
      <c r="M278" s="1" t="s">
        <v>778</v>
      </c>
      <c r="N278" s="1" t="s">
        <v>73</v>
      </c>
      <c r="O278" s="1" t="s">
        <v>19</v>
      </c>
      <c r="P278" s="1" t="s">
        <v>13</v>
      </c>
      <c r="Q278" s="4">
        <v>17</v>
      </c>
      <c r="R278" s="4">
        <v>12</v>
      </c>
      <c r="S278" s="1" t="s">
        <v>14</v>
      </c>
      <c r="T278" s="1" t="s">
        <v>37</v>
      </c>
      <c r="U278" s="5" t="s">
        <v>779</v>
      </c>
      <c r="V278" s="4">
        <v>76</v>
      </c>
    </row>
    <row r="279" spans="1:22" x14ac:dyDescent="0.3">
      <c r="A279" s="1" t="s">
        <v>259</v>
      </c>
      <c r="B279" s="1" t="s">
        <v>54</v>
      </c>
      <c r="C279" s="1" t="s">
        <v>85</v>
      </c>
      <c r="D279" s="1" t="s">
        <v>13</v>
      </c>
      <c r="E279" s="4">
        <v>14</v>
      </c>
      <c r="F279" s="4">
        <v>11</v>
      </c>
      <c r="G279" s="1" t="s">
        <v>43</v>
      </c>
      <c r="H279" s="1" t="s">
        <v>46</v>
      </c>
      <c r="I279" s="5" t="s">
        <v>260</v>
      </c>
      <c r="J279" s="4">
        <v>62</v>
      </c>
      <c r="M279" s="1" t="s">
        <v>784</v>
      </c>
      <c r="N279" s="1" t="s">
        <v>84</v>
      </c>
      <c r="O279" s="1" t="s">
        <v>12</v>
      </c>
      <c r="P279" s="1" t="s">
        <v>13</v>
      </c>
      <c r="Q279" s="4">
        <v>17</v>
      </c>
      <c r="R279" s="4">
        <v>9</v>
      </c>
      <c r="S279" s="1" t="s">
        <v>43</v>
      </c>
      <c r="T279" s="1" t="s">
        <v>76</v>
      </c>
      <c r="U279" s="5" t="s">
        <v>685</v>
      </c>
      <c r="V279" s="4">
        <v>89</v>
      </c>
    </row>
    <row r="280" spans="1:22" x14ac:dyDescent="0.3">
      <c r="A280" s="1" t="s">
        <v>276</v>
      </c>
      <c r="B280" s="1" t="s">
        <v>84</v>
      </c>
      <c r="C280" s="1" t="s">
        <v>30</v>
      </c>
      <c r="D280" s="1" t="s">
        <v>31</v>
      </c>
      <c r="E280" s="4">
        <v>14</v>
      </c>
      <c r="F280" s="4">
        <v>12</v>
      </c>
      <c r="G280" s="1" t="s">
        <v>14</v>
      </c>
      <c r="H280" s="1" t="s">
        <v>26</v>
      </c>
      <c r="I280" s="5" t="s">
        <v>277</v>
      </c>
      <c r="J280" s="4">
        <v>62</v>
      </c>
      <c r="M280" s="1" t="s">
        <v>797</v>
      </c>
      <c r="N280" s="1" t="s">
        <v>23</v>
      </c>
      <c r="O280" s="1" t="s">
        <v>85</v>
      </c>
      <c r="P280" s="1" t="s">
        <v>13</v>
      </c>
      <c r="Q280" s="4">
        <v>17</v>
      </c>
      <c r="R280" s="4">
        <v>12</v>
      </c>
      <c r="S280" s="1" t="s">
        <v>14</v>
      </c>
      <c r="T280" s="1" t="s">
        <v>76</v>
      </c>
      <c r="U280" s="5" t="s">
        <v>71</v>
      </c>
      <c r="V280" s="4">
        <v>77</v>
      </c>
    </row>
    <row r="281" spans="1:22" x14ac:dyDescent="0.3">
      <c r="A281" s="1" t="s">
        <v>289</v>
      </c>
      <c r="B281" s="1" t="s">
        <v>23</v>
      </c>
      <c r="C281" s="1" t="s">
        <v>79</v>
      </c>
      <c r="D281" s="1" t="s">
        <v>31</v>
      </c>
      <c r="E281" s="4">
        <v>17</v>
      </c>
      <c r="F281" s="4">
        <v>9</v>
      </c>
      <c r="G281" s="1" t="s">
        <v>25</v>
      </c>
      <c r="H281" s="1" t="s">
        <v>37</v>
      </c>
      <c r="I281" s="5" t="s">
        <v>290</v>
      </c>
      <c r="J281" s="4">
        <v>62</v>
      </c>
      <c r="M281" s="1" t="s">
        <v>798</v>
      </c>
      <c r="N281" s="1" t="s">
        <v>23</v>
      </c>
      <c r="O281" s="1" t="s">
        <v>19</v>
      </c>
      <c r="P281" s="1" t="s">
        <v>13</v>
      </c>
      <c r="Q281" s="4">
        <v>17</v>
      </c>
      <c r="R281" s="4">
        <v>12</v>
      </c>
      <c r="S281" s="1" t="s">
        <v>14</v>
      </c>
      <c r="T281" s="1" t="s">
        <v>40</v>
      </c>
      <c r="U281" s="5" t="s">
        <v>159</v>
      </c>
      <c r="V281" s="4">
        <v>95</v>
      </c>
    </row>
    <row r="282" spans="1:22" x14ac:dyDescent="0.3">
      <c r="A282" s="1" t="s">
        <v>375</v>
      </c>
      <c r="B282" s="1" t="s">
        <v>35</v>
      </c>
      <c r="C282" s="1" t="s">
        <v>36</v>
      </c>
      <c r="D282" s="1" t="s">
        <v>13</v>
      </c>
      <c r="E282" s="4">
        <v>18</v>
      </c>
      <c r="F282" s="4">
        <v>11</v>
      </c>
      <c r="G282" s="1" t="s">
        <v>25</v>
      </c>
      <c r="H282" s="1" t="s">
        <v>40</v>
      </c>
      <c r="I282" s="5" t="s">
        <v>376</v>
      </c>
      <c r="J282" s="4">
        <v>62</v>
      </c>
      <c r="M282" s="1" t="s">
        <v>799</v>
      </c>
      <c r="N282" s="1" t="s">
        <v>54</v>
      </c>
      <c r="O282" s="1" t="s">
        <v>36</v>
      </c>
      <c r="P282" s="1" t="s">
        <v>31</v>
      </c>
      <c r="Q282" s="4">
        <v>17</v>
      </c>
      <c r="R282" s="4">
        <v>12</v>
      </c>
      <c r="S282" s="1" t="s">
        <v>14</v>
      </c>
      <c r="T282" s="1" t="s">
        <v>46</v>
      </c>
      <c r="U282" s="5" t="s">
        <v>533</v>
      </c>
      <c r="V282" s="4">
        <v>59</v>
      </c>
    </row>
    <row r="283" spans="1:22" x14ac:dyDescent="0.3">
      <c r="A283" s="1" t="s">
        <v>437</v>
      </c>
      <c r="B283" s="1" t="s">
        <v>73</v>
      </c>
      <c r="C283" s="1" t="s">
        <v>30</v>
      </c>
      <c r="D283" s="1" t="s">
        <v>13</v>
      </c>
      <c r="E283" s="4">
        <v>14</v>
      </c>
      <c r="F283" s="4">
        <v>11</v>
      </c>
      <c r="G283" s="1" t="s">
        <v>32</v>
      </c>
      <c r="H283" s="1" t="s">
        <v>76</v>
      </c>
      <c r="I283" s="5" t="s">
        <v>438</v>
      </c>
      <c r="J283" s="4">
        <v>62</v>
      </c>
      <c r="M283" s="1" t="s">
        <v>805</v>
      </c>
      <c r="N283" s="1" t="s">
        <v>29</v>
      </c>
      <c r="O283" s="1" t="s">
        <v>36</v>
      </c>
      <c r="P283" s="1" t="s">
        <v>31</v>
      </c>
      <c r="Q283" s="4">
        <v>17</v>
      </c>
      <c r="R283" s="4">
        <v>10</v>
      </c>
      <c r="S283" s="1" t="s">
        <v>25</v>
      </c>
      <c r="T283" s="1" t="s">
        <v>15</v>
      </c>
      <c r="U283" s="5" t="s">
        <v>806</v>
      </c>
      <c r="V283" s="4">
        <v>59</v>
      </c>
    </row>
    <row r="284" spans="1:22" x14ac:dyDescent="0.3">
      <c r="A284" s="1" t="s">
        <v>596</v>
      </c>
      <c r="B284" s="1" t="s">
        <v>11</v>
      </c>
      <c r="C284" s="1" t="s">
        <v>30</v>
      </c>
      <c r="D284" s="1" t="s">
        <v>13</v>
      </c>
      <c r="E284" s="4">
        <v>14</v>
      </c>
      <c r="F284" s="4">
        <v>9</v>
      </c>
      <c r="G284" s="1" t="s">
        <v>25</v>
      </c>
      <c r="H284" s="1" t="s">
        <v>76</v>
      </c>
      <c r="I284" s="5" t="s">
        <v>447</v>
      </c>
      <c r="J284" s="4">
        <v>62</v>
      </c>
      <c r="M284" s="1" t="s">
        <v>813</v>
      </c>
      <c r="N284" s="1" t="s">
        <v>73</v>
      </c>
      <c r="O284" s="1" t="s">
        <v>58</v>
      </c>
      <c r="P284" s="1" t="s">
        <v>13</v>
      </c>
      <c r="Q284" s="4">
        <v>17</v>
      </c>
      <c r="R284" s="4">
        <v>12</v>
      </c>
      <c r="S284" s="1" t="s">
        <v>32</v>
      </c>
      <c r="T284" s="1" t="s">
        <v>46</v>
      </c>
      <c r="U284" s="5" t="s">
        <v>346</v>
      </c>
      <c r="V284" s="4">
        <v>60</v>
      </c>
    </row>
    <row r="285" spans="1:22" x14ac:dyDescent="0.3">
      <c r="A285" s="1" t="s">
        <v>622</v>
      </c>
      <c r="B285" s="1" t="s">
        <v>23</v>
      </c>
      <c r="C285" s="1" t="s">
        <v>96</v>
      </c>
      <c r="D285" s="1" t="s">
        <v>31</v>
      </c>
      <c r="E285" s="4">
        <v>17</v>
      </c>
      <c r="F285" s="4">
        <v>12</v>
      </c>
      <c r="G285" s="1" t="s">
        <v>43</v>
      </c>
      <c r="H285" s="1" t="s">
        <v>46</v>
      </c>
      <c r="I285" s="5" t="s">
        <v>170</v>
      </c>
      <c r="J285" s="4">
        <v>62</v>
      </c>
      <c r="M285" s="1" t="s">
        <v>814</v>
      </c>
      <c r="N285" s="1" t="s">
        <v>18</v>
      </c>
      <c r="O285" s="1" t="s">
        <v>24</v>
      </c>
      <c r="P285" s="1" t="s">
        <v>31</v>
      </c>
      <c r="Q285" s="4">
        <v>17</v>
      </c>
      <c r="R285" s="4">
        <v>10</v>
      </c>
      <c r="S285" s="1" t="s">
        <v>14</v>
      </c>
      <c r="T285" s="1" t="s">
        <v>76</v>
      </c>
      <c r="U285" s="5" t="s">
        <v>815</v>
      </c>
      <c r="V285" s="4">
        <v>47</v>
      </c>
    </row>
    <row r="286" spans="1:22" x14ac:dyDescent="0.3">
      <c r="A286" s="1" t="s">
        <v>658</v>
      </c>
      <c r="B286" s="1" t="s">
        <v>11</v>
      </c>
      <c r="C286" s="1" t="s">
        <v>96</v>
      </c>
      <c r="D286" s="1" t="s">
        <v>31</v>
      </c>
      <c r="E286" s="4">
        <v>20</v>
      </c>
      <c r="F286" s="4">
        <v>10</v>
      </c>
      <c r="G286" s="1" t="s">
        <v>43</v>
      </c>
      <c r="H286" s="1" t="s">
        <v>37</v>
      </c>
      <c r="I286" s="5" t="s">
        <v>659</v>
      </c>
      <c r="J286" s="4">
        <v>62</v>
      </c>
      <c r="M286" s="1" t="s">
        <v>830</v>
      </c>
      <c r="N286" s="1" t="s">
        <v>23</v>
      </c>
      <c r="O286" s="1" t="s">
        <v>58</v>
      </c>
      <c r="P286" s="1" t="s">
        <v>31</v>
      </c>
      <c r="Q286" s="4">
        <v>17</v>
      </c>
      <c r="R286" s="4">
        <v>9</v>
      </c>
      <c r="S286" s="1" t="s">
        <v>43</v>
      </c>
      <c r="T286" s="1" t="s">
        <v>61</v>
      </c>
      <c r="U286" s="5" t="s">
        <v>820</v>
      </c>
      <c r="V286" s="4">
        <v>59</v>
      </c>
    </row>
    <row r="287" spans="1:22" x14ac:dyDescent="0.3">
      <c r="A287" s="1" t="s">
        <v>812</v>
      </c>
      <c r="B287" s="1" t="s">
        <v>51</v>
      </c>
      <c r="C287" s="1" t="s">
        <v>55</v>
      </c>
      <c r="D287" s="1" t="s">
        <v>13</v>
      </c>
      <c r="E287" s="4">
        <v>15</v>
      </c>
      <c r="F287" s="4">
        <v>10</v>
      </c>
      <c r="G287" s="1" t="s">
        <v>43</v>
      </c>
      <c r="H287" s="1" t="s">
        <v>46</v>
      </c>
      <c r="I287" s="5" t="s">
        <v>82</v>
      </c>
      <c r="J287" s="4">
        <v>62</v>
      </c>
      <c r="M287" s="1" t="s">
        <v>838</v>
      </c>
      <c r="N287" s="1" t="s">
        <v>29</v>
      </c>
      <c r="O287" s="1" t="s">
        <v>36</v>
      </c>
      <c r="P287" s="1" t="s">
        <v>31</v>
      </c>
      <c r="Q287" s="4">
        <v>17</v>
      </c>
      <c r="R287" s="4">
        <v>10</v>
      </c>
      <c r="S287" s="1" t="s">
        <v>25</v>
      </c>
      <c r="T287" s="1" t="s">
        <v>15</v>
      </c>
      <c r="U287" s="5" t="s">
        <v>839</v>
      </c>
      <c r="V287" s="4">
        <v>35</v>
      </c>
    </row>
    <row r="288" spans="1:22" x14ac:dyDescent="0.3">
      <c r="A288" s="1" t="s">
        <v>930</v>
      </c>
      <c r="B288" s="1" t="s">
        <v>35</v>
      </c>
      <c r="C288" s="1" t="s">
        <v>96</v>
      </c>
      <c r="D288" s="1" t="s">
        <v>31</v>
      </c>
      <c r="E288" s="4">
        <v>20</v>
      </c>
      <c r="F288" s="4">
        <v>9</v>
      </c>
      <c r="G288" s="1" t="s">
        <v>25</v>
      </c>
      <c r="H288" s="1" t="s">
        <v>61</v>
      </c>
      <c r="I288" s="5" t="s">
        <v>342</v>
      </c>
      <c r="J288" s="4">
        <v>62</v>
      </c>
      <c r="M288" s="1" t="s">
        <v>843</v>
      </c>
      <c r="N288" s="1" t="s">
        <v>54</v>
      </c>
      <c r="O288" s="1" t="s">
        <v>12</v>
      </c>
      <c r="P288" s="1" t="s">
        <v>31</v>
      </c>
      <c r="Q288" s="4">
        <v>17</v>
      </c>
      <c r="R288" s="4">
        <v>10</v>
      </c>
      <c r="S288" s="1" t="s">
        <v>25</v>
      </c>
      <c r="T288" s="1" t="s">
        <v>40</v>
      </c>
      <c r="U288" s="5" t="s">
        <v>844</v>
      </c>
      <c r="V288" s="4">
        <v>43</v>
      </c>
    </row>
    <row r="289" spans="1:22" x14ac:dyDescent="0.3">
      <c r="A289" s="1" t="s">
        <v>514</v>
      </c>
      <c r="B289" s="1" t="s">
        <v>11</v>
      </c>
      <c r="C289" s="1" t="s">
        <v>12</v>
      </c>
      <c r="D289" s="1" t="s">
        <v>31</v>
      </c>
      <c r="E289" s="4">
        <v>15</v>
      </c>
      <c r="F289" s="4">
        <v>11</v>
      </c>
      <c r="G289" s="1" t="s">
        <v>25</v>
      </c>
      <c r="H289" s="1" t="s">
        <v>20</v>
      </c>
      <c r="I289" s="5" t="s">
        <v>515</v>
      </c>
      <c r="J289" s="4">
        <v>61</v>
      </c>
      <c r="M289" s="1" t="s">
        <v>846</v>
      </c>
      <c r="N289" s="1" t="s">
        <v>35</v>
      </c>
      <c r="O289" s="1" t="s">
        <v>79</v>
      </c>
      <c r="P289" s="1" t="s">
        <v>13</v>
      </c>
      <c r="Q289" s="4">
        <v>17</v>
      </c>
      <c r="R289" s="4">
        <v>12</v>
      </c>
      <c r="S289" s="1" t="s">
        <v>25</v>
      </c>
      <c r="T289" s="1" t="s">
        <v>46</v>
      </c>
      <c r="U289" s="5" t="s">
        <v>847</v>
      </c>
      <c r="V289" s="4">
        <v>41</v>
      </c>
    </row>
    <row r="290" spans="1:22" x14ac:dyDescent="0.3">
      <c r="A290" s="1" t="s">
        <v>764</v>
      </c>
      <c r="B290" s="1" t="s">
        <v>18</v>
      </c>
      <c r="C290" s="1" t="s">
        <v>55</v>
      </c>
      <c r="D290" s="1" t="s">
        <v>13</v>
      </c>
      <c r="E290" s="4">
        <v>16</v>
      </c>
      <c r="F290" s="4">
        <v>12</v>
      </c>
      <c r="G290" s="1" t="s">
        <v>14</v>
      </c>
      <c r="H290" s="1" t="s">
        <v>40</v>
      </c>
      <c r="I290" s="5" t="s">
        <v>765</v>
      </c>
      <c r="J290" s="4">
        <v>61</v>
      </c>
      <c r="M290" s="1" t="s">
        <v>862</v>
      </c>
      <c r="N290" s="1" t="s">
        <v>51</v>
      </c>
      <c r="O290" s="1" t="s">
        <v>24</v>
      </c>
      <c r="P290" s="1" t="s">
        <v>13</v>
      </c>
      <c r="Q290" s="4">
        <v>17</v>
      </c>
      <c r="R290" s="4">
        <v>9</v>
      </c>
      <c r="S290" s="1" t="s">
        <v>43</v>
      </c>
      <c r="T290" s="1" t="s">
        <v>15</v>
      </c>
      <c r="U290" s="5" t="s">
        <v>863</v>
      </c>
      <c r="V290" s="4">
        <v>86</v>
      </c>
    </row>
    <row r="291" spans="1:22" x14ac:dyDescent="0.3">
      <c r="A291" s="1" t="s">
        <v>768</v>
      </c>
      <c r="B291" s="1" t="s">
        <v>23</v>
      </c>
      <c r="C291" s="1" t="s">
        <v>24</v>
      </c>
      <c r="D291" s="1" t="s">
        <v>13</v>
      </c>
      <c r="E291" s="4">
        <v>17</v>
      </c>
      <c r="F291" s="4">
        <v>11</v>
      </c>
      <c r="G291" s="1" t="s">
        <v>25</v>
      </c>
      <c r="H291" s="1" t="s">
        <v>40</v>
      </c>
      <c r="I291" s="5" t="s">
        <v>258</v>
      </c>
      <c r="J291" s="4">
        <v>61</v>
      </c>
      <c r="M291" s="1" t="s">
        <v>864</v>
      </c>
      <c r="N291" s="1" t="s">
        <v>35</v>
      </c>
      <c r="O291" s="1" t="s">
        <v>58</v>
      </c>
      <c r="P291" s="1" t="s">
        <v>13</v>
      </c>
      <c r="Q291" s="4">
        <v>17</v>
      </c>
      <c r="R291" s="4">
        <v>10</v>
      </c>
      <c r="S291" s="1" t="s">
        <v>14</v>
      </c>
      <c r="T291" s="1" t="s">
        <v>20</v>
      </c>
      <c r="U291" s="5" t="s">
        <v>865</v>
      </c>
      <c r="V291" s="4">
        <v>92</v>
      </c>
    </row>
    <row r="292" spans="1:22" x14ac:dyDescent="0.3">
      <c r="A292" s="1" t="s">
        <v>45</v>
      </c>
      <c r="B292" s="1" t="s">
        <v>35</v>
      </c>
      <c r="C292" s="1" t="s">
        <v>12</v>
      </c>
      <c r="D292" s="1" t="s">
        <v>13</v>
      </c>
      <c r="E292" s="4">
        <v>19</v>
      </c>
      <c r="F292" s="4">
        <v>12</v>
      </c>
      <c r="G292" s="1" t="s">
        <v>32</v>
      </c>
      <c r="H292" s="1" t="s">
        <v>46</v>
      </c>
      <c r="I292" s="5" t="s">
        <v>47</v>
      </c>
      <c r="J292" s="4">
        <v>60</v>
      </c>
      <c r="M292" s="1" t="s">
        <v>869</v>
      </c>
      <c r="N292" s="1" t="s">
        <v>73</v>
      </c>
      <c r="O292" s="1" t="s">
        <v>96</v>
      </c>
      <c r="P292" s="1" t="s">
        <v>31</v>
      </c>
      <c r="Q292" s="4">
        <v>17</v>
      </c>
      <c r="R292" s="4">
        <v>9</v>
      </c>
      <c r="S292" s="1" t="s">
        <v>43</v>
      </c>
      <c r="T292" s="1" t="s">
        <v>26</v>
      </c>
      <c r="U292" s="5" t="s">
        <v>870</v>
      </c>
      <c r="V292" s="4">
        <v>53</v>
      </c>
    </row>
    <row r="293" spans="1:22" x14ac:dyDescent="0.3">
      <c r="A293" s="1" t="s">
        <v>110</v>
      </c>
      <c r="B293" s="1" t="s">
        <v>51</v>
      </c>
      <c r="C293" s="1" t="s">
        <v>58</v>
      </c>
      <c r="D293" s="1" t="s">
        <v>31</v>
      </c>
      <c r="E293" s="4">
        <v>14</v>
      </c>
      <c r="F293" s="4">
        <v>10</v>
      </c>
      <c r="G293" s="1" t="s">
        <v>32</v>
      </c>
      <c r="H293" s="1" t="s">
        <v>76</v>
      </c>
      <c r="I293" s="5" t="s">
        <v>111</v>
      </c>
      <c r="J293" s="4">
        <v>60</v>
      </c>
      <c r="M293" s="1" t="s">
        <v>887</v>
      </c>
      <c r="N293" s="1" t="s">
        <v>11</v>
      </c>
      <c r="O293" s="1" t="s">
        <v>30</v>
      </c>
      <c r="P293" s="1" t="s">
        <v>31</v>
      </c>
      <c r="Q293" s="4">
        <v>17</v>
      </c>
      <c r="R293" s="4">
        <v>9</v>
      </c>
      <c r="S293" s="1" t="s">
        <v>14</v>
      </c>
      <c r="T293" s="1" t="s">
        <v>76</v>
      </c>
      <c r="U293" s="5" t="s">
        <v>653</v>
      </c>
      <c r="V293" s="4">
        <v>53</v>
      </c>
    </row>
    <row r="294" spans="1:22" x14ac:dyDescent="0.3">
      <c r="A294" s="1" t="s">
        <v>169</v>
      </c>
      <c r="B294" s="1" t="s">
        <v>11</v>
      </c>
      <c r="C294" s="1" t="s">
        <v>30</v>
      </c>
      <c r="D294" s="1" t="s">
        <v>31</v>
      </c>
      <c r="E294" s="4">
        <v>18</v>
      </c>
      <c r="F294" s="4">
        <v>9</v>
      </c>
      <c r="G294" s="1" t="s">
        <v>25</v>
      </c>
      <c r="H294" s="1" t="s">
        <v>46</v>
      </c>
      <c r="I294" s="5" t="s">
        <v>170</v>
      </c>
      <c r="J294" s="4">
        <v>60</v>
      </c>
      <c r="M294" s="1" t="s">
        <v>891</v>
      </c>
      <c r="N294" s="1" t="s">
        <v>68</v>
      </c>
      <c r="O294" s="1" t="s">
        <v>79</v>
      </c>
      <c r="P294" s="1" t="s">
        <v>31</v>
      </c>
      <c r="Q294" s="4">
        <v>17</v>
      </c>
      <c r="R294" s="4">
        <v>10</v>
      </c>
      <c r="S294" s="1" t="s">
        <v>32</v>
      </c>
      <c r="T294" s="1" t="s">
        <v>61</v>
      </c>
      <c r="U294" s="5" t="s">
        <v>892</v>
      </c>
      <c r="V294" s="4">
        <v>56</v>
      </c>
    </row>
    <row r="295" spans="1:22" x14ac:dyDescent="0.3">
      <c r="A295" s="1" t="s">
        <v>443</v>
      </c>
      <c r="B295" s="1" t="s">
        <v>18</v>
      </c>
      <c r="C295" s="1" t="s">
        <v>96</v>
      </c>
      <c r="D295" s="1" t="s">
        <v>13</v>
      </c>
      <c r="E295" s="4">
        <v>17</v>
      </c>
      <c r="F295" s="4">
        <v>9</v>
      </c>
      <c r="G295" s="1" t="s">
        <v>43</v>
      </c>
      <c r="H295" s="1" t="s">
        <v>37</v>
      </c>
      <c r="I295" s="5" t="s">
        <v>444</v>
      </c>
      <c r="J295" s="4">
        <v>60</v>
      </c>
      <c r="M295" s="1" t="s">
        <v>893</v>
      </c>
      <c r="N295" s="1" t="s">
        <v>29</v>
      </c>
      <c r="O295" s="1" t="s">
        <v>30</v>
      </c>
      <c r="P295" s="1" t="s">
        <v>13</v>
      </c>
      <c r="Q295" s="4">
        <v>17</v>
      </c>
      <c r="R295" s="4">
        <v>9</v>
      </c>
      <c r="S295" s="1" t="s">
        <v>14</v>
      </c>
      <c r="T295" s="1" t="s">
        <v>46</v>
      </c>
      <c r="U295" s="5" t="s">
        <v>423</v>
      </c>
      <c r="V295" s="4">
        <v>46</v>
      </c>
    </row>
    <row r="296" spans="1:22" x14ac:dyDescent="0.3">
      <c r="A296" s="1" t="s">
        <v>455</v>
      </c>
      <c r="B296" s="1" t="s">
        <v>29</v>
      </c>
      <c r="C296" s="1" t="s">
        <v>30</v>
      </c>
      <c r="D296" s="1" t="s">
        <v>13</v>
      </c>
      <c r="E296" s="4">
        <v>16</v>
      </c>
      <c r="F296" s="4">
        <v>9</v>
      </c>
      <c r="G296" s="1" t="s">
        <v>14</v>
      </c>
      <c r="H296" s="1" t="s">
        <v>61</v>
      </c>
      <c r="I296" s="5" t="s">
        <v>447</v>
      </c>
      <c r="J296" s="4">
        <v>60</v>
      </c>
      <c r="M296" s="1" t="s">
        <v>898</v>
      </c>
      <c r="N296" s="1" t="s">
        <v>18</v>
      </c>
      <c r="O296" s="1" t="s">
        <v>19</v>
      </c>
      <c r="P296" s="1" t="s">
        <v>13</v>
      </c>
      <c r="Q296" s="4">
        <v>17</v>
      </c>
      <c r="R296" s="4">
        <v>10</v>
      </c>
      <c r="S296" s="1" t="s">
        <v>25</v>
      </c>
      <c r="T296" s="1" t="s">
        <v>61</v>
      </c>
      <c r="U296" s="5" t="s">
        <v>471</v>
      </c>
      <c r="V296" s="4">
        <v>58</v>
      </c>
    </row>
    <row r="297" spans="1:22" x14ac:dyDescent="0.3">
      <c r="A297" s="1" t="s">
        <v>490</v>
      </c>
      <c r="B297" s="1" t="s">
        <v>73</v>
      </c>
      <c r="C297" s="1" t="s">
        <v>96</v>
      </c>
      <c r="D297" s="1" t="s">
        <v>13</v>
      </c>
      <c r="E297" s="4">
        <v>17</v>
      </c>
      <c r="F297" s="4">
        <v>10</v>
      </c>
      <c r="G297" s="1" t="s">
        <v>32</v>
      </c>
      <c r="H297" s="1" t="s">
        <v>61</v>
      </c>
      <c r="I297" s="5" t="s">
        <v>491</v>
      </c>
      <c r="J297" s="4">
        <v>60</v>
      </c>
      <c r="M297" s="1" t="s">
        <v>906</v>
      </c>
      <c r="N297" s="1" t="s">
        <v>73</v>
      </c>
      <c r="O297" s="1" t="s">
        <v>36</v>
      </c>
      <c r="P297" s="1" t="s">
        <v>13</v>
      </c>
      <c r="Q297" s="4">
        <v>17</v>
      </c>
      <c r="R297" s="4">
        <v>12</v>
      </c>
      <c r="S297" s="1" t="s">
        <v>25</v>
      </c>
      <c r="T297" s="1" t="s">
        <v>76</v>
      </c>
      <c r="U297" s="5" t="s">
        <v>907</v>
      </c>
      <c r="V297" s="4">
        <v>75</v>
      </c>
    </row>
    <row r="298" spans="1:22" x14ac:dyDescent="0.3">
      <c r="A298" s="1" t="s">
        <v>683</v>
      </c>
      <c r="B298" s="1" t="s">
        <v>84</v>
      </c>
      <c r="C298" s="1" t="s">
        <v>55</v>
      </c>
      <c r="D298" s="1" t="s">
        <v>31</v>
      </c>
      <c r="E298" s="4">
        <v>16</v>
      </c>
      <c r="F298" s="4">
        <v>12</v>
      </c>
      <c r="G298" s="1" t="s">
        <v>14</v>
      </c>
      <c r="H298" s="1" t="s">
        <v>76</v>
      </c>
      <c r="I298" s="5" t="s">
        <v>125</v>
      </c>
      <c r="J298" s="4">
        <v>60</v>
      </c>
      <c r="M298" s="1" t="s">
        <v>912</v>
      </c>
      <c r="N298" s="1" t="s">
        <v>23</v>
      </c>
      <c r="O298" s="1" t="s">
        <v>79</v>
      </c>
      <c r="P298" s="1" t="s">
        <v>31</v>
      </c>
      <c r="Q298" s="4">
        <v>17</v>
      </c>
      <c r="R298" s="4">
        <v>12</v>
      </c>
      <c r="S298" s="1" t="s">
        <v>32</v>
      </c>
      <c r="T298" s="1" t="s">
        <v>46</v>
      </c>
      <c r="U298" s="5" t="s">
        <v>400</v>
      </c>
      <c r="V298" s="4">
        <v>70</v>
      </c>
    </row>
    <row r="299" spans="1:22" x14ac:dyDescent="0.3">
      <c r="A299" s="1" t="s">
        <v>743</v>
      </c>
      <c r="B299" s="1" t="s">
        <v>84</v>
      </c>
      <c r="C299" s="1" t="s">
        <v>19</v>
      </c>
      <c r="D299" s="1" t="s">
        <v>13</v>
      </c>
      <c r="E299" s="4">
        <v>15</v>
      </c>
      <c r="F299" s="4">
        <v>10</v>
      </c>
      <c r="G299" s="1" t="s">
        <v>43</v>
      </c>
      <c r="H299" s="1" t="s">
        <v>26</v>
      </c>
      <c r="I299" s="5" t="s">
        <v>744</v>
      </c>
      <c r="J299" s="4">
        <v>60</v>
      </c>
      <c r="M299" s="1" t="s">
        <v>915</v>
      </c>
      <c r="N299" s="1" t="s">
        <v>23</v>
      </c>
      <c r="O299" s="1" t="s">
        <v>58</v>
      </c>
      <c r="P299" s="1" t="s">
        <v>31</v>
      </c>
      <c r="Q299" s="4">
        <v>17</v>
      </c>
      <c r="R299" s="4">
        <v>9</v>
      </c>
      <c r="S299" s="1" t="s">
        <v>25</v>
      </c>
      <c r="T299" s="1" t="s">
        <v>46</v>
      </c>
      <c r="U299" s="5" t="s">
        <v>916</v>
      </c>
      <c r="V299" s="4">
        <v>85</v>
      </c>
    </row>
    <row r="300" spans="1:22" x14ac:dyDescent="0.3">
      <c r="A300" s="1" t="s">
        <v>813</v>
      </c>
      <c r="B300" s="1" t="s">
        <v>73</v>
      </c>
      <c r="C300" s="1" t="s">
        <v>58</v>
      </c>
      <c r="D300" s="1" t="s">
        <v>13</v>
      </c>
      <c r="E300" s="4">
        <v>17</v>
      </c>
      <c r="F300" s="4">
        <v>12</v>
      </c>
      <c r="G300" s="1" t="s">
        <v>32</v>
      </c>
      <c r="H300" s="1" t="s">
        <v>46</v>
      </c>
      <c r="I300" s="5" t="s">
        <v>346</v>
      </c>
      <c r="J300" s="4">
        <v>60</v>
      </c>
      <c r="M300" s="1" t="s">
        <v>104</v>
      </c>
      <c r="N300" s="1" t="s">
        <v>29</v>
      </c>
      <c r="O300" s="1" t="s">
        <v>79</v>
      </c>
      <c r="P300" s="1" t="s">
        <v>31</v>
      </c>
      <c r="Q300" s="4">
        <v>18</v>
      </c>
      <c r="R300" s="4">
        <v>10</v>
      </c>
      <c r="S300" s="1" t="s">
        <v>25</v>
      </c>
      <c r="T300" s="1" t="s">
        <v>61</v>
      </c>
      <c r="U300" s="5" t="s">
        <v>105</v>
      </c>
      <c r="V300" s="4">
        <v>57</v>
      </c>
    </row>
    <row r="301" spans="1:22" x14ac:dyDescent="0.3">
      <c r="A301" s="1" t="s">
        <v>53</v>
      </c>
      <c r="B301" s="1" t="s">
        <v>54</v>
      </c>
      <c r="C301" s="1" t="s">
        <v>55</v>
      </c>
      <c r="D301" s="1" t="s">
        <v>31</v>
      </c>
      <c r="E301" s="4">
        <v>20</v>
      </c>
      <c r="F301" s="4">
        <v>10</v>
      </c>
      <c r="G301" s="1" t="s">
        <v>25</v>
      </c>
      <c r="H301" s="1" t="s">
        <v>40</v>
      </c>
      <c r="I301" s="5" t="s">
        <v>56</v>
      </c>
      <c r="J301" s="4">
        <v>59</v>
      </c>
      <c r="M301" s="1" t="s">
        <v>124</v>
      </c>
      <c r="N301" s="1" t="s">
        <v>68</v>
      </c>
      <c r="O301" s="1" t="s">
        <v>36</v>
      </c>
      <c r="P301" s="1" t="s">
        <v>13</v>
      </c>
      <c r="Q301" s="4">
        <v>18</v>
      </c>
      <c r="R301" s="4">
        <v>10</v>
      </c>
      <c r="S301" s="1" t="s">
        <v>43</v>
      </c>
      <c r="T301" s="1" t="s">
        <v>20</v>
      </c>
      <c r="U301" s="5" t="s">
        <v>125</v>
      </c>
      <c r="V301" s="4">
        <v>66</v>
      </c>
    </row>
    <row r="302" spans="1:22" x14ac:dyDescent="0.3">
      <c r="A302" s="1" t="s">
        <v>78</v>
      </c>
      <c r="B302" s="1" t="s">
        <v>68</v>
      </c>
      <c r="C302" s="1" t="s">
        <v>79</v>
      </c>
      <c r="D302" s="1" t="s">
        <v>31</v>
      </c>
      <c r="E302" s="4">
        <v>15</v>
      </c>
      <c r="F302" s="4">
        <v>10</v>
      </c>
      <c r="G302" s="1" t="s">
        <v>14</v>
      </c>
      <c r="H302" s="1" t="s">
        <v>20</v>
      </c>
      <c r="I302" s="5" t="s">
        <v>80</v>
      </c>
      <c r="J302" s="4">
        <v>59</v>
      </c>
      <c r="M302" s="1" t="s">
        <v>138</v>
      </c>
      <c r="N302" s="1" t="s">
        <v>51</v>
      </c>
      <c r="O302" s="1" t="s">
        <v>85</v>
      </c>
      <c r="P302" s="1" t="s">
        <v>13</v>
      </c>
      <c r="Q302" s="4">
        <v>18</v>
      </c>
      <c r="R302" s="4">
        <v>11</v>
      </c>
      <c r="S302" s="1" t="s">
        <v>43</v>
      </c>
      <c r="T302" s="1" t="s">
        <v>61</v>
      </c>
      <c r="U302" s="5" t="s">
        <v>139</v>
      </c>
      <c r="V302" s="4">
        <v>100</v>
      </c>
    </row>
    <row r="303" spans="1:22" x14ac:dyDescent="0.3">
      <c r="A303" s="1" t="s">
        <v>126</v>
      </c>
      <c r="B303" s="1" t="s">
        <v>18</v>
      </c>
      <c r="C303" s="1" t="s">
        <v>24</v>
      </c>
      <c r="D303" s="1" t="s">
        <v>13</v>
      </c>
      <c r="E303" s="4">
        <v>15</v>
      </c>
      <c r="F303" s="4">
        <v>9</v>
      </c>
      <c r="G303" s="1" t="s">
        <v>25</v>
      </c>
      <c r="H303" s="1" t="s">
        <v>76</v>
      </c>
      <c r="I303" s="5" t="s">
        <v>127</v>
      </c>
      <c r="J303" s="4">
        <v>59</v>
      </c>
      <c r="M303" s="1" t="s">
        <v>154</v>
      </c>
      <c r="N303" s="1" t="s">
        <v>51</v>
      </c>
      <c r="O303" s="1" t="s">
        <v>36</v>
      </c>
      <c r="P303" s="1" t="s">
        <v>31</v>
      </c>
      <c r="Q303" s="4">
        <v>18</v>
      </c>
      <c r="R303" s="4">
        <v>12</v>
      </c>
      <c r="S303" s="1" t="s">
        <v>43</v>
      </c>
      <c r="T303" s="1" t="s">
        <v>76</v>
      </c>
      <c r="U303" s="5" t="s">
        <v>155</v>
      </c>
      <c r="V303" s="4">
        <v>77</v>
      </c>
    </row>
    <row r="304" spans="1:22" x14ac:dyDescent="0.3">
      <c r="A304" s="1" t="s">
        <v>205</v>
      </c>
      <c r="B304" s="1" t="s">
        <v>73</v>
      </c>
      <c r="C304" s="1" t="s">
        <v>24</v>
      </c>
      <c r="D304" s="1" t="s">
        <v>13</v>
      </c>
      <c r="E304" s="4">
        <v>17</v>
      </c>
      <c r="F304" s="4">
        <v>9</v>
      </c>
      <c r="G304" s="1" t="s">
        <v>14</v>
      </c>
      <c r="H304" s="1" t="s">
        <v>46</v>
      </c>
      <c r="I304" s="5" t="s">
        <v>206</v>
      </c>
      <c r="J304" s="4">
        <v>59</v>
      </c>
      <c r="M304" s="1" t="s">
        <v>169</v>
      </c>
      <c r="N304" s="1" t="s">
        <v>11</v>
      </c>
      <c r="O304" s="1" t="s">
        <v>30</v>
      </c>
      <c r="P304" s="1" t="s">
        <v>31</v>
      </c>
      <c r="Q304" s="4">
        <v>18</v>
      </c>
      <c r="R304" s="4">
        <v>9</v>
      </c>
      <c r="S304" s="1" t="s">
        <v>25</v>
      </c>
      <c r="T304" s="1" t="s">
        <v>46</v>
      </c>
      <c r="U304" s="5" t="s">
        <v>170</v>
      </c>
      <c r="V304" s="4">
        <v>60</v>
      </c>
    </row>
    <row r="305" spans="1:22" x14ac:dyDescent="0.3">
      <c r="A305" s="1" t="s">
        <v>410</v>
      </c>
      <c r="B305" s="1" t="s">
        <v>18</v>
      </c>
      <c r="C305" s="1" t="s">
        <v>55</v>
      </c>
      <c r="D305" s="1" t="s">
        <v>31</v>
      </c>
      <c r="E305" s="4">
        <v>20</v>
      </c>
      <c r="F305" s="4">
        <v>10</v>
      </c>
      <c r="G305" s="1" t="s">
        <v>43</v>
      </c>
      <c r="H305" s="1" t="s">
        <v>40</v>
      </c>
      <c r="I305" s="5" t="s">
        <v>411</v>
      </c>
      <c r="J305" s="4">
        <v>59</v>
      </c>
      <c r="M305" s="1" t="s">
        <v>173</v>
      </c>
      <c r="N305" s="1" t="s">
        <v>54</v>
      </c>
      <c r="O305" s="1" t="s">
        <v>30</v>
      </c>
      <c r="P305" s="1" t="s">
        <v>31</v>
      </c>
      <c r="Q305" s="4">
        <v>18</v>
      </c>
      <c r="R305" s="4">
        <v>9</v>
      </c>
      <c r="S305" s="1" t="s">
        <v>32</v>
      </c>
      <c r="T305" s="1" t="s">
        <v>40</v>
      </c>
      <c r="U305" s="5" t="s">
        <v>174</v>
      </c>
      <c r="V305" s="4">
        <v>54</v>
      </c>
    </row>
    <row r="306" spans="1:22" x14ac:dyDescent="0.3">
      <c r="A306" s="1" t="s">
        <v>526</v>
      </c>
      <c r="B306" s="1" t="s">
        <v>18</v>
      </c>
      <c r="C306" s="1" t="s">
        <v>12</v>
      </c>
      <c r="D306" s="1" t="s">
        <v>31</v>
      </c>
      <c r="E306" s="4">
        <v>18</v>
      </c>
      <c r="F306" s="4">
        <v>9</v>
      </c>
      <c r="G306" s="1" t="s">
        <v>14</v>
      </c>
      <c r="H306" s="1" t="s">
        <v>15</v>
      </c>
      <c r="I306" s="5" t="s">
        <v>346</v>
      </c>
      <c r="J306" s="4">
        <v>59</v>
      </c>
      <c r="M306" s="1" t="s">
        <v>181</v>
      </c>
      <c r="N306" s="1" t="s">
        <v>11</v>
      </c>
      <c r="O306" s="1" t="s">
        <v>55</v>
      </c>
      <c r="P306" s="1" t="s">
        <v>31</v>
      </c>
      <c r="Q306" s="4">
        <v>18</v>
      </c>
      <c r="R306" s="4">
        <v>10</v>
      </c>
      <c r="S306" s="1" t="s">
        <v>25</v>
      </c>
      <c r="T306" s="1" t="s">
        <v>46</v>
      </c>
      <c r="U306" s="5" t="s">
        <v>182</v>
      </c>
      <c r="V306" s="4">
        <v>98</v>
      </c>
    </row>
    <row r="307" spans="1:22" x14ac:dyDescent="0.3">
      <c r="A307" s="1" t="s">
        <v>584</v>
      </c>
      <c r="B307" s="1" t="s">
        <v>68</v>
      </c>
      <c r="C307" s="1" t="s">
        <v>55</v>
      </c>
      <c r="D307" s="1" t="s">
        <v>31</v>
      </c>
      <c r="E307" s="4">
        <v>16</v>
      </c>
      <c r="F307" s="4">
        <v>9</v>
      </c>
      <c r="G307" s="1" t="s">
        <v>14</v>
      </c>
      <c r="H307" s="1" t="s">
        <v>61</v>
      </c>
      <c r="I307" s="5" t="s">
        <v>585</v>
      </c>
      <c r="J307" s="4">
        <v>59</v>
      </c>
      <c r="M307" s="1" t="s">
        <v>196</v>
      </c>
      <c r="N307" s="1" t="s">
        <v>23</v>
      </c>
      <c r="O307" s="1" t="s">
        <v>79</v>
      </c>
      <c r="P307" s="1" t="s">
        <v>13</v>
      </c>
      <c r="Q307" s="4">
        <v>18</v>
      </c>
      <c r="R307" s="4">
        <v>12</v>
      </c>
      <c r="S307" s="1" t="s">
        <v>43</v>
      </c>
      <c r="T307" s="1" t="s">
        <v>76</v>
      </c>
      <c r="U307" s="5" t="s">
        <v>197</v>
      </c>
      <c r="V307" s="4">
        <v>67</v>
      </c>
    </row>
    <row r="308" spans="1:22" x14ac:dyDescent="0.3">
      <c r="A308" s="1" t="s">
        <v>700</v>
      </c>
      <c r="B308" s="1" t="s">
        <v>23</v>
      </c>
      <c r="C308" s="1" t="s">
        <v>55</v>
      </c>
      <c r="D308" s="1" t="s">
        <v>31</v>
      </c>
      <c r="E308" s="4">
        <v>20</v>
      </c>
      <c r="F308" s="4">
        <v>10</v>
      </c>
      <c r="G308" s="1" t="s">
        <v>14</v>
      </c>
      <c r="H308" s="1" t="s">
        <v>15</v>
      </c>
      <c r="I308" s="5" t="s">
        <v>678</v>
      </c>
      <c r="J308" s="4">
        <v>59</v>
      </c>
      <c r="M308" s="1" t="s">
        <v>200</v>
      </c>
      <c r="N308" s="1" t="s">
        <v>29</v>
      </c>
      <c r="O308" s="1" t="s">
        <v>12</v>
      </c>
      <c r="P308" s="1" t="s">
        <v>13</v>
      </c>
      <c r="Q308" s="4">
        <v>18</v>
      </c>
      <c r="R308" s="4">
        <v>12</v>
      </c>
      <c r="S308" s="1" t="s">
        <v>25</v>
      </c>
      <c r="T308" s="1" t="s">
        <v>26</v>
      </c>
      <c r="U308" s="5" t="s">
        <v>201</v>
      </c>
      <c r="V308" s="4">
        <v>89</v>
      </c>
    </row>
    <row r="309" spans="1:22" x14ac:dyDescent="0.3">
      <c r="A309" s="1" t="s">
        <v>799</v>
      </c>
      <c r="B309" s="1" t="s">
        <v>54</v>
      </c>
      <c r="C309" s="1" t="s">
        <v>36</v>
      </c>
      <c r="D309" s="1" t="s">
        <v>31</v>
      </c>
      <c r="E309" s="4">
        <v>17</v>
      </c>
      <c r="F309" s="4">
        <v>12</v>
      </c>
      <c r="G309" s="1" t="s">
        <v>14</v>
      </c>
      <c r="H309" s="1" t="s">
        <v>46</v>
      </c>
      <c r="I309" s="5" t="s">
        <v>533</v>
      </c>
      <c r="J309" s="4">
        <v>59</v>
      </c>
      <c r="M309" s="1" t="s">
        <v>209</v>
      </c>
      <c r="N309" s="1" t="s">
        <v>29</v>
      </c>
      <c r="O309" s="1" t="s">
        <v>30</v>
      </c>
      <c r="P309" s="1" t="s">
        <v>31</v>
      </c>
      <c r="Q309" s="4">
        <v>18</v>
      </c>
      <c r="R309" s="4">
        <v>11</v>
      </c>
      <c r="S309" s="1" t="s">
        <v>43</v>
      </c>
      <c r="T309" s="1" t="s">
        <v>20</v>
      </c>
      <c r="U309" s="5" t="s">
        <v>210</v>
      </c>
      <c r="V309" s="4">
        <v>78</v>
      </c>
    </row>
    <row r="310" spans="1:22" x14ac:dyDescent="0.3">
      <c r="A310" s="1" t="s">
        <v>805</v>
      </c>
      <c r="B310" s="1" t="s">
        <v>29</v>
      </c>
      <c r="C310" s="1" t="s">
        <v>36</v>
      </c>
      <c r="D310" s="1" t="s">
        <v>31</v>
      </c>
      <c r="E310" s="4">
        <v>17</v>
      </c>
      <c r="F310" s="4">
        <v>10</v>
      </c>
      <c r="G310" s="1" t="s">
        <v>25</v>
      </c>
      <c r="H310" s="1" t="s">
        <v>15</v>
      </c>
      <c r="I310" s="5" t="s">
        <v>806</v>
      </c>
      <c r="J310" s="4">
        <v>59</v>
      </c>
      <c r="M310" s="1" t="s">
        <v>223</v>
      </c>
      <c r="N310" s="1" t="s">
        <v>68</v>
      </c>
      <c r="O310" s="1" t="s">
        <v>24</v>
      </c>
      <c r="P310" s="1" t="s">
        <v>13</v>
      </c>
      <c r="Q310" s="4">
        <v>18</v>
      </c>
      <c r="R310" s="4">
        <v>11</v>
      </c>
      <c r="S310" s="1" t="s">
        <v>32</v>
      </c>
      <c r="T310" s="1" t="s">
        <v>40</v>
      </c>
      <c r="U310" s="5" t="s">
        <v>224</v>
      </c>
      <c r="V310" s="4">
        <v>87</v>
      </c>
    </row>
    <row r="311" spans="1:22" x14ac:dyDescent="0.3">
      <c r="A311" s="1" t="s">
        <v>830</v>
      </c>
      <c r="B311" s="1" t="s">
        <v>23</v>
      </c>
      <c r="C311" s="1" t="s">
        <v>58</v>
      </c>
      <c r="D311" s="1" t="s">
        <v>31</v>
      </c>
      <c r="E311" s="4">
        <v>17</v>
      </c>
      <c r="F311" s="4">
        <v>9</v>
      </c>
      <c r="G311" s="1" t="s">
        <v>43</v>
      </c>
      <c r="H311" s="1" t="s">
        <v>61</v>
      </c>
      <c r="I311" s="5" t="s">
        <v>820</v>
      </c>
      <c r="J311" s="4">
        <v>59</v>
      </c>
      <c r="M311" s="1" t="s">
        <v>231</v>
      </c>
      <c r="N311" s="1" t="s">
        <v>23</v>
      </c>
      <c r="O311" s="1" t="s">
        <v>24</v>
      </c>
      <c r="P311" s="1" t="s">
        <v>31</v>
      </c>
      <c r="Q311" s="4">
        <v>18</v>
      </c>
      <c r="R311" s="4">
        <v>9</v>
      </c>
      <c r="S311" s="1" t="s">
        <v>25</v>
      </c>
      <c r="T311" s="1" t="s">
        <v>61</v>
      </c>
      <c r="U311" s="5" t="s">
        <v>232</v>
      </c>
      <c r="V311" s="4">
        <v>88</v>
      </c>
    </row>
    <row r="312" spans="1:22" x14ac:dyDescent="0.3">
      <c r="A312" s="1" t="s">
        <v>902</v>
      </c>
      <c r="B312" s="1" t="s">
        <v>35</v>
      </c>
      <c r="C312" s="1" t="s">
        <v>12</v>
      </c>
      <c r="D312" s="1" t="s">
        <v>31</v>
      </c>
      <c r="E312" s="4">
        <v>14</v>
      </c>
      <c r="F312" s="4">
        <v>11</v>
      </c>
      <c r="G312" s="1" t="s">
        <v>14</v>
      </c>
      <c r="H312" s="1" t="s">
        <v>37</v>
      </c>
      <c r="I312" s="5" t="s">
        <v>271</v>
      </c>
      <c r="J312" s="4">
        <v>59</v>
      </c>
      <c r="M312" s="1" t="s">
        <v>239</v>
      </c>
      <c r="N312" s="1" t="s">
        <v>68</v>
      </c>
      <c r="O312" s="1" t="s">
        <v>58</v>
      </c>
      <c r="P312" s="1" t="s">
        <v>13</v>
      </c>
      <c r="Q312" s="4">
        <v>18</v>
      </c>
      <c r="R312" s="4">
        <v>11</v>
      </c>
      <c r="S312" s="1" t="s">
        <v>25</v>
      </c>
      <c r="T312" s="1" t="s">
        <v>15</v>
      </c>
      <c r="U312" s="5" t="s">
        <v>240</v>
      </c>
      <c r="V312" s="4">
        <v>48</v>
      </c>
    </row>
    <row r="313" spans="1:22" x14ac:dyDescent="0.3">
      <c r="A313" s="1" t="s">
        <v>112</v>
      </c>
      <c r="B313" s="1" t="s">
        <v>73</v>
      </c>
      <c r="C313" s="1" t="s">
        <v>30</v>
      </c>
      <c r="D313" s="1" t="s">
        <v>13</v>
      </c>
      <c r="E313" s="4">
        <v>15</v>
      </c>
      <c r="F313" s="4">
        <v>9</v>
      </c>
      <c r="G313" s="1" t="s">
        <v>14</v>
      </c>
      <c r="H313" s="1" t="s">
        <v>26</v>
      </c>
      <c r="I313" s="5" t="s">
        <v>113</v>
      </c>
      <c r="J313" s="4">
        <v>58</v>
      </c>
      <c r="M313" s="1" t="s">
        <v>245</v>
      </c>
      <c r="N313" s="1" t="s">
        <v>54</v>
      </c>
      <c r="O313" s="1" t="s">
        <v>19</v>
      </c>
      <c r="P313" s="1" t="s">
        <v>31</v>
      </c>
      <c r="Q313" s="4">
        <v>18</v>
      </c>
      <c r="R313" s="4">
        <v>12</v>
      </c>
      <c r="S313" s="1" t="s">
        <v>32</v>
      </c>
      <c r="T313" s="1" t="s">
        <v>26</v>
      </c>
      <c r="U313" s="5" t="s">
        <v>246</v>
      </c>
      <c r="V313" s="4">
        <v>74</v>
      </c>
    </row>
    <row r="314" spans="1:22" x14ac:dyDescent="0.3">
      <c r="A314" s="1" t="s">
        <v>263</v>
      </c>
      <c r="B314" s="1" t="s">
        <v>29</v>
      </c>
      <c r="C314" s="1" t="s">
        <v>19</v>
      </c>
      <c r="D314" s="1" t="s">
        <v>13</v>
      </c>
      <c r="E314" s="4">
        <v>15</v>
      </c>
      <c r="F314" s="4">
        <v>11</v>
      </c>
      <c r="G314" s="1" t="s">
        <v>25</v>
      </c>
      <c r="H314" s="1" t="s">
        <v>46</v>
      </c>
      <c r="I314" s="5" t="s">
        <v>264</v>
      </c>
      <c r="J314" s="4">
        <v>58</v>
      </c>
      <c r="M314" s="1" t="s">
        <v>280</v>
      </c>
      <c r="N314" s="1" t="s">
        <v>84</v>
      </c>
      <c r="O314" s="1" t="s">
        <v>58</v>
      </c>
      <c r="P314" s="1" t="s">
        <v>13</v>
      </c>
      <c r="Q314" s="4">
        <v>18</v>
      </c>
      <c r="R314" s="4">
        <v>12</v>
      </c>
      <c r="S314" s="1" t="s">
        <v>32</v>
      </c>
      <c r="T314" s="1" t="s">
        <v>76</v>
      </c>
      <c r="U314" s="5" t="s">
        <v>159</v>
      </c>
      <c r="V314" s="4">
        <v>98</v>
      </c>
    </row>
    <row r="315" spans="1:22" x14ac:dyDescent="0.3">
      <c r="A315" s="1" t="s">
        <v>446</v>
      </c>
      <c r="B315" s="1" t="s">
        <v>73</v>
      </c>
      <c r="C315" s="1" t="s">
        <v>24</v>
      </c>
      <c r="D315" s="1" t="s">
        <v>13</v>
      </c>
      <c r="E315" s="4">
        <v>17</v>
      </c>
      <c r="F315" s="4">
        <v>10</v>
      </c>
      <c r="G315" s="1" t="s">
        <v>14</v>
      </c>
      <c r="H315" s="1" t="s">
        <v>20</v>
      </c>
      <c r="I315" s="5" t="s">
        <v>447</v>
      </c>
      <c r="J315" s="4">
        <v>58</v>
      </c>
      <c r="M315" s="1" t="s">
        <v>300</v>
      </c>
      <c r="N315" s="1" t="s">
        <v>11</v>
      </c>
      <c r="O315" s="1" t="s">
        <v>79</v>
      </c>
      <c r="P315" s="1" t="s">
        <v>31</v>
      </c>
      <c r="Q315" s="4">
        <v>18</v>
      </c>
      <c r="R315" s="4">
        <v>9</v>
      </c>
      <c r="S315" s="1" t="s">
        <v>14</v>
      </c>
      <c r="T315" s="1" t="s">
        <v>20</v>
      </c>
      <c r="U315" s="5" t="s">
        <v>301</v>
      </c>
      <c r="V315" s="4">
        <v>66</v>
      </c>
    </row>
    <row r="316" spans="1:22" x14ac:dyDescent="0.3">
      <c r="A316" s="1" t="s">
        <v>450</v>
      </c>
      <c r="B316" s="1" t="s">
        <v>54</v>
      </c>
      <c r="C316" s="1" t="s">
        <v>55</v>
      </c>
      <c r="D316" s="1" t="s">
        <v>31</v>
      </c>
      <c r="E316" s="4">
        <v>19</v>
      </c>
      <c r="F316" s="4">
        <v>12</v>
      </c>
      <c r="G316" s="1" t="s">
        <v>43</v>
      </c>
      <c r="H316" s="1" t="s">
        <v>20</v>
      </c>
      <c r="I316" s="5" t="s">
        <v>451</v>
      </c>
      <c r="J316" s="4">
        <v>58</v>
      </c>
      <c r="M316" s="1" t="s">
        <v>308</v>
      </c>
      <c r="N316" s="1" t="s">
        <v>23</v>
      </c>
      <c r="O316" s="1" t="s">
        <v>36</v>
      </c>
      <c r="P316" s="1" t="s">
        <v>13</v>
      </c>
      <c r="Q316" s="4">
        <v>18</v>
      </c>
      <c r="R316" s="4">
        <v>10</v>
      </c>
      <c r="S316" s="1" t="s">
        <v>43</v>
      </c>
      <c r="T316" s="1" t="s">
        <v>40</v>
      </c>
      <c r="U316" s="5" t="s">
        <v>309</v>
      </c>
      <c r="V316" s="4">
        <v>57</v>
      </c>
    </row>
    <row r="317" spans="1:22" x14ac:dyDescent="0.3">
      <c r="A317" s="1" t="s">
        <v>535</v>
      </c>
      <c r="B317" s="1" t="s">
        <v>84</v>
      </c>
      <c r="C317" s="1" t="s">
        <v>58</v>
      </c>
      <c r="D317" s="1" t="s">
        <v>13</v>
      </c>
      <c r="E317" s="4">
        <v>20</v>
      </c>
      <c r="F317" s="4">
        <v>9</v>
      </c>
      <c r="G317" s="1" t="s">
        <v>25</v>
      </c>
      <c r="H317" s="1" t="s">
        <v>46</v>
      </c>
      <c r="I317" s="5" t="s">
        <v>536</v>
      </c>
      <c r="J317" s="4">
        <v>58</v>
      </c>
      <c r="M317" s="1" t="s">
        <v>318</v>
      </c>
      <c r="N317" s="1" t="s">
        <v>54</v>
      </c>
      <c r="O317" s="1" t="s">
        <v>96</v>
      </c>
      <c r="P317" s="1" t="s">
        <v>13</v>
      </c>
      <c r="Q317" s="4">
        <v>18</v>
      </c>
      <c r="R317" s="4">
        <v>9</v>
      </c>
      <c r="S317" s="1" t="s">
        <v>32</v>
      </c>
      <c r="T317" s="1" t="s">
        <v>76</v>
      </c>
      <c r="U317" s="5" t="s">
        <v>319</v>
      </c>
      <c r="V317" s="4">
        <v>86</v>
      </c>
    </row>
    <row r="318" spans="1:22" x14ac:dyDescent="0.3">
      <c r="A318" s="1" t="s">
        <v>753</v>
      </c>
      <c r="B318" s="1" t="s">
        <v>73</v>
      </c>
      <c r="C318" s="1" t="s">
        <v>24</v>
      </c>
      <c r="D318" s="1" t="s">
        <v>13</v>
      </c>
      <c r="E318" s="4">
        <v>18</v>
      </c>
      <c r="F318" s="4">
        <v>11</v>
      </c>
      <c r="G318" s="1" t="s">
        <v>32</v>
      </c>
      <c r="H318" s="1" t="s">
        <v>40</v>
      </c>
      <c r="I318" s="5" t="s">
        <v>313</v>
      </c>
      <c r="J318" s="4">
        <v>58</v>
      </c>
      <c r="M318" s="1" t="s">
        <v>334</v>
      </c>
      <c r="N318" s="1" t="s">
        <v>73</v>
      </c>
      <c r="O318" s="1" t="s">
        <v>12</v>
      </c>
      <c r="P318" s="1" t="s">
        <v>31</v>
      </c>
      <c r="Q318" s="4">
        <v>18</v>
      </c>
      <c r="R318" s="4">
        <v>11</v>
      </c>
      <c r="S318" s="1" t="s">
        <v>32</v>
      </c>
      <c r="T318" s="1" t="s">
        <v>76</v>
      </c>
      <c r="U318" s="5" t="s">
        <v>335</v>
      </c>
      <c r="V318" s="4">
        <v>97</v>
      </c>
    </row>
    <row r="319" spans="1:22" x14ac:dyDescent="0.3">
      <c r="A319" s="1" t="s">
        <v>881</v>
      </c>
      <c r="B319" s="1" t="s">
        <v>73</v>
      </c>
      <c r="C319" s="1" t="s">
        <v>24</v>
      </c>
      <c r="D319" s="1" t="s">
        <v>31</v>
      </c>
      <c r="E319" s="4">
        <v>14</v>
      </c>
      <c r="F319" s="4">
        <v>12</v>
      </c>
      <c r="G319" s="1" t="s">
        <v>25</v>
      </c>
      <c r="H319" s="1" t="s">
        <v>46</v>
      </c>
      <c r="I319" s="5" t="s">
        <v>882</v>
      </c>
      <c r="J319" s="4">
        <v>58</v>
      </c>
      <c r="M319" s="1" t="s">
        <v>339</v>
      </c>
      <c r="N319" s="1" t="s">
        <v>23</v>
      </c>
      <c r="O319" s="1" t="s">
        <v>36</v>
      </c>
      <c r="P319" s="1" t="s">
        <v>13</v>
      </c>
      <c r="Q319" s="4">
        <v>18</v>
      </c>
      <c r="R319" s="4">
        <v>9</v>
      </c>
      <c r="S319" s="1" t="s">
        <v>32</v>
      </c>
      <c r="T319" s="1" t="s">
        <v>37</v>
      </c>
      <c r="U319" s="5" t="s">
        <v>340</v>
      </c>
      <c r="V319" s="4">
        <v>64</v>
      </c>
    </row>
    <row r="320" spans="1:22" x14ac:dyDescent="0.3">
      <c r="A320" s="1" t="s">
        <v>898</v>
      </c>
      <c r="B320" s="1" t="s">
        <v>18</v>
      </c>
      <c r="C320" s="1" t="s">
        <v>19</v>
      </c>
      <c r="D320" s="1" t="s">
        <v>13</v>
      </c>
      <c r="E320" s="4">
        <v>17</v>
      </c>
      <c r="F320" s="4">
        <v>10</v>
      </c>
      <c r="G320" s="1" t="s">
        <v>25</v>
      </c>
      <c r="H320" s="1" t="s">
        <v>61</v>
      </c>
      <c r="I320" s="5" t="s">
        <v>471</v>
      </c>
      <c r="J320" s="4">
        <v>58</v>
      </c>
      <c r="M320" s="1" t="s">
        <v>349</v>
      </c>
      <c r="N320" s="1" t="s">
        <v>35</v>
      </c>
      <c r="O320" s="1" t="s">
        <v>30</v>
      </c>
      <c r="P320" s="1" t="s">
        <v>31</v>
      </c>
      <c r="Q320" s="4">
        <v>18</v>
      </c>
      <c r="R320" s="4">
        <v>12</v>
      </c>
      <c r="S320" s="1" t="s">
        <v>43</v>
      </c>
      <c r="T320" s="1" t="s">
        <v>37</v>
      </c>
      <c r="U320" s="5" t="s">
        <v>350</v>
      </c>
      <c r="V320" s="4">
        <v>53</v>
      </c>
    </row>
    <row r="321" spans="1:22" x14ac:dyDescent="0.3">
      <c r="A321" s="1" t="s">
        <v>921</v>
      </c>
      <c r="B321" s="1" t="s">
        <v>18</v>
      </c>
      <c r="C321" s="1" t="s">
        <v>24</v>
      </c>
      <c r="D321" s="1" t="s">
        <v>13</v>
      </c>
      <c r="E321" s="4">
        <v>19</v>
      </c>
      <c r="F321" s="4">
        <v>10</v>
      </c>
      <c r="G321" s="1" t="s">
        <v>14</v>
      </c>
      <c r="H321" s="1" t="s">
        <v>20</v>
      </c>
      <c r="I321" s="5" t="s">
        <v>922</v>
      </c>
      <c r="J321" s="4">
        <v>58</v>
      </c>
      <c r="M321" s="1" t="s">
        <v>375</v>
      </c>
      <c r="N321" s="1" t="s">
        <v>35</v>
      </c>
      <c r="O321" s="1" t="s">
        <v>36</v>
      </c>
      <c r="P321" s="1" t="s">
        <v>13</v>
      </c>
      <c r="Q321" s="4">
        <v>18</v>
      </c>
      <c r="R321" s="4">
        <v>11</v>
      </c>
      <c r="S321" s="1" t="s">
        <v>25</v>
      </c>
      <c r="T321" s="1" t="s">
        <v>40</v>
      </c>
      <c r="U321" s="5" t="s">
        <v>376</v>
      </c>
      <c r="V321" s="4">
        <v>62</v>
      </c>
    </row>
    <row r="322" spans="1:22" x14ac:dyDescent="0.3">
      <c r="A322" s="1" t="s">
        <v>104</v>
      </c>
      <c r="B322" s="1" t="s">
        <v>29</v>
      </c>
      <c r="C322" s="1" t="s">
        <v>79</v>
      </c>
      <c r="D322" s="1" t="s">
        <v>31</v>
      </c>
      <c r="E322" s="4">
        <v>18</v>
      </c>
      <c r="F322" s="4">
        <v>10</v>
      </c>
      <c r="G322" s="1" t="s">
        <v>25</v>
      </c>
      <c r="H322" s="1" t="s">
        <v>61</v>
      </c>
      <c r="I322" s="5" t="s">
        <v>105</v>
      </c>
      <c r="J322" s="4">
        <v>57</v>
      </c>
      <c r="M322" s="1" t="s">
        <v>380</v>
      </c>
      <c r="N322" s="1" t="s">
        <v>11</v>
      </c>
      <c r="O322" s="1" t="s">
        <v>24</v>
      </c>
      <c r="P322" s="1" t="s">
        <v>31</v>
      </c>
      <c r="Q322" s="4">
        <v>18</v>
      </c>
      <c r="R322" s="4">
        <v>11</v>
      </c>
      <c r="S322" s="1" t="s">
        <v>32</v>
      </c>
      <c r="T322" s="1" t="s">
        <v>61</v>
      </c>
      <c r="U322" s="5" t="s">
        <v>381</v>
      </c>
      <c r="V322" s="4">
        <v>67</v>
      </c>
    </row>
    <row r="323" spans="1:22" x14ac:dyDescent="0.3">
      <c r="A323" s="1" t="s">
        <v>211</v>
      </c>
      <c r="B323" s="1" t="s">
        <v>35</v>
      </c>
      <c r="C323" s="1" t="s">
        <v>19</v>
      </c>
      <c r="D323" s="1" t="s">
        <v>31</v>
      </c>
      <c r="E323" s="4">
        <v>16</v>
      </c>
      <c r="F323" s="4">
        <v>9</v>
      </c>
      <c r="G323" s="1" t="s">
        <v>14</v>
      </c>
      <c r="H323" s="1" t="s">
        <v>37</v>
      </c>
      <c r="I323" s="5" t="s">
        <v>212</v>
      </c>
      <c r="J323" s="4">
        <v>57</v>
      </c>
      <c r="M323" s="1" t="s">
        <v>386</v>
      </c>
      <c r="N323" s="1" t="s">
        <v>68</v>
      </c>
      <c r="O323" s="1" t="s">
        <v>96</v>
      </c>
      <c r="P323" s="1" t="s">
        <v>13</v>
      </c>
      <c r="Q323" s="4">
        <v>18</v>
      </c>
      <c r="R323" s="4">
        <v>9</v>
      </c>
      <c r="S323" s="1" t="s">
        <v>25</v>
      </c>
      <c r="T323" s="1" t="s">
        <v>46</v>
      </c>
      <c r="U323" s="5" t="s">
        <v>387</v>
      </c>
      <c r="V323" s="4">
        <v>74</v>
      </c>
    </row>
    <row r="324" spans="1:22" x14ac:dyDescent="0.3">
      <c r="A324" s="1" t="s">
        <v>308</v>
      </c>
      <c r="B324" s="1" t="s">
        <v>23</v>
      </c>
      <c r="C324" s="1" t="s">
        <v>36</v>
      </c>
      <c r="D324" s="1" t="s">
        <v>13</v>
      </c>
      <c r="E324" s="4">
        <v>18</v>
      </c>
      <c r="F324" s="4">
        <v>10</v>
      </c>
      <c r="G324" s="1" t="s">
        <v>43</v>
      </c>
      <c r="H324" s="1" t="s">
        <v>40</v>
      </c>
      <c r="I324" s="5" t="s">
        <v>309</v>
      </c>
      <c r="J324" s="4">
        <v>57</v>
      </c>
      <c r="M324" s="1" t="s">
        <v>395</v>
      </c>
      <c r="N324" s="1" t="s">
        <v>11</v>
      </c>
      <c r="O324" s="1" t="s">
        <v>96</v>
      </c>
      <c r="P324" s="1" t="s">
        <v>13</v>
      </c>
      <c r="Q324" s="4">
        <v>18</v>
      </c>
      <c r="R324" s="4">
        <v>11</v>
      </c>
      <c r="S324" s="1" t="s">
        <v>25</v>
      </c>
      <c r="T324" s="1" t="s">
        <v>37</v>
      </c>
      <c r="U324" s="5" t="s">
        <v>396</v>
      </c>
      <c r="V324" s="4">
        <v>65</v>
      </c>
    </row>
    <row r="325" spans="1:22" x14ac:dyDescent="0.3">
      <c r="A325" s="1" t="s">
        <v>642</v>
      </c>
      <c r="B325" s="1" t="s">
        <v>18</v>
      </c>
      <c r="C325" s="1" t="s">
        <v>19</v>
      </c>
      <c r="D325" s="1" t="s">
        <v>13</v>
      </c>
      <c r="E325" s="4">
        <v>14</v>
      </c>
      <c r="F325" s="4">
        <v>9</v>
      </c>
      <c r="G325" s="1" t="s">
        <v>43</v>
      </c>
      <c r="H325" s="1" t="s">
        <v>20</v>
      </c>
      <c r="I325" s="5" t="s">
        <v>643</v>
      </c>
      <c r="J325" s="4">
        <v>57</v>
      </c>
      <c r="M325" s="1" t="s">
        <v>405</v>
      </c>
      <c r="N325" s="1" t="s">
        <v>18</v>
      </c>
      <c r="O325" s="1" t="s">
        <v>19</v>
      </c>
      <c r="P325" s="1" t="s">
        <v>31</v>
      </c>
      <c r="Q325" s="4">
        <v>18</v>
      </c>
      <c r="R325" s="4">
        <v>12</v>
      </c>
      <c r="S325" s="1" t="s">
        <v>25</v>
      </c>
      <c r="T325" s="1" t="s">
        <v>37</v>
      </c>
      <c r="U325" s="5" t="s">
        <v>406</v>
      </c>
      <c r="V325" s="4">
        <v>70</v>
      </c>
    </row>
    <row r="326" spans="1:22" x14ac:dyDescent="0.3">
      <c r="A326" s="1" t="s">
        <v>713</v>
      </c>
      <c r="B326" s="1" t="s">
        <v>29</v>
      </c>
      <c r="C326" s="1" t="s">
        <v>24</v>
      </c>
      <c r="D326" s="1" t="s">
        <v>31</v>
      </c>
      <c r="E326" s="4">
        <v>16</v>
      </c>
      <c r="F326" s="4">
        <v>12</v>
      </c>
      <c r="G326" s="1" t="s">
        <v>32</v>
      </c>
      <c r="H326" s="1" t="s">
        <v>26</v>
      </c>
      <c r="I326" s="5" t="s">
        <v>714</v>
      </c>
      <c r="J326" s="4">
        <v>57</v>
      </c>
      <c r="M326" s="1" t="s">
        <v>430</v>
      </c>
      <c r="N326" s="1" t="s">
        <v>54</v>
      </c>
      <c r="O326" s="1" t="s">
        <v>30</v>
      </c>
      <c r="P326" s="1" t="s">
        <v>13</v>
      </c>
      <c r="Q326" s="4">
        <v>18</v>
      </c>
      <c r="R326" s="4">
        <v>11</v>
      </c>
      <c r="S326" s="1" t="s">
        <v>25</v>
      </c>
      <c r="T326" s="1" t="s">
        <v>26</v>
      </c>
      <c r="U326" s="5" t="s">
        <v>431</v>
      </c>
      <c r="V326" s="4">
        <v>91</v>
      </c>
    </row>
    <row r="327" spans="1:22" x14ac:dyDescent="0.3">
      <c r="A327" s="1" t="s">
        <v>95</v>
      </c>
      <c r="B327" s="1" t="s">
        <v>18</v>
      </c>
      <c r="C327" s="1" t="s">
        <v>96</v>
      </c>
      <c r="D327" s="1" t="s">
        <v>13</v>
      </c>
      <c r="E327" s="4">
        <v>19</v>
      </c>
      <c r="F327" s="4">
        <v>12</v>
      </c>
      <c r="G327" s="1" t="s">
        <v>14</v>
      </c>
      <c r="H327" s="1" t="s">
        <v>15</v>
      </c>
      <c r="I327" s="5" t="s">
        <v>97</v>
      </c>
      <c r="J327" s="4">
        <v>56</v>
      </c>
      <c r="M327" s="1" t="s">
        <v>452</v>
      </c>
      <c r="N327" s="1" t="s">
        <v>51</v>
      </c>
      <c r="O327" s="1" t="s">
        <v>12</v>
      </c>
      <c r="P327" s="1" t="s">
        <v>13</v>
      </c>
      <c r="Q327" s="4">
        <v>18</v>
      </c>
      <c r="R327" s="4">
        <v>9</v>
      </c>
      <c r="S327" s="1" t="s">
        <v>32</v>
      </c>
      <c r="T327" s="1" t="s">
        <v>76</v>
      </c>
      <c r="U327" s="5" t="s">
        <v>453</v>
      </c>
      <c r="V327" s="4">
        <v>35</v>
      </c>
    </row>
    <row r="328" spans="1:22" x14ac:dyDescent="0.3">
      <c r="A328" s="1" t="s">
        <v>98</v>
      </c>
      <c r="B328" s="1" t="s">
        <v>68</v>
      </c>
      <c r="C328" s="1" t="s">
        <v>55</v>
      </c>
      <c r="D328" s="1" t="s">
        <v>13</v>
      </c>
      <c r="E328" s="4">
        <v>19</v>
      </c>
      <c r="F328" s="4">
        <v>11</v>
      </c>
      <c r="G328" s="1" t="s">
        <v>43</v>
      </c>
      <c r="H328" s="1" t="s">
        <v>15</v>
      </c>
      <c r="I328" s="5" t="s">
        <v>99</v>
      </c>
      <c r="J328" s="4">
        <v>56</v>
      </c>
      <c r="M328" s="1" t="s">
        <v>480</v>
      </c>
      <c r="N328" s="1" t="s">
        <v>35</v>
      </c>
      <c r="O328" s="1" t="s">
        <v>12</v>
      </c>
      <c r="P328" s="1" t="s">
        <v>31</v>
      </c>
      <c r="Q328" s="4">
        <v>18</v>
      </c>
      <c r="R328" s="4">
        <v>10</v>
      </c>
      <c r="S328" s="1" t="s">
        <v>14</v>
      </c>
      <c r="T328" s="1" t="s">
        <v>37</v>
      </c>
      <c r="U328" s="5" t="s">
        <v>481</v>
      </c>
      <c r="V328" s="4">
        <v>36</v>
      </c>
    </row>
    <row r="329" spans="1:22" x14ac:dyDescent="0.3">
      <c r="A329" s="1" t="s">
        <v>116</v>
      </c>
      <c r="B329" s="1" t="s">
        <v>84</v>
      </c>
      <c r="C329" s="1" t="s">
        <v>19</v>
      </c>
      <c r="D329" s="1" t="s">
        <v>13</v>
      </c>
      <c r="E329" s="4">
        <v>19</v>
      </c>
      <c r="F329" s="4">
        <v>12</v>
      </c>
      <c r="G329" s="1" t="s">
        <v>14</v>
      </c>
      <c r="H329" s="1" t="s">
        <v>20</v>
      </c>
      <c r="I329" s="5" t="s">
        <v>117</v>
      </c>
      <c r="J329" s="4">
        <v>56</v>
      </c>
      <c r="M329" s="1" t="s">
        <v>482</v>
      </c>
      <c r="N329" s="1" t="s">
        <v>35</v>
      </c>
      <c r="O329" s="1" t="s">
        <v>24</v>
      </c>
      <c r="P329" s="1" t="s">
        <v>13</v>
      </c>
      <c r="Q329" s="4">
        <v>18</v>
      </c>
      <c r="R329" s="4">
        <v>11</v>
      </c>
      <c r="S329" s="1" t="s">
        <v>14</v>
      </c>
      <c r="T329" s="1" t="s">
        <v>61</v>
      </c>
      <c r="U329" s="5" t="s">
        <v>483</v>
      </c>
      <c r="V329" s="4">
        <v>86</v>
      </c>
    </row>
    <row r="330" spans="1:22" x14ac:dyDescent="0.3">
      <c r="A330" s="1" t="s">
        <v>298</v>
      </c>
      <c r="B330" s="1" t="s">
        <v>29</v>
      </c>
      <c r="C330" s="1" t="s">
        <v>96</v>
      </c>
      <c r="D330" s="1" t="s">
        <v>31</v>
      </c>
      <c r="E330" s="4">
        <v>20</v>
      </c>
      <c r="F330" s="4">
        <v>10</v>
      </c>
      <c r="G330" s="1" t="s">
        <v>32</v>
      </c>
      <c r="H330" s="1" t="s">
        <v>26</v>
      </c>
      <c r="I330" s="5" t="s">
        <v>299</v>
      </c>
      <c r="J330" s="4">
        <v>56</v>
      </c>
      <c r="M330" s="1" t="s">
        <v>501</v>
      </c>
      <c r="N330" s="1" t="s">
        <v>84</v>
      </c>
      <c r="O330" s="1" t="s">
        <v>19</v>
      </c>
      <c r="P330" s="1" t="s">
        <v>13</v>
      </c>
      <c r="Q330" s="4">
        <v>18</v>
      </c>
      <c r="R330" s="4">
        <v>10</v>
      </c>
      <c r="S330" s="1" t="s">
        <v>14</v>
      </c>
      <c r="T330" s="1" t="s">
        <v>61</v>
      </c>
      <c r="U330" s="5" t="s">
        <v>502</v>
      </c>
      <c r="V330" s="4">
        <v>76</v>
      </c>
    </row>
    <row r="331" spans="1:22" x14ac:dyDescent="0.3">
      <c r="A331" s="1" t="s">
        <v>677</v>
      </c>
      <c r="B331" s="1" t="s">
        <v>23</v>
      </c>
      <c r="C331" s="1" t="s">
        <v>85</v>
      </c>
      <c r="D331" s="1" t="s">
        <v>13</v>
      </c>
      <c r="E331" s="4">
        <v>20</v>
      </c>
      <c r="F331" s="4">
        <v>10</v>
      </c>
      <c r="G331" s="1" t="s">
        <v>32</v>
      </c>
      <c r="H331" s="1" t="s">
        <v>40</v>
      </c>
      <c r="I331" s="5" t="s">
        <v>678</v>
      </c>
      <c r="J331" s="4">
        <v>56</v>
      </c>
      <c r="M331" s="1" t="s">
        <v>522</v>
      </c>
      <c r="N331" s="1" t="s">
        <v>54</v>
      </c>
      <c r="O331" s="1" t="s">
        <v>79</v>
      </c>
      <c r="P331" s="1" t="s">
        <v>31</v>
      </c>
      <c r="Q331" s="4">
        <v>18</v>
      </c>
      <c r="R331" s="4">
        <v>10</v>
      </c>
      <c r="S331" s="1" t="s">
        <v>14</v>
      </c>
      <c r="T331" s="1" t="s">
        <v>61</v>
      </c>
      <c r="U331" s="5" t="s">
        <v>523</v>
      </c>
      <c r="V331" s="4">
        <v>82</v>
      </c>
    </row>
    <row r="332" spans="1:22" x14ac:dyDescent="0.3">
      <c r="A332" s="1" t="s">
        <v>817</v>
      </c>
      <c r="B332" s="1" t="s">
        <v>51</v>
      </c>
      <c r="C332" s="1" t="s">
        <v>55</v>
      </c>
      <c r="D332" s="1" t="s">
        <v>31</v>
      </c>
      <c r="E332" s="4">
        <v>19</v>
      </c>
      <c r="F332" s="4">
        <v>11</v>
      </c>
      <c r="G332" s="1" t="s">
        <v>14</v>
      </c>
      <c r="H332" s="1" t="s">
        <v>26</v>
      </c>
      <c r="I332" s="5" t="s">
        <v>818</v>
      </c>
      <c r="J332" s="4">
        <v>56</v>
      </c>
      <c r="M332" s="1" t="s">
        <v>526</v>
      </c>
      <c r="N332" s="1" t="s">
        <v>18</v>
      </c>
      <c r="O332" s="1" t="s">
        <v>12</v>
      </c>
      <c r="P332" s="1" t="s">
        <v>31</v>
      </c>
      <c r="Q332" s="4">
        <v>18</v>
      </c>
      <c r="R332" s="4">
        <v>9</v>
      </c>
      <c r="S332" s="1" t="s">
        <v>14</v>
      </c>
      <c r="T332" s="1" t="s">
        <v>15</v>
      </c>
      <c r="U332" s="5" t="s">
        <v>346</v>
      </c>
      <c r="V332" s="4">
        <v>59</v>
      </c>
    </row>
    <row r="333" spans="1:22" x14ac:dyDescent="0.3">
      <c r="A333" s="1" t="s">
        <v>819</v>
      </c>
      <c r="B333" s="1" t="s">
        <v>18</v>
      </c>
      <c r="C333" s="1" t="s">
        <v>36</v>
      </c>
      <c r="D333" s="1" t="s">
        <v>31</v>
      </c>
      <c r="E333" s="4">
        <v>14</v>
      </c>
      <c r="F333" s="4">
        <v>10</v>
      </c>
      <c r="G333" s="1" t="s">
        <v>43</v>
      </c>
      <c r="H333" s="1" t="s">
        <v>76</v>
      </c>
      <c r="I333" s="5" t="s">
        <v>820</v>
      </c>
      <c r="J333" s="4">
        <v>56</v>
      </c>
      <c r="M333" s="1" t="s">
        <v>540</v>
      </c>
      <c r="N333" s="1" t="s">
        <v>51</v>
      </c>
      <c r="O333" s="1" t="s">
        <v>85</v>
      </c>
      <c r="P333" s="1" t="s">
        <v>13</v>
      </c>
      <c r="Q333" s="4">
        <v>18</v>
      </c>
      <c r="R333" s="4">
        <v>10</v>
      </c>
      <c r="S333" s="1" t="s">
        <v>14</v>
      </c>
      <c r="T333" s="1" t="s">
        <v>46</v>
      </c>
      <c r="U333" s="5" t="s">
        <v>541</v>
      </c>
      <c r="V333" s="4">
        <v>63</v>
      </c>
    </row>
    <row r="334" spans="1:22" x14ac:dyDescent="0.3">
      <c r="A334" s="1" t="s">
        <v>891</v>
      </c>
      <c r="B334" s="1" t="s">
        <v>68</v>
      </c>
      <c r="C334" s="1" t="s">
        <v>79</v>
      </c>
      <c r="D334" s="1" t="s">
        <v>31</v>
      </c>
      <c r="E334" s="4">
        <v>17</v>
      </c>
      <c r="F334" s="4">
        <v>10</v>
      </c>
      <c r="G334" s="1" t="s">
        <v>32</v>
      </c>
      <c r="H334" s="1" t="s">
        <v>61</v>
      </c>
      <c r="I334" s="5" t="s">
        <v>892</v>
      </c>
      <c r="J334" s="4">
        <v>56</v>
      </c>
      <c r="M334" s="1" t="s">
        <v>542</v>
      </c>
      <c r="N334" s="1" t="s">
        <v>84</v>
      </c>
      <c r="O334" s="1" t="s">
        <v>55</v>
      </c>
      <c r="P334" s="1" t="s">
        <v>31</v>
      </c>
      <c r="Q334" s="4">
        <v>18</v>
      </c>
      <c r="R334" s="4">
        <v>12</v>
      </c>
      <c r="S334" s="1" t="s">
        <v>32</v>
      </c>
      <c r="T334" s="1" t="s">
        <v>40</v>
      </c>
      <c r="U334" s="5" t="s">
        <v>543</v>
      </c>
      <c r="V334" s="4">
        <v>51</v>
      </c>
    </row>
    <row r="335" spans="1:22" x14ac:dyDescent="0.3">
      <c r="A335" s="1" t="s">
        <v>67</v>
      </c>
      <c r="B335" s="1" t="s">
        <v>68</v>
      </c>
      <c r="C335" s="1" t="s">
        <v>19</v>
      </c>
      <c r="D335" s="1" t="s">
        <v>13</v>
      </c>
      <c r="E335" s="4">
        <v>20</v>
      </c>
      <c r="F335" s="4">
        <v>9</v>
      </c>
      <c r="G335" s="1" t="s">
        <v>14</v>
      </c>
      <c r="H335" s="1" t="s">
        <v>20</v>
      </c>
      <c r="I335" s="5" t="s">
        <v>69</v>
      </c>
      <c r="J335" s="4">
        <v>55</v>
      </c>
      <c r="M335" s="1" t="s">
        <v>557</v>
      </c>
      <c r="N335" s="1" t="s">
        <v>23</v>
      </c>
      <c r="O335" s="1" t="s">
        <v>96</v>
      </c>
      <c r="P335" s="1" t="s">
        <v>13</v>
      </c>
      <c r="Q335" s="4">
        <v>18</v>
      </c>
      <c r="R335" s="4">
        <v>11</v>
      </c>
      <c r="S335" s="1" t="s">
        <v>25</v>
      </c>
      <c r="T335" s="1" t="s">
        <v>76</v>
      </c>
      <c r="U335" s="5" t="s">
        <v>182</v>
      </c>
      <c r="V335" s="4">
        <v>77</v>
      </c>
    </row>
    <row r="336" spans="1:22" x14ac:dyDescent="0.3">
      <c r="A336" s="1" t="s">
        <v>150</v>
      </c>
      <c r="B336" s="1" t="s">
        <v>23</v>
      </c>
      <c r="C336" s="1" t="s">
        <v>55</v>
      </c>
      <c r="D336" s="1" t="s">
        <v>31</v>
      </c>
      <c r="E336" s="4">
        <v>17</v>
      </c>
      <c r="F336" s="4">
        <v>9</v>
      </c>
      <c r="G336" s="1" t="s">
        <v>25</v>
      </c>
      <c r="H336" s="1" t="s">
        <v>20</v>
      </c>
      <c r="I336" s="5" t="s">
        <v>151</v>
      </c>
      <c r="J336" s="4">
        <v>55</v>
      </c>
      <c r="M336" s="1" t="s">
        <v>567</v>
      </c>
      <c r="N336" s="1" t="s">
        <v>54</v>
      </c>
      <c r="O336" s="1" t="s">
        <v>12</v>
      </c>
      <c r="P336" s="1" t="s">
        <v>31</v>
      </c>
      <c r="Q336" s="4">
        <v>18</v>
      </c>
      <c r="R336" s="4">
        <v>12</v>
      </c>
      <c r="S336" s="1" t="s">
        <v>25</v>
      </c>
      <c r="T336" s="1" t="s">
        <v>26</v>
      </c>
      <c r="U336" s="5" t="s">
        <v>568</v>
      </c>
      <c r="V336" s="4">
        <v>96</v>
      </c>
    </row>
    <row r="337" spans="1:22" x14ac:dyDescent="0.3">
      <c r="A337" s="1" t="s">
        <v>225</v>
      </c>
      <c r="B337" s="1" t="s">
        <v>35</v>
      </c>
      <c r="C337" s="1" t="s">
        <v>85</v>
      </c>
      <c r="D337" s="1" t="s">
        <v>13</v>
      </c>
      <c r="E337" s="4">
        <v>20</v>
      </c>
      <c r="F337" s="4">
        <v>9</v>
      </c>
      <c r="G337" s="1" t="s">
        <v>14</v>
      </c>
      <c r="H337" s="1" t="s">
        <v>40</v>
      </c>
      <c r="I337" s="5" t="s">
        <v>226</v>
      </c>
      <c r="J337" s="4">
        <v>55</v>
      </c>
      <c r="M337" s="1" t="s">
        <v>592</v>
      </c>
      <c r="N337" s="1" t="s">
        <v>51</v>
      </c>
      <c r="O337" s="1" t="s">
        <v>19</v>
      </c>
      <c r="P337" s="1" t="s">
        <v>31</v>
      </c>
      <c r="Q337" s="4">
        <v>18</v>
      </c>
      <c r="R337" s="4">
        <v>10</v>
      </c>
      <c r="S337" s="1" t="s">
        <v>43</v>
      </c>
      <c r="T337" s="1" t="s">
        <v>76</v>
      </c>
      <c r="U337" s="5" t="s">
        <v>593</v>
      </c>
      <c r="V337" s="4">
        <v>98</v>
      </c>
    </row>
    <row r="338" spans="1:22" x14ac:dyDescent="0.3">
      <c r="A338" s="1" t="s">
        <v>420</v>
      </c>
      <c r="B338" s="1" t="s">
        <v>73</v>
      </c>
      <c r="C338" s="1" t="s">
        <v>85</v>
      </c>
      <c r="D338" s="1" t="s">
        <v>13</v>
      </c>
      <c r="E338" s="4">
        <v>16</v>
      </c>
      <c r="F338" s="4">
        <v>11</v>
      </c>
      <c r="G338" s="1" t="s">
        <v>43</v>
      </c>
      <c r="H338" s="1" t="s">
        <v>46</v>
      </c>
      <c r="I338" s="5" t="s">
        <v>421</v>
      </c>
      <c r="J338" s="4">
        <v>55</v>
      </c>
      <c r="M338" s="1" t="s">
        <v>597</v>
      </c>
      <c r="N338" s="1" t="s">
        <v>18</v>
      </c>
      <c r="O338" s="1" t="s">
        <v>85</v>
      </c>
      <c r="P338" s="1" t="s">
        <v>31</v>
      </c>
      <c r="Q338" s="4">
        <v>18</v>
      </c>
      <c r="R338" s="4">
        <v>11</v>
      </c>
      <c r="S338" s="1" t="s">
        <v>43</v>
      </c>
      <c r="T338" s="1" t="s">
        <v>40</v>
      </c>
      <c r="U338" s="5" t="s">
        <v>598</v>
      </c>
      <c r="V338" s="4">
        <v>55</v>
      </c>
    </row>
    <row r="339" spans="1:22" x14ac:dyDescent="0.3">
      <c r="A339" s="1" t="s">
        <v>597</v>
      </c>
      <c r="B339" s="1" t="s">
        <v>18</v>
      </c>
      <c r="C339" s="1" t="s">
        <v>85</v>
      </c>
      <c r="D339" s="1" t="s">
        <v>31</v>
      </c>
      <c r="E339" s="4">
        <v>18</v>
      </c>
      <c r="F339" s="4">
        <v>11</v>
      </c>
      <c r="G339" s="1" t="s">
        <v>43</v>
      </c>
      <c r="H339" s="1" t="s">
        <v>40</v>
      </c>
      <c r="I339" s="5" t="s">
        <v>598</v>
      </c>
      <c r="J339" s="4">
        <v>55</v>
      </c>
      <c r="M339" s="1" t="s">
        <v>629</v>
      </c>
      <c r="N339" s="1" t="s">
        <v>35</v>
      </c>
      <c r="O339" s="1" t="s">
        <v>58</v>
      </c>
      <c r="P339" s="1" t="s">
        <v>13</v>
      </c>
      <c r="Q339" s="4">
        <v>18</v>
      </c>
      <c r="R339" s="4">
        <v>9</v>
      </c>
      <c r="S339" s="1" t="s">
        <v>25</v>
      </c>
      <c r="T339" s="1" t="s">
        <v>76</v>
      </c>
      <c r="U339" s="5" t="s">
        <v>105</v>
      </c>
      <c r="V339" s="4">
        <v>82</v>
      </c>
    </row>
    <row r="340" spans="1:22" x14ac:dyDescent="0.3">
      <c r="A340" s="1" t="s">
        <v>688</v>
      </c>
      <c r="B340" s="1" t="s">
        <v>23</v>
      </c>
      <c r="C340" s="1" t="s">
        <v>96</v>
      </c>
      <c r="D340" s="1" t="s">
        <v>31</v>
      </c>
      <c r="E340" s="4">
        <v>19</v>
      </c>
      <c r="F340" s="4">
        <v>10</v>
      </c>
      <c r="G340" s="1" t="s">
        <v>25</v>
      </c>
      <c r="H340" s="1" t="s">
        <v>40</v>
      </c>
      <c r="I340" s="5" t="s">
        <v>195</v>
      </c>
      <c r="J340" s="4">
        <v>55</v>
      </c>
      <c r="M340" s="1" t="s">
        <v>709</v>
      </c>
      <c r="N340" s="1" t="s">
        <v>54</v>
      </c>
      <c r="O340" s="1" t="s">
        <v>19</v>
      </c>
      <c r="P340" s="1" t="s">
        <v>31</v>
      </c>
      <c r="Q340" s="4">
        <v>18</v>
      </c>
      <c r="R340" s="4">
        <v>10</v>
      </c>
      <c r="S340" s="1" t="s">
        <v>43</v>
      </c>
      <c r="T340" s="1" t="s">
        <v>37</v>
      </c>
      <c r="U340" s="5" t="s">
        <v>710</v>
      </c>
      <c r="V340" s="4">
        <v>89</v>
      </c>
    </row>
    <row r="341" spans="1:22" x14ac:dyDescent="0.3">
      <c r="A341" s="1" t="s">
        <v>741</v>
      </c>
      <c r="B341" s="1" t="s">
        <v>54</v>
      </c>
      <c r="C341" s="1" t="s">
        <v>24</v>
      </c>
      <c r="D341" s="1" t="s">
        <v>13</v>
      </c>
      <c r="E341" s="4">
        <v>14</v>
      </c>
      <c r="F341" s="4">
        <v>9</v>
      </c>
      <c r="G341" s="1" t="s">
        <v>14</v>
      </c>
      <c r="H341" s="1" t="s">
        <v>76</v>
      </c>
      <c r="I341" s="5" t="s">
        <v>742</v>
      </c>
      <c r="J341" s="4">
        <v>55</v>
      </c>
      <c r="M341" s="1" t="s">
        <v>719</v>
      </c>
      <c r="N341" s="1" t="s">
        <v>18</v>
      </c>
      <c r="O341" s="1" t="s">
        <v>24</v>
      </c>
      <c r="P341" s="1" t="s">
        <v>31</v>
      </c>
      <c r="Q341" s="4">
        <v>18</v>
      </c>
      <c r="R341" s="4">
        <v>11</v>
      </c>
      <c r="S341" s="1" t="s">
        <v>43</v>
      </c>
      <c r="T341" s="1" t="s">
        <v>40</v>
      </c>
      <c r="U341" s="5" t="s">
        <v>720</v>
      </c>
      <c r="V341" s="4">
        <v>83</v>
      </c>
    </row>
    <row r="342" spans="1:22" x14ac:dyDescent="0.3">
      <c r="A342" s="1" t="s">
        <v>795</v>
      </c>
      <c r="B342" s="1" t="s">
        <v>54</v>
      </c>
      <c r="C342" s="1" t="s">
        <v>30</v>
      </c>
      <c r="D342" s="1" t="s">
        <v>13</v>
      </c>
      <c r="E342" s="4">
        <v>18</v>
      </c>
      <c r="F342" s="4">
        <v>12</v>
      </c>
      <c r="G342" s="1" t="s">
        <v>32</v>
      </c>
      <c r="H342" s="1" t="s">
        <v>20</v>
      </c>
      <c r="I342" s="5" t="s">
        <v>796</v>
      </c>
      <c r="J342" s="4">
        <v>55</v>
      </c>
      <c r="M342" s="1" t="s">
        <v>721</v>
      </c>
      <c r="N342" s="1" t="s">
        <v>23</v>
      </c>
      <c r="O342" s="1" t="s">
        <v>19</v>
      </c>
      <c r="P342" s="1" t="s">
        <v>31</v>
      </c>
      <c r="Q342" s="4">
        <v>18</v>
      </c>
      <c r="R342" s="4">
        <v>10</v>
      </c>
      <c r="S342" s="1" t="s">
        <v>14</v>
      </c>
      <c r="T342" s="1" t="s">
        <v>26</v>
      </c>
      <c r="U342" s="5" t="s">
        <v>722</v>
      </c>
      <c r="V342" s="4">
        <v>43</v>
      </c>
    </row>
    <row r="343" spans="1:22" x14ac:dyDescent="0.3">
      <c r="A343" s="1" t="s">
        <v>903</v>
      </c>
      <c r="B343" s="1" t="s">
        <v>54</v>
      </c>
      <c r="C343" s="1" t="s">
        <v>30</v>
      </c>
      <c r="D343" s="1" t="s">
        <v>31</v>
      </c>
      <c r="E343" s="4">
        <v>20</v>
      </c>
      <c r="F343" s="4">
        <v>12</v>
      </c>
      <c r="G343" s="1" t="s">
        <v>43</v>
      </c>
      <c r="H343" s="1" t="s">
        <v>40</v>
      </c>
      <c r="I343" s="5" t="s">
        <v>904</v>
      </c>
      <c r="J343" s="4">
        <v>55</v>
      </c>
      <c r="M343" s="1" t="s">
        <v>753</v>
      </c>
      <c r="N343" s="1" t="s">
        <v>73</v>
      </c>
      <c r="O343" s="1" t="s">
        <v>24</v>
      </c>
      <c r="P343" s="1" t="s">
        <v>13</v>
      </c>
      <c r="Q343" s="4">
        <v>18</v>
      </c>
      <c r="R343" s="4">
        <v>11</v>
      </c>
      <c r="S343" s="1" t="s">
        <v>32</v>
      </c>
      <c r="T343" s="1" t="s">
        <v>40</v>
      </c>
      <c r="U343" s="5" t="s">
        <v>313</v>
      </c>
      <c r="V343" s="4">
        <v>58</v>
      </c>
    </row>
    <row r="344" spans="1:22" x14ac:dyDescent="0.3">
      <c r="A344" s="1" t="s">
        <v>908</v>
      </c>
      <c r="B344" s="1" t="s">
        <v>11</v>
      </c>
      <c r="C344" s="1" t="s">
        <v>79</v>
      </c>
      <c r="D344" s="1" t="s">
        <v>31</v>
      </c>
      <c r="E344" s="4">
        <v>14</v>
      </c>
      <c r="F344" s="4">
        <v>10</v>
      </c>
      <c r="G344" s="1" t="s">
        <v>14</v>
      </c>
      <c r="H344" s="1" t="s">
        <v>46</v>
      </c>
      <c r="I344" s="5" t="s">
        <v>909</v>
      </c>
      <c r="J344" s="4">
        <v>55</v>
      </c>
      <c r="M344" s="1" t="s">
        <v>771</v>
      </c>
      <c r="N344" s="1" t="s">
        <v>23</v>
      </c>
      <c r="O344" s="1" t="s">
        <v>24</v>
      </c>
      <c r="P344" s="1" t="s">
        <v>31</v>
      </c>
      <c r="Q344" s="4">
        <v>18</v>
      </c>
      <c r="R344" s="4">
        <v>11</v>
      </c>
      <c r="S344" s="1" t="s">
        <v>25</v>
      </c>
      <c r="T344" s="1" t="s">
        <v>46</v>
      </c>
      <c r="U344" s="5" t="s">
        <v>772</v>
      </c>
      <c r="V344" s="4">
        <v>89</v>
      </c>
    </row>
    <row r="345" spans="1:22" x14ac:dyDescent="0.3">
      <c r="A345" s="1" t="s">
        <v>929</v>
      </c>
      <c r="B345" s="1" t="s">
        <v>35</v>
      </c>
      <c r="C345" s="1" t="s">
        <v>30</v>
      </c>
      <c r="D345" s="1" t="s">
        <v>13</v>
      </c>
      <c r="E345" s="4">
        <v>15</v>
      </c>
      <c r="F345" s="4">
        <v>12</v>
      </c>
      <c r="G345" s="1" t="s">
        <v>32</v>
      </c>
      <c r="H345" s="1" t="s">
        <v>26</v>
      </c>
      <c r="I345" s="5" t="s">
        <v>262</v>
      </c>
      <c r="J345" s="4">
        <v>55</v>
      </c>
      <c r="M345" s="1" t="s">
        <v>785</v>
      </c>
      <c r="N345" s="1" t="s">
        <v>35</v>
      </c>
      <c r="O345" s="1" t="s">
        <v>58</v>
      </c>
      <c r="P345" s="1" t="s">
        <v>13</v>
      </c>
      <c r="Q345" s="4">
        <v>18</v>
      </c>
      <c r="R345" s="4">
        <v>12</v>
      </c>
      <c r="S345" s="1" t="s">
        <v>43</v>
      </c>
      <c r="T345" s="1" t="s">
        <v>20</v>
      </c>
      <c r="U345" s="5" t="s">
        <v>786</v>
      </c>
      <c r="V345" s="4">
        <v>93</v>
      </c>
    </row>
    <row r="346" spans="1:22" x14ac:dyDescent="0.3">
      <c r="A346" s="1" t="s">
        <v>100</v>
      </c>
      <c r="B346" s="1" t="s">
        <v>35</v>
      </c>
      <c r="C346" s="1" t="s">
        <v>12</v>
      </c>
      <c r="D346" s="1" t="s">
        <v>31</v>
      </c>
      <c r="E346" s="4">
        <v>19</v>
      </c>
      <c r="F346" s="4">
        <v>12</v>
      </c>
      <c r="G346" s="1" t="s">
        <v>25</v>
      </c>
      <c r="H346" s="1" t="s">
        <v>76</v>
      </c>
      <c r="I346" s="5" t="s">
        <v>101</v>
      </c>
      <c r="J346" s="4">
        <v>54</v>
      </c>
      <c r="M346" s="1" t="s">
        <v>789</v>
      </c>
      <c r="N346" s="1" t="s">
        <v>54</v>
      </c>
      <c r="O346" s="1" t="s">
        <v>12</v>
      </c>
      <c r="P346" s="1" t="s">
        <v>31</v>
      </c>
      <c r="Q346" s="4">
        <v>18</v>
      </c>
      <c r="R346" s="4">
        <v>10</v>
      </c>
      <c r="S346" s="1" t="s">
        <v>25</v>
      </c>
      <c r="T346" s="1" t="s">
        <v>15</v>
      </c>
      <c r="U346" s="5" t="s">
        <v>790</v>
      </c>
      <c r="V346" s="4">
        <v>95</v>
      </c>
    </row>
    <row r="347" spans="1:22" x14ac:dyDescent="0.3">
      <c r="A347" s="1" t="s">
        <v>173</v>
      </c>
      <c r="B347" s="1" t="s">
        <v>54</v>
      </c>
      <c r="C347" s="1" t="s">
        <v>30</v>
      </c>
      <c r="D347" s="1" t="s">
        <v>31</v>
      </c>
      <c r="E347" s="4">
        <v>18</v>
      </c>
      <c r="F347" s="4">
        <v>9</v>
      </c>
      <c r="G347" s="1" t="s">
        <v>32</v>
      </c>
      <c r="H347" s="1" t="s">
        <v>40</v>
      </c>
      <c r="I347" s="5" t="s">
        <v>174</v>
      </c>
      <c r="J347" s="4">
        <v>54</v>
      </c>
      <c r="M347" s="1" t="s">
        <v>795</v>
      </c>
      <c r="N347" s="1" t="s">
        <v>54</v>
      </c>
      <c r="O347" s="1" t="s">
        <v>30</v>
      </c>
      <c r="P347" s="1" t="s">
        <v>13</v>
      </c>
      <c r="Q347" s="4">
        <v>18</v>
      </c>
      <c r="R347" s="4">
        <v>12</v>
      </c>
      <c r="S347" s="1" t="s">
        <v>32</v>
      </c>
      <c r="T347" s="1" t="s">
        <v>20</v>
      </c>
      <c r="U347" s="5" t="s">
        <v>796</v>
      </c>
      <c r="V347" s="4">
        <v>55</v>
      </c>
    </row>
    <row r="348" spans="1:22" x14ac:dyDescent="0.3">
      <c r="A348" s="1" t="s">
        <v>324</v>
      </c>
      <c r="B348" s="1" t="s">
        <v>23</v>
      </c>
      <c r="C348" s="1" t="s">
        <v>85</v>
      </c>
      <c r="D348" s="1" t="s">
        <v>31</v>
      </c>
      <c r="E348" s="4">
        <v>16</v>
      </c>
      <c r="F348" s="4">
        <v>9</v>
      </c>
      <c r="G348" s="1" t="s">
        <v>32</v>
      </c>
      <c r="H348" s="1" t="s">
        <v>61</v>
      </c>
      <c r="I348" s="5" t="s">
        <v>325</v>
      </c>
      <c r="J348" s="4">
        <v>54</v>
      </c>
      <c r="M348" s="1" t="s">
        <v>800</v>
      </c>
      <c r="N348" s="1" t="s">
        <v>23</v>
      </c>
      <c r="O348" s="1" t="s">
        <v>79</v>
      </c>
      <c r="P348" s="1" t="s">
        <v>31</v>
      </c>
      <c r="Q348" s="4">
        <v>18</v>
      </c>
      <c r="R348" s="4">
        <v>11</v>
      </c>
      <c r="S348" s="1" t="s">
        <v>32</v>
      </c>
      <c r="T348" s="1" t="s">
        <v>76</v>
      </c>
      <c r="U348" s="5" t="s">
        <v>801</v>
      </c>
      <c r="V348" s="4">
        <v>97</v>
      </c>
    </row>
    <row r="349" spans="1:22" x14ac:dyDescent="0.3">
      <c r="A349" s="1" t="s">
        <v>389</v>
      </c>
      <c r="B349" s="1" t="s">
        <v>54</v>
      </c>
      <c r="C349" s="1" t="s">
        <v>58</v>
      </c>
      <c r="D349" s="1" t="s">
        <v>31</v>
      </c>
      <c r="E349" s="4">
        <v>14</v>
      </c>
      <c r="F349" s="4">
        <v>11</v>
      </c>
      <c r="G349" s="1" t="s">
        <v>32</v>
      </c>
      <c r="H349" s="1" t="s">
        <v>76</v>
      </c>
      <c r="I349" s="5" t="s">
        <v>390</v>
      </c>
      <c r="J349" s="4">
        <v>54</v>
      </c>
      <c r="M349" s="1" t="s">
        <v>823</v>
      </c>
      <c r="N349" s="1" t="s">
        <v>11</v>
      </c>
      <c r="O349" s="1" t="s">
        <v>79</v>
      </c>
      <c r="P349" s="1" t="s">
        <v>31</v>
      </c>
      <c r="Q349" s="4">
        <v>18</v>
      </c>
      <c r="R349" s="4">
        <v>12</v>
      </c>
      <c r="S349" s="1" t="s">
        <v>43</v>
      </c>
      <c r="T349" s="1" t="s">
        <v>37</v>
      </c>
      <c r="U349" s="5" t="s">
        <v>292</v>
      </c>
      <c r="V349" s="4">
        <v>94</v>
      </c>
    </row>
    <row r="350" spans="1:22" x14ac:dyDescent="0.3">
      <c r="A350" s="1" t="s">
        <v>425</v>
      </c>
      <c r="B350" s="1" t="s">
        <v>73</v>
      </c>
      <c r="C350" s="1" t="s">
        <v>30</v>
      </c>
      <c r="D350" s="1" t="s">
        <v>31</v>
      </c>
      <c r="E350" s="4">
        <v>15</v>
      </c>
      <c r="F350" s="4">
        <v>9</v>
      </c>
      <c r="G350" s="1" t="s">
        <v>14</v>
      </c>
      <c r="H350" s="1" t="s">
        <v>76</v>
      </c>
      <c r="I350" s="5" t="s">
        <v>149</v>
      </c>
      <c r="J350" s="4">
        <v>54</v>
      </c>
      <c r="M350" s="1" t="s">
        <v>888</v>
      </c>
      <c r="N350" s="1" t="s">
        <v>23</v>
      </c>
      <c r="O350" s="1" t="s">
        <v>58</v>
      </c>
      <c r="P350" s="1" t="s">
        <v>31</v>
      </c>
      <c r="Q350" s="4">
        <v>18</v>
      </c>
      <c r="R350" s="4">
        <v>10</v>
      </c>
      <c r="S350" s="1" t="s">
        <v>14</v>
      </c>
      <c r="T350" s="1" t="s">
        <v>20</v>
      </c>
      <c r="U350" s="5" t="s">
        <v>153</v>
      </c>
      <c r="V350" s="4">
        <v>92</v>
      </c>
    </row>
    <row r="351" spans="1:22" x14ac:dyDescent="0.3">
      <c r="A351" s="1" t="s">
        <v>508</v>
      </c>
      <c r="B351" s="1" t="s">
        <v>73</v>
      </c>
      <c r="C351" s="1" t="s">
        <v>55</v>
      </c>
      <c r="D351" s="1" t="s">
        <v>13</v>
      </c>
      <c r="E351" s="4">
        <v>15</v>
      </c>
      <c r="F351" s="4">
        <v>11</v>
      </c>
      <c r="G351" s="1" t="s">
        <v>43</v>
      </c>
      <c r="H351" s="1" t="s">
        <v>46</v>
      </c>
      <c r="I351" s="5" t="s">
        <v>509</v>
      </c>
      <c r="J351" s="4">
        <v>54</v>
      </c>
      <c r="M351" s="1" t="s">
        <v>889</v>
      </c>
      <c r="N351" s="1" t="s">
        <v>68</v>
      </c>
      <c r="O351" s="1" t="s">
        <v>19</v>
      </c>
      <c r="P351" s="1" t="s">
        <v>31</v>
      </c>
      <c r="Q351" s="4">
        <v>18</v>
      </c>
      <c r="R351" s="4">
        <v>12</v>
      </c>
      <c r="S351" s="1" t="s">
        <v>32</v>
      </c>
      <c r="T351" s="1" t="s">
        <v>46</v>
      </c>
      <c r="U351" s="5" t="s">
        <v>890</v>
      </c>
      <c r="V351" s="4">
        <v>88</v>
      </c>
    </row>
    <row r="352" spans="1:22" x14ac:dyDescent="0.3">
      <c r="A352" s="1" t="s">
        <v>602</v>
      </c>
      <c r="B352" s="1" t="s">
        <v>23</v>
      </c>
      <c r="C352" s="1" t="s">
        <v>19</v>
      </c>
      <c r="D352" s="1" t="s">
        <v>13</v>
      </c>
      <c r="E352" s="4">
        <v>15</v>
      </c>
      <c r="F352" s="4">
        <v>12</v>
      </c>
      <c r="G352" s="1" t="s">
        <v>14</v>
      </c>
      <c r="H352" s="1" t="s">
        <v>61</v>
      </c>
      <c r="I352" s="5" t="s">
        <v>603</v>
      </c>
      <c r="J352" s="4">
        <v>54</v>
      </c>
      <c r="M352" s="1" t="s">
        <v>901</v>
      </c>
      <c r="N352" s="1" t="s">
        <v>68</v>
      </c>
      <c r="O352" s="1" t="s">
        <v>19</v>
      </c>
      <c r="P352" s="1" t="s">
        <v>31</v>
      </c>
      <c r="Q352" s="4">
        <v>18</v>
      </c>
      <c r="R352" s="4">
        <v>11</v>
      </c>
      <c r="S352" s="1" t="s">
        <v>14</v>
      </c>
      <c r="T352" s="1" t="s">
        <v>40</v>
      </c>
      <c r="U352" s="5" t="s">
        <v>139</v>
      </c>
      <c r="V352" s="4">
        <v>75</v>
      </c>
    </row>
    <row r="353" spans="1:22" x14ac:dyDescent="0.3">
      <c r="A353" s="1" t="s">
        <v>661</v>
      </c>
      <c r="B353" s="1" t="s">
        <v>54</v>
      </c>
      <c r="C353" s="1" t="s">
        <v>12</v>
      </c>
      <c r="D353" s="1" t="s">
        <v>31</v>
      </c>
      <c r="E353" s="4">
        <v>19</v>
      </c>
      <c r="F353" s="4">
        <v>10</v>
      </c>
      <c r="G353" s="1" t="s">
        <v>14</v>
      </c>
      <c r="H353" s="1" t="s">
        <v>76</v>
      </c>
      <c r="I353" s="5" t="s">
        <v>662</v>
      </c>
      <c r="J353" s="4">
        <v>54</v>
      </c>
      <c r="M353" s="1" t="s">
        <v>910</v>
      </c>
      <c r="N353" s="1" t="s">
        <v>84</v>
      </c>
      <c r="O353" s="1" t="s">
        <v>12</v>
      </c>
      <c r="P353" s="1" t="s">
        <v>31</v>
      </c>
      <c r="Q353" s="4">
        <v>18</v>
      </c>
      <c r="R353" s="4">
        <v>11</v>
      </c>
      <c r="S353" s="1" t="s">
        <v>25</v>
      </c>
      <c r="T353" s="1" t="s">
        <v>15</v>
      </c>
      <c r="U353" s="5" t="s">
        <v>911</v>
      </c>
      <c r="V353" s="4">
        <v>87</v>
      </c>
    </row>
    <row r="354" spans="1:22" x14ac:dyDescent="0.3">
      <c r="A354" s="1" t="s">
        <v>766</v>
      </c>
      <c r="B354" s="1" t="s">
        <v>35</v>
      </c>
      <c r="C354" s="1" t="s">
        <v>58</v>
      </c>
      <c r="D354" s="1" t="s">
        <v>13</v>
      </c>
      <c r="E354" s="4">
        <v>20</v>
      </c>
      <c r="F354" s="4">
        <v>11</v>
      </c>
      <c r="G354" s="1" t="s">
        <v>32</v>
      </c>
      <c r="H354" s="1" t="s">
        <v>46</v>
      </c>
      <c r="I354" s="5" t="s">
        <v>767</v>
      </c>
      <c r="J354" s="4">
        <v>54</v>
      </c>
      <c r="M354" s="1" t="s">
        <v>925</v>
      </c>
      <c r="N354" s="1" t="s">
        <v>68</v>
      </c>
      <c r="O354" s="1" t="s">
        <v>30</v>
      </c>
      <c r="P354" s="1" t="s">
        <v>31</v>
      </c>
      <c r="Q354" s="4">
        <v>18</v>
      </c>
      <c r="R354" s="4">
        <v>9</v>
      </c>
      <c r="S354" s="1" t="s">
        <v>32</v>
      </c>
      <c r="T354" s="1" t="s">
        <v>20</v>
      </c>
      <c r="U354" s="5" t="s">
        <v>732</v>
      </c>
      <c r="V354" s="4">
        <v>86</v>
      </c>
    </row>
    <row r="355" spans="1:22" x14ac:dyDescent="0.3">
      <c r="A355" s="1" t="s">
        <v>229</v>
      </c>
      <c r="B355" s="1" t="s">
        <v>68</v>
      </c>
      <c r="C355" s="1" t="s">
        <v>24</v>
      </c>
      <c r="D355" s="1" t="s">
        <v>13</v>
      </c>
      <c r="E355" s="4">
        <v>17</v>
      </c>
      <c r="F355" s="4">
        <v>11</v>
      </c>
      <c r="G355" s="1" t="s">
        <v>43</v>
      </c>
      <c r="H355" s="1" t="s">
        <v>26</v>
      </c>
      <c r="I355" s="5" t="s">
        <v>230</v>
      </c>
      <c r="J355" s="4">
        <v>53</v>
      </c>
      <c r="M355" s="1" t="s">
        <v>934</v>
      </c>
      <c r="N355" s="1" t="s">
        <v>51</v>
      </c>
      <c r="O355" s="1" t="s">
        <v>58</v>
      </c>
      <c r="P355" s="1" t="s">
        <v>31</v>
      </c>
      <c r="Q355" s="4">
        <v>18</v>
      </c>
      <c r="R355" s="4">
        <v>11</v>
      </c>
      <c r="S355" s="1" t="s">
        <v>14</v>
      </c>
      <c r="T355" s="1" t="s">
        <v>37</v>
      </c>
      <c r="U355" s="5" t="s">
        <v>806</v>
      </c>
      <c r="V355" s="4">
        <v>88</v>
      </c>
    </row>
    <row r="356" spans="1:22" x14ac:dyDescent="0.3">
      <c r="A356" s="1" t="s">
        <v>349</v>
      </c>
      <c r="B356" s="1" t="s">
        <v>35</v>
      </c>
      <c r="C356" s="1" t="s">
        <v>30</v>
      </c>
      <c r="D356" s="1" t="s">
        <v>31</v>
      </c>
      <c r="E356" s="4">
        <v>18</v>
      </c>
      <c r="F356" s="4">
        <v>12</v>
      </c>
      <c r="G356" s="1" t="s">
        <v>43</v>
      </c>
      <c r="H356" s="1" t="s">
        <v>37</v>
      </c>
      <c r="I356" s="5" t="s">
        <v>350</v>
      </c>
      <c r="J356" s="4">
        <v>53</v>
      </c>
      <c r="M356" s="1" t="s">
        <v>940</v>
      </c>
      <c r="N356" s="1" t="s">
        <v>51</v>
      </c>
      <c r="O356" s="1" t="s">
        <v>96</v>
      </c>
      <c r="P356" s="1" t="s">
        <v>31</v>
      </c>
      <c r="Q356" s="4">
        <v>18</v>
      </c>
      <c r="R356" s="4">
        <v>9</v>
      </c>
      <c r="S356" s="1" t="s">
        <v>43</v>
      </c>
      <c r="T356" s="1" t="s">
        <v>76</v>
      </c>
      <c r="U356" s="5" t="s">
        <v>506</v>
      </c>
      <c r="V356" s="4">
        <v>36</v>
      </c>
    </row>
    <row r="357" spans="1:22" x14ac:dyDescent="0.3">
      <c r="A357" s="1" t="s">
        <v>353</v>
      </c>
      <c r="B357" s="1" t="s">
        <v>51</v>
      </c>
      <c r="C357" s="1" t="s">
        <v>55</v>
      </c>
      <c r="D357" s="1" t="s">
        <v>31</v>
      </c>
      <c r="E357" s="4">
        <v>20</v>
      </c>
      <c r="F357" s="4">
        <v>9</v>
      </c>
      <c r="G357" s="1" t="s">
        <v>25</v>
      </c>
      <c r="H357" s="1" t="s">
        <v>46</v>
      </c>
      <c r="I357" s="5" t="s">
        <v>354</v>
      </c>
      <c r="J357" s="4">
        <v>53</v>
      </c>
      <c r="M357" s="1" t="s">
        <v>39</v>
      </c>
      <c r="N357" s="1" t="s">
        <v>11</v>
      </c>
      <c r="O357" s="1" t="s">
        <v>12</v>
      </c>
      <c r="P357" s="1" t="s">
        <v>31</v>
      </c>
      <c r="Q357" s="4">
        <v>19</v>
      </c>
      <c r="R357" s="4">
        <v>10</v>
      </c>
      <c r="S357" s="1" t="s">
        <v>14</v>
      </c>
      <c r="T357" s="1" t="s">
        <v>40</v>
      </c>
      <c r="U357" s="5" t="s">
        <v>41</v>
      </c>
      <c r="V357" s="4">
        <v>36</v>
      </c>
    </row>
    <row r="358" spans="1:22" x14ac:dyDescent="0.3">
      <c r="A358" s="1" t="s">
        <v>416</v>
      </c>
      <c r="B358" s="1" t="s">
        <v>18</v>
      </c>
      <c r="C358" s="1" t="s">
        <v>79</v>
      </c>
      <c r="D358" s="1" t="s">
        <v>31</v>
      </c>
      <c r="E358" s="4">
        <v>20</v>
      </c>
      <c r="F358" s="4">
        <v>9</v>
      </c>
      <c r="G358" s="1" t="s">
        <v>25</v>
      </c>
      <c r="H358" s="1" t="s">
        <v>37</v>
      </c>
      <c r="I358" s="5" t="s">
        <v>417</v>
      </c>
      <c r="J358" s="4">
        <v>53</v>
      </c>
      <c r="M358" s="1" t="s">
        <v>45</v>
      </c>
      <c r="N358" s="1" t="s">
        <v>35</v>
      </c>
      <c r="O358" s="1" t="s">
        <v>12</v>
      </c>
      <c r="P358" s="1" t="s">
        <v>13</v>
      </c>
      <c r="Q358" s="4">
        <v>19</v>
      </c>
      <c r="R358" s="4">
        <v>12</v>
      </c>
      <c r="S358" s="1" t="s">
        <v>32</v>
      </c>
      <c r="T358" s="1" t="s">
        <v>46</v>
      </c>
      <c r="U358" s="5" t="s">
        <v>47</v>
      </c>
      <c r="V358" s="4">
        <v>60</v>
      </c>
    </row>
    <row r="359" spans="1:22" x14ac:dyDescent="0.3">
      <c r="A359" s="1" t="s">
        <v>432</v>
      </c>
      <c r="B359" s="1" t="s">
        <v>51</v>
      </c>
      <c r="C359" s="1" t="s">
        <v>24</v>
      </c>
      <c r="D359" s="1" t="s">
        <v>31</v>
      </c>
      <c r="E359" s="4">
        <v>17</v>
      </c>
      <c r="F359" s="4">
        <v>11</v>
      </c>
      <c r="G359" s="1" t="s">
        <v>43</v>
      </c>
      <c r="H359" s="1" t="s">
        <v>15</v>
      </c>
      <c r="I359" s="5" t="s">
        <v>400</v>
      </c>
      <c r="J359" s="4">
        <v>53</v>
      </c>
      <c r="M359" s="1" t="s">
        <v>48</v>
      </c>
      <c r="N359" s="1" t="s">
        <v>18</v>
      </c>
      <c r="O359" s="1" t="s">
        <v>30</v>
      </c>
      <c r="P359" s="1" t="s">
        <v>31</v>
      </c>
      <c r="Q359" s="4">
        <v>19</v>
      </c>
      <c r="R359" s="4">
        <v>12</v>
      </c>
      <c r="S359" s="1" t="s">
        <v>14</v>
      </c>
      <c r="T359" s="1" t="s">
        <v>46</v>
      </c>
      <c r="U359" s="5" t="s">
        <v>49</v>
      </c>
      <c r="V359" s="4">
        <v>92</v>
      </c>
    </row>
    <row r="360" spans="1:22" x14ac:dyDescent="0.3">
      <c r="A360" s="1" t="s">
        <v>554</v>
      </c>
      <c r="B360" s="1" t="s">
        <v>29</v>
      </c>
      <c r="C360" s="1" t="s">
        <v>79</v>
      </c>
      <c r="D360" s="1" t="s">
        <v>13</v>
      </c>
      <c r="E360" s="4">
        <v>15</v>
      </c>
      <c r="F360" s="4">
        <v>9</v>
      </c>
      <c r="G360" s="1" t="s">
        <v>32</v>
      </c>
      <c r="H360" s="1" t="s">
        <v>76</v>
      </c>
      <c r="I360" s="5" t="s">
        <v>184</v>
      </c>
      <c r="J360" s="4">
        <v>53</v>
      </c>
      <c r="M360" s="1" t="s">
        <v>72</v>
      </c>
      <c r="N360" s="1" t="s">
        <v>73</v>
      </c>
      <c r="O360" s="1" t="s">
        <v>58</v>
      </c>
      <c r="P360" s="1" t="s">
        <v>31</v>
      </c>
      <c r="Q360" s="4">
        <v>19</v>
      </c>
      <c r="R360" s="4">
        <v>9</v>
      </c>
      <c r="S360" s="1" t="s">
        <v>32</v>
      </c>
      <c r="T360" s="1" t="s">
        <v>46</v>
      </c>
      <c r="U360" s="5" t="s">
        <v>74</v>
      </c>
      <c r="V360" s="4">
        <v>76</v>
      </c>
    </row>
    <row r="361" spans="1:22" x14ac:dyDescent="0.3">
      <c r="A361" s="1" t="s">
        <v>562</v>
      </c>
      <c r="B361" s="1" t="s">
        <v>29</v>
      </c>
      <c r="C361" s="1" t="s">
        <v>79</v>
      </c>
      <c r="D361" s="1" t="s">
        <v>31</v>
      </c>
      <c r="E361" s="4">
        <v>15</v>
      </c>
      <c r="F361" s="4">
        <v>12</v>
      </c>
      <c r="G361" s="1" t="s">
        <v>32</v>
      </c>
      <c r="H361" s="1" t="s">
        <v>46</v>
      </c>
      <c r="I361" s="5" t="s">
        <v>121</v>
      </c>
      <c r="J361" s="4">
        <v>53</v>
      </c>
      <c r="M361" s="1" t="s">
        <v>81</v>
      </c>
      <c r="N361" s="1" t="s">
        <v>29</v>
      </c>
      <c r="O361" s="1" t="s">
        <v>58</v>
      </c>
      <c r="P361" s="1" t="s">
        <v>31</v>
      </c>
      <c r="Q361" s="4">
        <v>19</v>
      </c>
      <c r="R361" s="4">
        <v>9</v>
      </c>
      <c r="S361" s="1" t="s">
        <v>14</v>
      </c>
      <c r="T361" s="1" t="s">
        <v>61</v>
      </c>
      <c r="U361" s="5" t="s">
        <v>82</v>
      </c>
      <c r="V361" s="4">
        <v>50</v>
      </c>
    </row>
    <row r="362" spans="1:22" x14ac:dyDescent="0.3">
      <c r="A362" s="1" t="s">
        <v>572</v>
      </c>
      <c r="B362" s="1" t="s">
        <v>23</v>
      </c>
      <c r="C362" s="1" t="s">
        <v>19</v>
      </c>
      <c r="D362" s="1" t="s">
        <v>31</v>
      </c>
      <c r="E362" s="4">
        <v>19</v>
      </c>
      <c r="F362" s="4">
        <v>10</v>
      </c>
      <c r="G362" s="1" t="s">
        <v>32</v>
      </c>
      <c r="H362" s="1" t="s">
        <v>20</v>
      </c>
      <c r="I362" s="5" t="s">
        <v>400</v>
      </c>
      <c r="J362" s="4">
        <v>53</v>
      </c>
      <c r="M362" s="1" t="s">
        <v>95</v>
      </c>
      <c r="N362" s="1" t="s">
        <v>18</v>
      </c>
      <c r="O362" s="1" t="s">
        <v>96</v>
      </c>
      <c r="P362" s="1" t="s">
        <v>13</v>
      </c>
      <c r="Q362" s="4">
        <v>19</v>
      </c>
      <c r="R362" s="4">
        <v>12</v>
      </c>
      <c r="S362" s="1" t="s">
        <v>14</v>
      </c>
      <c r="T362" s="1" t="s">
        <v>15</v>
      </c>
      <c r="U362" s="5" t="s">
        <v>97</v>
      </c>
      <c r="V362" s="4">
        <v>56</v>
      </c>
    </row>
    <row r="363" spans="1:22" x14ac:dyDescent="0.3">
      <c r="A363" s="1" t="s">
        <v>634</v>
      </c>
      <c r="B363" s="1" t="s">
        <v>54</v>
      </c>
      <c r="C363" s="1" t="s">
        <v>30</v>
      </c>
      <c r="D363" s="1" t="s">
        <v>31</v>
      </c>
      <c r="E363" s="4">
        <v>15</v>
      </c>
      <c r="F363" s="4">
        <v>9</v>
      </c>
      <c r="G363" s="1" t="s">
        <v>25</v>
      </c>
      <c r="H363" s="1" t="s">
        <v>40</v>
      </c>
      <c r="I363" s="5" t="s">
        <v>635</v>
      </c>
      <c r="J363" s="4">
        <v>53</v>
      </c>
      <c r="M363" s="1" t="s">
        <v>98</v>
      </c>
      <c r="N363" s="1" t="s">
        <v>68</v>
      </c>
      <c r="O363" s="1" t="s">
        <v>55</v>
      </c>
      <c r="P363" s="1" t="s">
        <v>13</v>
      </c>
      <c r="Q363" s="4">
        <v>19</v>
      </c>
      <c r="R363" s="4">
        <v>11</v>
      </c>
      <c r="S363" s="1" t="s">
        <v>43</v>
      </c>
      <c r="T363" s="1" t="s">
        <v>15</v>
      </c>
      <c r="U363" s="5" t="s">
        <v>99</v>
      </c>
      <c r="V363" s="4">
        <v>56</v>
      </c>
    </row>
    <row r="364" spans="1:22" x14ac:dyDescent="0.3">
      <c r="A364" s="1" t="s">
        <v>869</v>
      </c>
      <c r="B364" s="1" t="s">
        <v>73</v>
      </c>
      <c r="C364" s="1" t="s">
        <v>96</v>
      </c>
      <c r="D364" s="1" t="s">
        <v>31</v>
      </c>
      <c r="E364" s="4">
        <v>17</v>
      </c>
      <c r="F364" s="4">
        <v>9</v>
      </c>
      <c r="G364" s="1" t="s">
        <v>43</v>
      </c>
      <c r="H364" s="1" t="s">
        <v>26</v>
      </c>
      <c r="I364" s="5" t="s">
        <v>870</v>
      </c>
      <c r="J364" s="4">
        <v>53</v>
      </c>
      <c r="M364" s="1" t="s">
        <v>100</v>
      </c>
      <c r="N364" s="1" t="s">
        <v>35</v>
      </c>
      <c r="O364" s="1" t="s">
        <v>12</v>
      </c>
      <c r="P364" s="1" t="s">
        <v>31</v>
      </c>
      <c r="Q364" s="4">
        <v>19</v>
      </c>
      <c r="R364" s="4">
        <v>12</v>
      </c>
      <c r="S364" s="1" t="s">
        <v>25</v>
      </c>
      <c r="T364" s="1" t="s">
        <v>76</v>
      </c>
      <c r="U364" s="5" t="s">
        <v>101</v>
      </c>
      <c r="V364" s="4">
        <v>54</v>
      </c>
    </row>
    <row r="365" spans="1:22" x14ac:dyDescent="0.3">
      <c r="A365" s="1" t="s">
        <v>887</v>
      </c>
      <c r="B365" s="1" t="s">
        <v>11</v>
      </c>
      <c r="C365" s="1" t="s">
        <v>30</v>
      </c>
      <c r="D365" s="1" t="s">
        <v>31</v>
      </c>
      <c r="E365" s="4">
        <v>17</v>
      </c>
      <c r="F365" s="4">
        <v>9</v>
      </c>
      <c r="G365" s="1" t="s">
        <v>14</v>
      </c>
      <c r="H365" s="1" t="s">
        <v>76</v>
      </c>
      <c r="I365" s="5" t="s">
        <v>653</v>
      </c>
      <c r="J365" s="4">
        <v>53</v>
      </c>
      <c r="M365" s="1" t="s">
        <v>116</v>
      </c>
      <c r="N365" s="1" t="s">
        <v>84</v>
      </c>
      <c r="O365" s="1" t="s">
        <v>19</v>
      </c>
      <c r="P365" s="1" t="s">
        <v>13</v>
      </c>
      <c r="Q365" s="4">
        <v>19</v>
      </c>
      <c r="R365" s="4">
        <v>12</v>
      </c>
      <c r="S365" s="1" t="s">
        <v>14</v>
      </c>
      <c r="T365" s="1" t="s">
        <v>20</v>
      </c>
      <c r="U365" s="5" t="s">
        <v>117</v>
      </c>
      <c r="V365" s="4">
        <v>56</v>
      </c>
    </row>
    <row r="366" spans="1:22" x14ac:dyDescent="0.3">
      <c r="A366" s="1" t="s">
        <v>83</v>
      </c>
      <c r="B366" s="1" t="s">
        <v>84</v>
      </c>
      <c r="C366" s="1" t="s">
        <v>85</v>
      </c>
      <c r="D366" s="1" t="s">
        <v>31</v>
      </c>
      <c r="E366" s="4">
        <v>16</v>
      </c>
      <c r="F366" s="4">
        <v>9</v>
      </c>
      <c r="G366" s="1" t="s">
        <v>43</v>
      </c>
      <c r="H366" s="1" t="s">
        <v>37</v>
      </c>
      <c r="I366" s="5" t="s">
        <v>86</v>
      </c>
      <c r="J366" s="4">
        <v>52</v>
      </c>
      <c r="M366" s="1" t="s">
        <v>140</v>
      </c>
      <c r="N366" s="1" t="s">
        <v>35</v>
      </c>
      <c r="O366" s="1" t="s">
        <v>30</v>
      </c>
      <c r="P366" s="1" t="s">
        <v>31</v>
      </c>
      <c r="Q366" s="4">
        <v>19</v>
      </c>
      <c r="R366" s="4">
        <v>10</v>
      </c>
      <c r="S366" s="1" t="s">
        <v>32</v>
      </c>
      <c r="T366" s="1" t="s">
        <v>76</v>
      </c>
      <c r="U366" s="5" t="s">
        <v>141</v>
      </c>
      <c r="V366" s="4">
        <v>93</v>
      </c>
    </row>
    <row r="367" spans="1:22" x14ac:dyDescent="0.3">
      <c r="A367" s="1" t="s">
        <v>89</v>
      </c>
      <c r="B367" s="1" t="s">
        <v>68</v>
      </c>
      <c r="C367" s="1" t="s">
        <v>85</v>
      </c>
      <c r="D367" s="1" t="s">
        <v>31</v>
      </c>
      <c r="E367" s="4">
        <v>16</v>
      </c>
      <c r="F367" s="4">
        <v>9</v>
      </c>
      <c r="G367" s="1" t="s">
        <v>43</v>
      </c>
      <c r="H367" s="1" t="s">
        <v>20</v>
      </c>
      <c r="I367" s="5" t="s">
        <v>90</v>
      </c>
      <c r="J367" s="4">
        <v>52</v>
      </c>
      <c r="M367" s="1" t="s">
        <v>148</v>
      </c>
      <c r="N367" s="1" t="s">
        <v>51</v>
      </c>
      <c r="O367" s="1" t="s">
        <v>96</v>
      </c>
      <c r="P367" s="1" t="s">
        <v>13</v>
      </c>
      <c r="Q367" s="4">
        <v>19</v>
      </c>
      <c r="R367" s="4">
        <v>11</v>
      </c>
      <c r="S367" s="1" t="s">
        <v>14</v>
      </c>
      <c r="T367" s="1" t="s">
        <v>76</v>
      </c>
      <c r="U367" s="5" t="s">
        <v>149</v>
      </c>
      <c r="V367" s="4">
        <v>83</v>
      </c>
    </row>
    <row r="368" spans="1:22" x14ac:dyDescent="0.3">
      <c r="A368" s="1" t="s">
        <v>118</v>
      </c>
      <c r="B368" s="1" t="s">
        <v>84</v>
      </c>
      <c r="C368" s="1" t="s">
        <v>58</v>
      </c>
      <c r="D368" s="1" t="s">
        <v>31</v>
      </c>
      <c r="E368" s="4">
        <v>20</v>
      </c>
      <c r="F368" s="4">
        <v>10</v>
      </c>
      <c r="G368" s="1" t="s">
        <v>32</v>
      </c>
      <c r="H368" s="1" t="s">
        <v>26</v>
      </c>
      <c r="I368" s="5" t="s">
        <v>119</v>
      </c>
      <c r="J368" s="4">
        <v>52</v>
      </c>
      <c r="M368" s="1" t="s">
        <v>156</v>
      </c>
      <c r="N368" s="1" t="s">
        <v>35</v>
      </c>
      <c r="O368" s="1" t="s">
        <v>55</v>
      </c>
      <c r="P368" s="1" t="s">
        <v>13</v>
      </c>
      <c r="Q368" s="4">
        <v>19</v>
      </c>
      <c r="R368" s="4">
        <v>11</v>
      </c>
      <c r="S368" s="1" t="s">
        <v>14</v>
      </c>
      <c r="T368" s="1" t="s">
        <v>40</v>
      </c>
      <c r="U368" s="5" t="s">
        <v>157</v>
      </c>
      <c r="V368" s="4">
        <v>63</v>
      </c>
    </row>
    <row r="369" spans="1:22" x14ac:dyDescent="0.3">
      <c r="A369" s="1" t="s">
        <v>257</v>
      </c>
      <c r="B369" s="1" t="s">
        <v>68</v>
      </c>
      <c r="C369" s="1" t="s">
        <v>79</v>
      </c>
      <c r="D369" s="1" t="s">
        <v>31</v>
      </c>
      <c r="E369" s="4">
        <v>20</v>
      </c>
      <c r="F369" s="4">
        <v>11</v>
      </c>
      <c r="G369" s="1" t="s">
        <v>43</v>
      </c>
      <c r="H369" s="1" t="s">
        <v>46</v>
      </c>
      <c r="I369" s="5" t="s">
        <v>258</v>
      </c>
      <c r="J369" s="4">
        <v>52</v>
      </c>
      <c r="M369" s="1" t="s">
        <v>177</v>
      </c>
      <c r="N369" s="1" t="s">
        <v>29</v>
      </c>
      <c r="O369" s="1" t="s">
        <v>58</v>
      </c>
      <c r="P369" s="1" t="s">
        <v>31</v>
      </c>
      <c r="Q369" s="4">
        <v>19</v>
      </c>
      <c r="R369" s="4">
        <v>12</v>
      </c>
      <c r="S369" s="1" t="s">
        <v>43</v>
      </c>
      <c r="T369" s="1" t="s">
        <v>61</v>
      </c>
      <c r="U369" s="5" t="s">
        <v>178</v>
      </c>
      <c r="V369" s="4">
        <v>99</v>
      </c>
    </row>
    <row r="370" spans="1:22" x14ac:dyDescent="0.3">
      <c r="A370" s="1" t="s">
        <v>316</v>
      </c>
      <c r="B370" s="1" t="s">
        <v>23</v>
      </c>
      <c r="C370" s="1" t="s">
        <v>36</v>
      </c>
      <c r="D370" s="1" t="s">
        <v>31</v>
      </c>
      <c r="E370" s="4">
        <v>20</v>
      </c>
      <c r="F370" s="4">
        <v>11</v>
      </c>
      <c r="G370" s="1" t="s">
        <v>14</v>
      </c>
      <c r="H370" s="1" t="s">
        <v>37</v>
      </c>
      <c r="I370" s="5" t="s">
        <v>317</v>
      </c>
      <c r="J370" s="4">
        <v>52</v>
      </c>
      <c r="M370" s="1" t="s">
        <v>192</v>
      </c>
      <c r="N370" s="1" t="s">
        <v>68</v>
      </c>
      <c r="O370" s="1" t="s">
        <v>85</v>
      </c>
      <c r="P370" s="1" t="s">
        <v>13</v>
      </c>
      <c r="Q370" s="4">
        <v>19</v>
      </c>
      <c r="R370" s="4">
        <v>11</v>
      </c>
      <c r="S370" s="1" t="s">
        <v>43</v>
      </c>
      <c r="T370" s="1" t="s">
        <v>61</v>
      </c>
      <c r="U370" s="5" t="s">
        <v>193</v>
      </c>
      <c r="V370" s="4">
        <v>78</v>
      </c>
    </row>
    <row r="371" spans="1:22" x14ac:dyDescent="0.3">
      <c r="A371" s="1" t="s">
        <v>518</v>
      </c>
      <c r="B371" s="1" t="s">
        <v>51</v>
      </c>
      <c r="C371" s="1" t="s">
        <v>96</v>
      </c>
      <c r="D371" s="1" t="s">
        <v>31</v>
      </c>
      <c r="E371" s="4">
        <v>17</v>
      </c>
      <c r="F371" s="4">
        <v>11</v>
      </c>
      <c r="G371" s="1" t="s">
        <v>25</v>
      </c>
      <c r="H371" s="1" t="s">
        <v>61</v>
      </c>
      <c r="I371" s="5" t="s">
        <v>519</v>
      </c>
      <c r="J371" s="4">
        <v>52</v>
      </c>
      <c r="M371" s="1" t="s">
        <v>207</v>
      </c>
      <c r="N371" s="1" t="s">
        <v>54</v>
      </c>
      <c r="O371" s="1" t="s">
        <v>19</v>
      </c>
      <c r="P371" s="1" t="s">
        <v>31</v>
      </c>
      <c r="Q371" s="4">
        <v>19</v>
      </c>
      <c r="R371" s="4">
        <v>9</v>
      </c>
      <c r="S371" s="1" t="s">
        <v>14</v>
      </c>
      <c r="T371" s="1" t="s">
        <v>61</v>
      </c>
      <c r="U371" s="5" t="s">
        <v>208</v>
      </c>
      <c r="V371" s="4">
        <v>76</v>
      </c>
    </row>
    <row r="372" spans="1:22" x14ac:dyDescent="0.3">
      <c r="A372" s="1" t="s">
        <v>687</v>
      </c>
      <c r="B372" s="1" t="s">
        <v>84</v>
      </c>
      <c r="C372" s="1" t="s">
        <v>19</v>
      </c>
      <c r="D372" s="1" t="s">
        <v>13</v>
      </c>
      <c r="E372" s="4">
        <v>16</v>
      </c>
      <c r="F372" s="4">
        <v>10</v>
      </c>
      <c r="G372" s="1" t="s">
        <v>25</v>
      </c>
      <c r="H372" s="1" t="s">
        <v>46</v>
      </c>
      <c r="I372" s="5" t="s">
        <v>564</v>
      </c>
      <c r="J372" s="4">
        <v>52</v>
      </c>
      <c r="M372" s="1" t="s">
        <v>215</v>
      </c>
      <c r="N372" s="1" t="s">
        <v>84</v>
      </c>
      <c r="O372" s="1" t="s">
        <v>36</v>
      </c>
      <c r="P372" s="1" t="s">
        <v>31</v>
      </c>
      <c r="Q372" s="4">
        <v>19</v>
      </c>
      <c r="R372" s="4">
        <v>12</v>
      </c>
      <c r="S372" s="1" t="s">
        <v>14</v>
      </c>
      <c r="T372" s="1" t="s">
        <v>37</v>
      </c>
      <c r="U372" s="5" t="s">
        <v>216</v>
      </c>
      <c r="V372" s="4">
        <v>84</v>
      </c>
    </row>
    <row r="373" spans="1:22" x14ac:dyDescent="0.3">
      <c r="A373" s="1" t="s">
        <v>821</v>
      </c>
      <c r="B373" s="1" t="s">
        <v>18</v>
      </c>
      <c r="C373" s="1" t="s">
        <v>79</v>
      </c>
      <c r="D373" s="1" t="s">
        <v>13</v>
      </c>
      <c r="E373" s="4">
        <v>20</v>
      </c>
      <c r="F373" s="4">
        <v>12</v>
      </c>
      <c r="G373" s="1" t="s">
        <v>32</v>
      </c>
      <c r="H373" s="1" t="s">
        <v>26</v>
      </c>
      <c r="I373" s="5" t="s">
        <v>822</v>
      </c>
      <c r="J373" s="4">
        <v>52</v>
      </c>
      <c r="M373" s="1" t="s">
        <v>219</v>
      </c>
      <c r="N373" s="1" t="s">
        <v>68</v>
      </c>
      <c r="O373" s="1" t="s">
        <v>19</v>
      </c>
      <c r="P373" s="1" t="s">
        <v>13</v>
      </c>
      <c r="Q373" s="4">
        <v>19</v>
      </c>
      <c r="R373" s="4">
        <v>9</v>
      </c>
      <c r="S373" s="1" t="s">
        <v>14</v>
      </c>
      <c r="T373" s="1" t="s">
        <v>40</v>
      </c>
      <c r="U373" s="5" t="s">
        <v>220</v>
      </c>
      <c r="V373" s="4">
        <v>63</v>
      </c>
    </row>
    <row r="374" spans="1:22" x14ac:dyDescent="0.3">
      <c r="A374" s="1" t="s">
        <v>835</v>
      </c>
      <c r="B374" s="1" t="s">
        <v>18</v>
      </c>
      <c r="C374" s="1" t="s">
        <v>55</v>
      </c>
      <c r="D374" s="1" t="s">
        <v>31</v>
      </c>
      <c r="E374" s="4">
        <v>16</v>
      </c>
      <c r="F374" s="4">
        <v>10</v>
      </c>
      <c r="G374" s="1" t="s">
        <v>14</v>
      </c>
      <c r="H374" s="1" t="s">
        <v>61</v>
      </c>
      <c r="I374" s="5" t="s">
        <v>411</v>
      </c>
      <c r="J374" s="4">
        <v>52</v>
      </c>
      <c r="M374" s="1" t="s">
        <v>266</v>
      </c>
      <c r="N374" s="1" t="s">
        <v>54</v>
      </c>
      <c r="O374" s="1" t="s">
        <v>58</v>
      </c>
      <c r="P374" s="1" t="s">
        <v>13</v>
      </c>
      <c r="Q374" s="4">
        <v>19</v>
      </c>
      <c r="R374" s="4">
        <v>11</v>
      </c>
      <c r="S374" s="1" t="s">
        <v>14</v>
      </c>
      <c r="T374" s="1" t="s">
        <v>40</v>
      </c>
      <c r="U374" s="5" t="s">
        <v>267</v>
      </c>
      <c r="V374" s="4">
        <v>41</v>
      </c>
    </row>
    <row r="375" spans="1:22" x14ac:dyDescent="0.3">
      <c r="A375" s="1" t="s">
        <v>60</v>
      </c>
      <c r="B375" s="1" t="s">
        <v>35</v>
      </c>
      <c r="C375" s="1" t="s">
        <v>55</v>
      </c>
      <c r="D375" s="1" t="s">
        <v>13</v>
      </c>
      <c r="E375" s="4">
        <v>15</v>
      </c>
      <c r="F375" s="4">
        <v>12</v>
      </c>
      <c r="G375" s="1" t="s">
        <v>14</v>
      </c>
      <c r="H375" s="1" t="s">
        <v>61</v>
      </c>
      <c r="I375" s="5" t="s">
        <v>62</v>
      </c>
      <c r="J375" s="4">
        <v>51</v>
      </c>
      <c r="M375" s="1" t="s">
        <v>274</v>
      </c>
      <c r="N375" s="1" t="s">
        <v>35</v>
      </c>
      <c r="O375" s="1" t="s">
        <v>36</v>
      </c>
      <c r="P375" s="1" t="s">
        <v>13</v>
      </c>
      <c r="Q375" s="4">
        <v>19</v>
      </c>
      <c r="R375" s="4">
        <v>9</v>
      </c>
      <c r="S375" s="1" t="s">
        <v>32</v>
      </c>
      <c r="T375" s="1" t="s">
        <v>61</v>
      </c>
      <c r="U375" s="5" t="s">
        <v>275</v>
      </c>
      <c r="V375" s="4">
        <v>63</v>
      </c>
    </row>
    <row r="376" spans="1:22" x14ac:dyDescent="0.3">
      <c r="A376" s="1" t="s">
        <v>122</v>
      </c>
      <c r="B376" s="1" t="s">
        <v>18</v>
      </c>
      <c r="C376" s="1" t="s">
        <v>19</v>
      </c>
      <c r="D376" s="1" t="s">
        <v>13</v>
      </c>
      <c r="E376" s="4">
        <v>15</v>
      </c>
      <c r="F376" s="4">
        <v>10</v>
      </c>
      <c r="G376" s="1" t="s">
        <v>32</v>
      </c>
      <c r="H376" s="1" t="s">
        <v>20</v>
      </c>
      <c r="I376" s="5" t="s">
        <v>123</v>
      </c>
      <c r="J376" s="4">
        <v>51</v>
      </c>
      <c r="M376" s="1" t="s">
        <v>331</v>
      </c>
      <c r="N376" s="1" t="s">
        <v>73</v>
      </c>
      <c r="O376" s="1" t="s">
        <v>30</v>
      </c>
      <c r="P376" s="1" t="s">
        <v>31</v>
      </c>
      <c r="Q376" s="4">
        <v>19</v>
      </c>
      <c r="R376" s="4">
        <v>10</v>
      </c>
      <c r="S376" s="1" t="s">
        <v>43</v>
      </c>
      <c r="T376" s="1" t="s">
        <v>20</v>
      </c>
      <c r="U376" s="5" t="s">
        <v>191</v>
      </c>
      <c r="V376" s="4">
        <v>93</v>
      </c>
    </row>
    <row r="377" spans="1:22" x14ac:dyDescent="0.3">
      <c r="A377" s="1" t="s">
        <v>171</v>
      </c>
      <c r="B377" s="1" t="s">
        <v>29</v>
      </c>
      <c r="C377" s="1" t="s">
        <v>85</v>
      </c>
      <c r="D377" s="1" t="s">
        <v>13</v>
      </c>
      <c r="E377" s="4">
        <v>14</v>
      </c>
      <c r="F377" s="4">
        <v>10</v>
      </c>
      <c r="G377" s="1" t="s">
        <v>32</v>
      </c>
      <c r="H377" s="1" t="s">
        <v>61</v>
      </c>
      <c r="I377" s="5" t="s">
        <v>172</v>
      </c>
      <c r="J377" s="4">
        <v>51</v>
      </c>
      <c r="M377" s="1" t="s">
        <v>336</v>
      </c>
      <c r="N377" s="1" t="s">
        <v>11</v>
      </c>
      <c r="O377" s="1" t="s">
        <v>58</v>
      </c>
      <c r="P377" s="1" t="s">
        <v>31</v>
      </c>
      <c r="Q377" s="4">
        <v>19</v>
      </c>
      <c r="R377" s="4">
        <v>12</v>
      </c>
      <c r="S377" s="1" t="s">
        <v>25</v>
      </c>
      <c r="T377" s="1" t="s">
        <v>61</v>
      </c>
      <c r="U377" s="5" t="s">
        <v>218</v>
      </c>
      <c r="V377" s="4">
        <v>68</v>
      </c>
    </row>
    <row r="378" spans="1:22" x14ac:dyDescent="0.3">
      <c r="A378" s="1" t="s">
        <v>278</v>
      </c>
      <c r="B378" s="1" t="s">
        <v>73</v>
      </c>
      <c r="C378" s="1" t="s">
        <v>36</v>
      </c>
      <c r="D378" s="1" t="s">
        <v>13</v>
      </c>
      <c r="E378" s="4">
        <v>14</v>
      </c>
      <c r="F378" s="4">
        <v>11</v>
      </c>
      <c r="G378" s="1" t="s">
        <v>32</v>
      </c>
      <c r="H378" s="1" t="s">
        <v>37</v>
      </c>
      <c r="I378" s="5" t="s">
        <v>279</v>
      </c>
      <c r="J378" s="4">
        <v>51</v>
      </c>
      <c r="M378" s="1" t="s">
        <v>337</v>
      </c>
      <c r="N378" s="1" t="s">
        <v>23</v>
      </c>
      <c r="O378" s="1" t="s">
        <v>30</v>
      </c>
      <c r="P378" s="1" t="s">
        <v>31</v>
      </c>
      <c r="Q378" s="4">
        <v>19</v>
      </c>
      <c r="R378" s="4">
        <v>9</v>
      </c>
      <c r="S378" s="1" t="s">
        <v>32</v>
      </c>
      <c r="T378" s="1" t="s">
        <v>61</v>
      </c>
      <c r="U378" s="5" t="s">
        <v>338</v>
      </c>
      <c r="V378" s="4">
        <v>51</v>
      </c>
    </row>
    <row r="379" spans="1:22" x14ac:dyDescent="0.3">
      <c r="A379" s="1" t="s">
        <v>337</v>
      </c>
      <c r="B379" s="1" t="s">
        <v>23</v>
      </c>
      <c r="C379" s="1" t="s">
        <v>30</v>
      </c>
      <c r="D379" s="1" t="s">
        <v>31</v>
      </c>
      <c r="E379" s="4">
        <v>19</v>
      </c>
      <c r="F379" s="4">
        <v>9</v>
      </c>
      <c r="G379" s="1" t="s">
        <v>32</v>
      </c>
      <c r="H379" s="1" t="s">
        <v>61</v>
      </c>
      <c r="I379" s="5" t="s">
        <v>338</v>
      </c>
      <c r="J379" s="4">
        <v>51</v>
      </c>
      <c r="M379" s="1" t="s">
        <v>343</v>
      </c>
      <c r="N379" s="1" t="s">
        <v>68</v>
      </c>
      <c r="O379" s="1" t="s">
        <v>79</v>
      </c>
      <c r="P379" s="1" t="s">
        <v>13</v>
      </c>
      <c r="Q379" s="4">
        <v>19</v>
      </c>
      <c r="R379" s="4">
        <v>11</v>
      </c>
      <c r="S379" s="1" t="s">
        <v>14</v>
      </c>
      <c r="T379" s="1" t="s">
        <v>40</v>
      </c>
      <c r="U379" s="5" t="s">
        <v>344</v>
      </c>
      <c r="V379" s="4">
        <v>35</v>
      </c>
    </row>
    <row r="380" spans="1:22" x14ac:dyDescent="0.3">
      <c r="A380" s="1" t="s">
        <v>529</v>
      </c>
      <c r="B380" s="1" t="s">
        <v>84</v>
      </c>
      <c r="C380" s="1" t="s">
        <v>24</v>
      </c>
      <c r="D380" s="1" t="s">
        <v>31</v>
      </c>
      <c r="E380" s="4">
        <v>20</v>
      </c>
      <c r="F380" s="4">
        <v>12</v>
      </c>
      <c r="G380" s="1" t="s">
        <v>25</v>
      </c>
      <c r="H380" s="1" t="s">
        <v>76</v>
      </c>
      <c r="I380" s="5" t="s">
        <v>186</v>
      </c>
      <c r="J380" s="4">
        <v>51</v>
      </c>
      <c r="M380" s="1" t="s">
        <v>359</v>
      </c>
      <c r="N380" s="1" t="s">
        <v>68</v>
      </c>
      <c r="O380" s="1" t="s">
        <v>85</v>
      </c>
      <c r="P380" s="1" t="s">
        <v>13</v>
      </c>
      <c r="Q380" s="4">
        <v>19</v>
      </c>
      <c r="R380" s="4">
        <v>11</v>
      </c>
      <c r="S380" s="1" t="s">
        <v>43</v>
      </c>
      <c r="T380" s="1" t="s">
        <v>76</v>
      </c>
      <c r="U380" s="5" t="s">
        <v>360</v>
      </c>
      <c r="V380" s="4">
        <v>64</v>
      </c>
    </row>
    <row r="381" spans="1:22" x14ac:dyDescent="0.3">
      <c r="A381" s="1" t="s">
        <v>542</v>
      </c>
      <c r="B381" s="1" t="s">
        <v>84</v>
      </c>
      <c r="C381" s="1" t="s">
        <v>55</v>
      </c>
      <c r="D381" s="1" t="s">
        <v>31</v>
      </c>
      <c r="E381" s="4">
        <v>18</v>
      </c>
      <c r="F381" s="4">
        <v>12</v>
      </c>
      <c r="G381" s="1" t="s">
        <v>32</v>
      </c>
      <c r="H381" s="1" t="s">
        <v>40</v>
      </c>
      <c r="I381" s="5" t="s">
        <v>543</v>
      </c>
      <c r="J381" s="4">
        <v>51</v>
      </c>
      <c r="M381" s="1" t="s">
        <v>371</v>
      </c>
      <c r="N381" s="1" t="s">
        <v>35</v>
      </c>
      <c r="O381" s="1" t="s">
        <v>58</v>
      </c>
      <c r="P381" s="1" t="s">
        <v>31</v>
      </c>
      <c r="Q381" s="4">
        <v>19</v>
      </c>
      <c r="R381" s="4">
        <v>9</v>
      </c>
      <c r="S381" s="1" t="s">
        <v>14</v>
      </c>
      <c r="T381" s="1" t="s">
        <v>20</v>
      </c>
      <c r="U381" s="5" t="s">
        <v>372</v>
      </c>
      <c r="V381" s="4">
        <v>87</v>
      </c>
    </row>
    <row r="382" spans="1:22" x14ac:dyDescent="0.3">
      <c r="A382" s="1" t="s">
        <v>638</v>
      </c>
      <c r="B382" s="1" t="s">
        <v>54</v>
      </c>
      <c r="C382" s="1" t="s">
        <v>12</v>
      </c>
      <c r="D382" s="1" t="s">
        <v>31</v>
      </c>
      <c r="E382" s="4">
        <v>15</v>
      </c>
      <c r="F382" s="4">
        <v>12</v>
      </c>
      <c r="G382" s="1" t="s">
        <v>43</v>
      </c>
      <c r="H382" s="1" t="s">
        <v>76</v>
      </c>
      <c r="I382" s="5" t="s">
        <v>639</v>
      </c>
      <c r="J382" s="4">
        <v>51</v>
      </c>
      <c r="M382" s="1" t="s">
        <v>388</v>
      </c>
      <c r="N382" s="1" t="s">
        <v>73</v>
      </c>
      <c r="O382" s="1" t="s">
        <v>12</v>
      </c>
      <c r="P382" s="1" t="s">
        <v>31</v>
      </c>
      <c r="Q382" s="4">
        <v>19</v>
      </c>
      <c r="R382" s="4">
        <v>11</v>
      </c>
      <c r="S382" s="1" t="s">
        <v>43</v>
      </c>
      <c r="T382" s="1" t="s">
        <v>61</v>
      </c>
      <c r="U382" s="5" t="s">
        <v>214</v>
      </c>
      <c r="V382" s="4">
        <v>88</v>
      </c>
    </row>
    <row r="383" spans="1:22" x14ac:dyDescent="0.3">
      <c r="A383" s="1" t="s">
        <v>669</v>
      </c>
      <c r="B383" s="1" t="s">
        <v>11</v>
      </c>
      <c r="C383" s="1" t="s">
        <v>24</v>
      </c>
      <c r="D383" s="1" t="s">
        <v>13</v>
      </c>
      <c r="E383" s="4">
        <v>19</v>
      </c>
      <c r="F383" s="4">
        <v>9</v>
      </c>
      <c r="G383" s="1" t="s">
        <v>32</v>
      </c>
      <c r="H383" s="1" t="s">
        <v>40</v>
      </c>
      <c r="I383" s="5" t="s">
        <v>670</v>
      </c>
      <c r="J383" s="4">
        <v>51</v>
      </c>
      <c r="M383" s="1" t="s">
        <v>391</v>
      </c>
      <c r="N383" s="1" t="s">
        <v>68</v>
      </c>
      <c r="O383" s="1" t="s">
        <v>19</v>
      </c>
      <c r="P383" s="1" t="s">
        <v>13</v>
      </c>
      <c r="Q383" s="4">
        <v>19</v>
      </c>
      <c r="R383" s="4">
        <v>12</v>
      </c>
      <c r="S383" s="1" t="s">
        <v>25</v>
      </c>
      <c r="T383" s="1" t="s">
        <v>46</v>
      </c>
      <c r="U383" s="5" t="s">
        <v>392</v>
      </c>
      <c r="V383" s="4">
        <v>46</v>
      </c>
    </row>
    <row r="384" spans="1:22" x14ac:dyDescent="0.3">
      <c r="A384" s="1" t="s">
        <v>675</v>
      </c>
      <c r="B384" s="1" t="s">
        <v>73</v>
      </c>
      <c r="C384" s="1" t="s">
        <v>24</v>
      </c>
      <c r="D384" s="1" t="s">
        <v>13</v>
      </c>
      <c r="E384" s="4">
        <v>19</v>
      </c>
      <c r="F384" s="4">
        <v>11</v>
      </c>
      <c r="G384" s="1" t="s">
        <v>14</v>
      </c>
      <c r="H384" s="1" t="s">
        <v>37</v>
      </c>
      <c r="I384" s="5" t="s">
        <v>676</v>
      </c>
      <c r="J384" s="4">
        <v>51</v>
      </c>
      <c r="M384" s="1" t="s">
        <v>403</v>
      </c>
      <c r="N384" s="1" t="s">
        <v>11</v>
      </c>
      <c r="O384" s="1" t="s">
        <v>12</v>
      </c>
      <c r="P384" s="1" t="s">
        <v>31</v>
      </c>
      <c r="Q384" s="4">
        <v>19</v>
      </c>
      <c r="R384" s="4">
        <v>9</v>
      </c>
      <c r="S384" s="1" t="s">
        <v>43</v>
      </c>
      <c r="T384" s="1" t="s">
        <v>46</v>
      </c>
      <c r="U384" s="5" t="s">
        <v>404</v>
      </c>
      <c r="V384" s="4">
        <v>37</v>
      </c>
    </row>
    <row r="385" spans="1:22" x14ac:dyDescent="0.3">
      <c r="A385" s="1" t="s">
        <v>716</v>
      </c>
      <c r="B385" s="1" t="s">
        <v>23</v>
      </c>
      <c r="C385" s="1" t="s">
        <v>58</v>
      </c>
      <c r="D385" s="1" t="s">
        <v>31</v>
      </c>
      <c r="E385" s="4">
        <v>17</v>
      </c>
      <c r="F385" s="4">
        <v>9</v>
      </c>
      <c r="G385" s="1" t="s">
        <v>25</v>
      </c>
      <c r="H385" s="1" t="s">
        <v>15</v>
      </c>
      <c r="I385" s="5" t="s">
        <v>717</v>
      </c>
      <c r="J385" s="4">
        <v>51</v>
      </c>
      <c r="M385" s="1" t="s">
        <v>448</v>
      </c>
      <c r="N385" s="1" t="s">
        <v>73</v>
      </c>
      <c r="O385" s="1" t="s">
        <v>36</v>
      </c>
      <c r="P385" s="1" t="s">
        <v>31</v>
      </c>
      <c r="Q385" s="4">
        <v>19</v>
      </c>
      <c r="R385" s="4">
        <v>12</v>
      </c>
      <c r="S385" s="1" t="s">
        <v>14</v>
      </c>
      <c r="T385" s="1" t="s">
        <v>37</v>
      </c>
      <c r="U385" s="5" t="s">
        <v>449</v>
      </c>
      <c r="V385" s="4">
        <v>65</v>
      </c>
    </row>
    <row r="386" spans="1:22" x14ac:dyDescent="0.3">
      <c r="A386" s="1" t="s">
        <v>842</v>
      </c>
      <c r="B386" s="1" t="s">
        <v>23</v>
      </c>
      <c r="C386" s="1" t="s">
        <v>30</v>
      </c>
      <c r="D386" s="1" t="s">
        <v>13</v>
      </c>
      <c r="E386" s="4">
        <v>15</v>
      </c>
      <c r="F386" s="4">
        <v>9</v>
      </c>
      <c r="G386" s="1" t="s">
        <v>32</v>
      </c>
      <c r="H386" s="1" t="s">
        <v>37</v>
      </c>
      <c r="I386" s="5" t="s">
        <v>477</v>
      </c>
      <c r="J386" s="4">
        <v>51</v>
      </c>
      <c r="M386" s="1" t="s">
        <v>450</v>
      </c>
      <c r="N386" s="1" t="s">
        <v>54</v>
      </c>
      <c r="O386" s="1" t="s">
        <v>55</v>
      </c>
      <c r="P386" s="1" t="s">
        <v>31</v>
      </c>
      <c r="Q386" s="4">
        <v>19</v>
      </c>
      <c r="R386" s="4">
        <v>12</v>
      </c>
      <c r="S386" s="1" t="s">
        <v>43</v>
      </c>
      <c r="T386" s="1" t="s">
        <v>20</v>
      </c>
      <c r="U386" s="5" t="s">
        <v>451</v>
      </c>
      <c r="V386" s="4">
        <v>58</v>
      </c>
    </row>
    <row r="387" spans="1:22" x14ac:dyDescent="0.3">
      <c r="A387" s="1" t="s">
        <v>81</v>
      </c>
      <c r="B387" s="1" t="s">
        <v>29</v>
      </c>
      <c r="C387" s="1" t="s">
        <v>58</v>
      </c>
      <c r="D387" s="1" t="s">
        <v>31</v>
      </c>
      <c r="E387" s="4">
        <v>19</v>
      </c>
      <c r="F387" s="4">
        <v>9</v>
      </c>
      <c r="G387" s="1" t="s">
        <v>14</v>
      </c>
      <c r="H387" s="1" t="s">
        <v>61</v>
      </c>
      <c r="I387" s="5" t="s">
        <v>82</v>
      </c>
      <c r="J387" s="4">
        <v>50</v>
      </c>
      <c r="M387" s="1" t="s">
        <v>458</v>
      </c>
      <c r="N387" s="1" t="s">
        <v>11</v>
      </c>
      <c r="O387" s="1" t="s">
        <v>55</v>
      </c>
      <c r="P387" s="1" t="s">
        <v>13</v>
      </c>
      <c r="Q387" s="4">
        <v>19</v>
      </c>
      <c r="R387" s="4">
        <v>11</v>
      </c>
      <c r="S387" s="1" t="s">
        <v>14</v>
      </c>
      <c r="T387" s="1" t="s">
        <v>46</v>
      </c>
      <c r="U387" s="5" t="s">
        <v>459</v>
      </c>
      <c r="V387" s="4">
        <v>81</v>
      </c>
    </row>
    <row r="388" spans="1:22" x14ac:dyDescent="0.3">
      <c r="A388" s="1" t="s">
        <v>134</v>
      </c>
      <c r="B388" s="1" t="s">
        <v>23</v>
      </c>
      <c r="C388" s="1" t="s">
        <v>30</v>
      </c>
      <c r="D388" s="1" t="s">
        <v>31</v>
      </c>
      <c r="E388" s="4">
        <v>20</v>
      </c>
      <c r="F388" s="4">
        <v>9</v>
      </c>
      <c r="G388" s="1" t="s">
        <v>14</v>
      </c>
      <c r="H388" s="1" t="s">
        <v>15</v>
      </c>
      <c r="I388" s="5" t="s">
        <v>135</v>
      </c>
      <c r="J388" s="4">
        <v>50</v>
      </c>
      <c r="M388" s="1" t="s">
        <v>462</v>
      </c>
      <c r="N388" s="1" t="s">
        <v>11</v>
      </c>
      <c r="O388" s="1" t="s">
        <v>24</v>
      </c>
      <c r="P388" s="1" t="s">
        <v>31</v>
      </c>
      <c r="Q388" s="4">
        <v>19</v>
      </c>
      <c r="R388" s="4">
        <v>12</v>
      </c>
      <c r="S388" s="1" t="s">
        <v>43</v>
      </c>
      <c r="T388" s="1" t="s">
        <v>37</v>
      </c>
      <c r="U388" s="5" t="s">
        <v>463</v>
      </c>
      <c r="V388" s="4">
        <v>45</v>
      </c>
    </row>
    <row r="389" spans="1:22" x14ac:dyDescent="0.3">
      <c r="A389" s="1" t="s">
        <v>251</v>
      </c>
      <c r="B389" s="1" t="s">
        <v>23</v>
      </c>
      <c r="C389" s="1" t="s">
        <v>24</v>
      </c>
      <c r="D389" s="1" t="s">
        <v>13</v>
      </c>
      <c r="E389" s="4">
        <v>16</v>
      </c>
      <c r="F389" s="4">
        <v>12</v>
      </c>
      <c r="G389" s="1" t="s">
        <v>43</v>
      </c>
      <c r="H389" s="1" t="s">
        <v>40</v>
      </c>
      <c r="I389" s="5" t="s">
        <v>252</v>
      </c>
      <c r="J389" s="4">
        <v>50</v>
      </c>
      <c r="M389" s="1" t="s">
        <v>476</v>
      </c>
      <c r="N389" s="1" t="s">
        <v>29</v>
      </c>
      <c r="O389" s="1" t="s">
        <v>55</v>
      </c>
      <c r="P389" s="1" t="s">
        <v>13</v>
      </c>
      <c r="Q389" s="4">
        <v>19</v>
      </c>
      <c r="R389" s="4">
        <v>10</v>
      </c>
      <c r="S389" s="1" t="s">
        <v>43</v>
      </c>
      <c r="T389" s="1" t="s">
        <v>26</v>
      </c>
      <c r="U389" s="5" t="s">
        <v>477</v>
      </c>
      <c r="V389" s="4">
        <v>88</v>
      </c>
    </row>
    <row r="390" spans="1:22" x14ac:dyDescent="0.3">
      <c r="A390" s="1" t="s">
        <v>272</v>
      </c>
      <c r="B390" s="1" t="s">
        <v>54</v>
      </c>
      <c r="C390" s="1" t="s">
        <v>24</v>
      </c>
      <c r="D390" s="1" t="s">
        <v>13</v>
      </c>
      <c r="E390" s="4">
        <v>15</v>
      </c>
      <c r="F390" s="4">
        <v>9</v>
      </c>
      <c r="G390" s="1" t="s">
        <v>43</v>
      </c>
      <c r="H390" s="1" t="s">
        <v>20</v>
      </c>
      <c r="I390" s="5" t="s">
        <v>273</v>
      </c>
      <c r="J390" s="4">
        <v>50</v>
      </c>
      <c r="M390" s="1" t="s">
        <v>492</v>
      </c>
      <c r="N390" s="1" t="s">
        <v>18</v>
      </c>
      <c r="O390" s="1" t="s">
        <v>85</v>
      </c>
      <c r="P390" s="1" t="s">
        <v>31</v>
      </c>
      <c r="Q390" s="4">
        <v>19</v>
      </c>
      <c r="R390" s="4">
        <v>11</v>
      </c>
      <c r="S390" s="1" t="s">
        <v>43</v>
      </c>
      <c r="T390" s="1" t="s">
        <v>15</v>
      </c>
      <c r="U390" s="5" t="s">
        <v>394</v>
      </c>
      <c r="V390" s="4">
        <v>50</v>
      </c>
    </row>
    <row r="391" spans="1:22" x14ac:dyDescent="0.3">
      <c r="A391" s="1" t="s">
        <v>351</v>
      </c>
      <c r="B391" s="1" t="s">
        <v>68</v>
      </c>
      <c r="C391" s="1" t="s">
        <v>96</v>
      </c>
      <c r="D391" s="1" t="s">
        <v>13</v>
      </c>
      <c r="E391" s="4">
        <v>15</v>
      </c>
      <c r="F391" s="4">
        <v>10</v>
      </c>
      <c r="G391" s="1" t="s">
        <v>25</v>
      </c>
      <c r="H391" s="1" t="s">
        <v>20</v>
      </c>
      <c r="I391" s="5" t="s">
        <v>352</v>
      </c>
      <c r="J391" s="4">
        <v>50</v>
      </c>
      <c r="M391" s="1" t="s">
        <v>505</v>
      </c>
      <c r="N391" s="1" t="s">
        <v>11</v>
      </c>
      <c r="O391" s="1" t="s">
        <v>12</v>
      </c>
      <c r="P391" s="1" t="s">
        <v>31</v>
      </c>
      <c r="Q391" s="4">
        <v>19</v>
      </c>
      <c r="R391" s="4">
        <v>10</v>
      </c>
      <c r="S391" s="1" t="s">
        <v>14</v>
      </c>
      <c r="T391" s="1" t="s">
        <v>40</v>
      </c>
      <c r="U391" s="5" t="s">
        <v>506</v>
      </c>
      <c r="V391" s="4">
        <v>77</v>
      </c>
    </row>
    <row r="392" spans="1:22" x14ac:dyDescent="0.3">
      <c r="A392" s="1" t="s">
        <v>475</v>
      </c>
      <c r="B392" s="1" t="s">
        <v>35</v>
      </c>
      <c r="C392" s="1" t="s">
        <v>79</v>
      </c>
      <c r="D392" s="1" t="s">
        <v>13</v>
      </c>
      <c r="E392" s="4">
        <v>17</v>
      </c>
      <c r="F392" s="4">
        <v>9</v>
      </c>
      <c r="G392" s="1" t="s">
        <v>32</v>
      </c>
      <c r="H392" s="1" t="s">
        <v>15</v>
      </c>
      <c r="I392" s="5" t="s">
        <v>248</v>
      </c>
      <c r="J392" s="4">
        <v>50</v>
      </c>
      <c r="M392" s="1" t="s">
        <v>528</v>
      </c>
      <c r="N392" s="1" t="s">
        <v>51</v>
      </c>
      <c r="O392" s="1" t="s">
        <v>19</v>
      </c>
      <c r="P392" s="1" t="s">
        <v>13</v>
      </c>
      <c r="Q392" s="4">
        <v>19</v>
      </c>
      <c r="R392" s="4">
        <v>9</v>
      </c>
      <c r="S392" s="1" t="s">
        <v>43</v>
      </c>
      <c r="T392" s="1" t="s">
        <v>46</v>
      </c>
      <c r="U392" s="5" t="s">
        <v>222</v>
      </c>
      <c r="V392" s="4">
        <v>46</v>
      </c>
    </row>
    <row r="393" spans="1:22" x14ac:dyDescent="0.3">
      <c r="A393" s="1" t="s">
        <v>492</v>
      </c>
      <c r="B393" s="1" t="s">
        <v>18</v>
      </c>
      <c r="C393" s="1" t="s">
        <v>85</v>
      </c>
      <c r="D393" s="1" t="s">
        <v>31</v>
      </c>
      <c r="E393" s="4">
        <v>19</v>
      </c>
      <c r="F393" s="4">
        <v>11</v>
      </c>
      <c r="G393" s="1" t="s">
        <v>43</v>
      </c>
      <c r="H393" s="1" t="s">
        <v>15</v>
      </c>
      <c r="I393" s="5" t="s">
        <v>394</v>
      </c>
      <c r="J393" s="4">
        <v>50</v>
      </c>
      <c r="M393" s="1" t="s">
        <v>552</v>
      </c>
      <c r="N393" s="1" t="s">
        <v>35</v>
      </c>
      <c r="O393" s="1" t="s">
        <v>30</v>
      </c>
      <c r="P393" s="1" t="s">
        <v>13</v>
      </c>
      <c r="Q393" s="4">
        <v>19</v>
      </c>
      <c r="R393" s="4">
        <v>11</v>
      </c>
      <c r="S393" s="1" t="s">
        <v>14</v>
      </c>
      <c r="T393" s="1" t="s">
        <v>76</v>
      </c>
      <c r="U393" s="5" t="s">
        <v>553</v>
      </c>
      <c r="V393" s="4">
        <v>81</v>
      </c>
    </row>
    <row r="394" spans="1:22" x14ac:dyDescent="0.3">
      <c r="A394" s="1" t="s">
        <v>575</v>
      </c>
      <c r="B394" s="1" t="s">
        <v>35</v>
      </c>
      <c r="C394" s="1" t="s">
        <v>30</v>
      </c>
      <c r="D394" s="1" t="s">
        <v>31</v>
      </c>
      <c r="E394" s="4">
        <v>14</v>
      </c>
      <c r="F394" s="4">
        <v>10</v>
      </c>
      <c r="G394" s="1" t="s">
        <v>32</v>
      </c>
      <c r="H394" s="1" t="s">
        <v>40</v>
      </c>
      <c r="I394" s="5" t="s">
        <v>576</v>
      </c>
      <c r="J394" s="4">
        <v>50</v>
      </c>
      <c r="M394" s="1" t="s">
        <v>558</v>
      </c>
      <c r="N394" s="1" t="s">
        <v>54</v>
      </c>
      <c r="O394" s="1" t="s">
        <v>30</v>
      </c>
      <c r="P394" s="1" t="s">
        <v>31</v>
      </c>
      <c r="Q394" s="4">
        <v>19</v>
      </c>
      <c r="R394" s="4">
        <v>10</v>
      </c>
      <c r="S394" s="1" t="s">
        <v>43</v>
      </c>
      <c r="T394" s="1" t="s">
        <v>76</v>
      </c>
      <c r="U394" s="5" t="s">
        <v>559</v>
      </c>
      <c r="V394" s="4">
        <v>40</v>
      </c>
    </row>
    <row r="395" spans="1:22" x14ac:dyDescent="0.3">
      <c r="A395" s="1" t="s">
        <v>663</v>
      </c>
      <c r="B395" s="1" t="s">
        <v>73</v>
      </c>
      <c r="C395" s="1" t="s">
        <v>36</v>
      </c>
      <c r="D395" s="1" t="s">
        <v>13</v>
      </c>
      <c r="E395" s="4">
        <v>20</v>
      </c>
      <c r="F395" s="4">
        <v>12</v>
      </c>
      <c r="G395" s="1" t="s">
        <v>25</v>
      </c>
      <c r="H395" s="1" t="s">
        <v>40</v>
      </c>
      <c r="I395" s="5" t="s">
        <v>664</v>
      </c>
      <c r="J395" s="4">
        <v>50</v>
      </c>
      <c r="M395" s="1" t="s">
        <v>563</v>
      </c>
      <c r="N395" s="1" t="s">
        <v>35</v>
      </c>
      <c r="O395" s="1" t="s">
        <v>55</v>
      </c>
      <c r="P395" s="1" t="s">
        <v>31</v>
      </c>
      <c r="Q395" s="4">
        <v>19</v>
      </c>
      <c r="R395" s="4">
        <v>10</v>
      </c>
      <c r="S395" s="1" t="s">
        <v>43</v>
      </c>
      <c r="T395" s="1" t="s">
        <v>46</v>
      </c>
      <c r="U395" s="5" t="s">
        <v>564</v>
      </c>
      <c r="V395" s="4">
        <v>72</v>
      </c>
    </row>
    <row r="396" spans="1:22" x14ac:dyDescent="0.3">
      <c r="A396" s="1" t="s">
        <v>162</v>
      </c>
      <c r="B396" s="1" t="s">
        <v>73</v>
      </c>
      <c r="C396" s="1" t="s">
        <v>36</v>
      </c>
      <c r="D396" s="1" t="s">
        <v>31</v>
      </c>
      <c r="E396" s="4">
        <v>20</v>
      </c>
      <c r="F396" s="4">
        <v>9</v>
      </c>
      <c r="G396" s="1" t="s">
        <v>32</v>
      </c>
      <c r="H396" s="1" t="s">
        <v>20</v>
      </c>
      <c r="I396" s="5" t="s">
        <v>163</v>
      </c>
      <c r="J396" s="4">
        <v>49</v>
      </c>
      <c r="M396" s="1" t="s">
        <v>572</v>
      </c>
      <c r="N396" s="1" t="s">
        <v>23</v>
      </c>
      <c r="O396" s="1" t="s">
        <v>19</v>
      </c>
      <c r="P396" s="1" t="s">
        <v>31</v>
      </c>
      <c r="Q396" s="4">
        <v>19</v>
      </c>
      <c r="R396" s="4">
        <v>10</v>
      </c>
      <c r="S396" s="1" t="s">
        <v>32</v>
      </c>
      <c r="T396" s="1" t="s">
        <v>20</v>
      </c>
      <c r="U396" s="5" t="s">
        <v>400</v>
      </c>
      <c r="V396" s="4">
        <v>53</v>
      </c>
    </row>
    <row r="397" spans="1:22" x14ac:dyDescent="0.3">
      <c r="A397" s="1" t="s">
        <v>183</v>
      </c>
      <c r="B397" s="1" t="s">
        <v>11</v>
      </c>
      <c r="C397" s="1" t="s">
        <v>30</v>
      </c>
      <c r="D397" s="1" t="s">
        <v>31</v>
      </c>
      <c r="E397" s="4">
        <v>17</v>
      </c>
      <c r="F397" s="4">
        <v>12</v>
      </c>
      <c r="G397" s="1" t="s">
        <v>14</v>
      </c>
      <c r="H397" s="1" t="s">
        <v>37</v>
      </c>
      <c r="I397" s="5" t="s">
        <v>184</v>
      </c>
      <c r="J397" s="4">
        <v>49</v>
      </c>
      <c r="M397" s="1" t="s">
        <v>573</v>
      </c>
      <c r="N397" s="1" t="s">
        <v>54</v>
      </c>
      <c r="O397" s="1" t="s">
        <v>24</v>
      </c>
      <c r="P397" s="1" t="s">
        <v>13</v>
      </c>
      <c r="Q397" s="4">
        <v>19</v>
      </c>
      <c r="R397" s="4">
        <v>9</v>
      </c>
      <c r="S397" s="1" t="s">
        <v>43</v>
      </c>
      <c r="T397" s="1" t="s">
        <v>46</v>
      </c>
      <c r="U397" s="5" t="s">
        <v>574</v>
      </c>
      <c r="V397" s="4">
        <v>94</v>
      </c>
    </row>
    <row r="398" spans="1:22" x14ac:dyDescent="0.3">
      <c r="A398" s="1" t="s">
        <v>345</v>
      </c>
      <c r="B398" s="1" t="s">
        <v>29</v>
      </c>
      <c r="C398" s="1" t="s">
        <v>24</v>
      </c>
      <c r="D398" s="1" t="s">
        <v>31</v>
      </c>
      <c r="E398" s="4">
        <v>15</v>
      </c>
      <c r="F398" s="4">
        <v>9</v>
      </c>
      <c r="G398" s="1" t="s">
        <v>14</v>
      </c>
      <c r="H398" s="1" t="s">
        <v>26</v>
      </c>
      <c r="I398" s="5" t="s">
        <v>346</v>
      </c>
      <c r="J398" s="4">
        <v>49</v>
      </c>
      <c r="M398" s="1" t="s">
        <v>607</v>
      </c>
      <c r="N398" s="1" t="s">
        <v>68</v>
      </c>
      <c r="O398" s="1" t="s">
        <v>55</v>
      </c>
      <c r="P398" s="1" t="s">
        <v>13</v>
      </c>
      <c r="Q398" s="4">
        <v>19</v>
      </c>
      <c r="R398" s="4">
        <v>11</v>
      </c>
      <c r="S398" s="1" t="s">
        <v>25</v>
      </c>
      <c r="T398" s="1" t="s">
        <v>20</v>
      </c>
      <c r="U398" s="5" t="s">
        <v>608</v>
      </c>
      <c r="V398" s="4">
        <v>43</v>
      </c>
    </row>
    <row r="399" spans="1:22" x14ac:dyDescent="0.3">
      <c r="A399" s="1" t="s">
        <v>361</v>
      </c>
      <c r="B399" s="1" t="s">
        <v>11</v>
      </c>
      <c r="C399" s="1" t="s">
        <v>30</v>
      </c>
      <c r="D399" s="1" t="s">
        <v>13</v>
      </c>
      <c r="E399" s="4">
        <v>20</v>
      </c>
      <c r="F399" s="4">
        <v>10</v>
      </c>
      <c r="G399" s="1" t="s">
        <v>32</v>
      </c>
      <c r="H399" s="1" t="s">
        <v>15</v>
      </c>
      <c r="I399" s="5" t="s">
        <v>362</v>
      </c>
      <c r="J399" s="4">
        <v>49</v>
      </c>
      <c r="M399" s="1" t="s">
        <v>611</v>
      </c>
      <c r="N399" s="1" t="s">
        <v>18</v>
      </c>
      <c r="O399" s="1" t="s">
        <v>24</v>
      </c>
      <c r="P399" s="1" t="s">
        <v>31</v>
      </c>
      <c r="Q399" s="4">
        <v>19</v>
      </c>
      <c r="R399" s="4">
        <v>12</v>
      </c>
      <c r="S399" s="1" t="s">
        <v>43</v>
      </c>
      <c r="T399" s="1" t="s">
        <v>26</v>
      </c>
      <c r="U399" s="5" t="s">
        <v>612</v>
      </c>
      <c r="V399" s="4">
        <v>82</v>
      </c>
    </row>
    <row r="400" spans="1:22" x14ac:dyDescent="0.3">
      <c r="A400" s="1" t="s">
        <v>495</v>
      </c>
      <c r="B400" s="1" t="s">
        <v>35</v>
      </c>
      <c r="C400" s="1" t="s">
        <v>12</v>
      </c>
      <c r="D400" s="1" t="s">
        <v>13</v>
      </c>
      <c r="E400" s="4">
        <v>15</v>
      </c>
      <c r="F400" s="4">
        <v>12</v>
      </c>
      <c r="G400" s="1" t="s">
        <v>43</v>
      </c>
      <c r="H400" s="1" t="s">
        <v>20</v>
      </c>
      <c r="I400" s="5" t="s">
        <v>496</v>
      </c>
      <c r="J400" s="4">
        <v>49</v>
      </c>
      <c r="M400" s="1" t="s">
        <v>620</v>
      </c>
      <c r="N400" s="1" t="s">
        <v>84</v>
      </c>
      <c r="O400" s="1" t="s">
        <v>24</v>
      </c>
      <c r="P400" s="1" t="s">
        <v>31</v>
      </c>
      <c r="Q400" s="4">
        <v>19</v>
      </c>
      <c r="R400" s="4">
        <v>12</v>
      </c>
      <c r="S400" s="1" t="s">
        <v>14</v>
      </c>
      <c r="T400" s="1" t="s">
        <v>61</v>
      </c>
      <c r="U400" s="5" t="s">
        <v>621</v>
      </c>
      <c r="V400" s="4">
        <v>77</v>
      </c>
    </row>
    <row r="401" spans="1:22" x14ac:dyDescent="0.3">
      <c r="A401" s="1" t="s">
        <v>623</v>
      </c>
      <c r="B401" s="1" t="s">
        <v>29</v>
      </c>
      <c r="C401" s="1" t="s">
        <v>12</v>
      </c>
      <c r="D401" s="1" t="s">
        <v>31</v>
      </c>
      <c r="E401" s="4">
        <v>19</v>
      </c>
      <c r="F401" s="4">
        <v>11</v>
      </c>
      <c r="G401" s="1" t="s">
        <v>25</v>
      </c>
      <c r="H401" s="1" t="s">
        <v>76</v>
      </c>
      <c r="I401" s="5" t="s">
        <v>624</v>
      </c>
      <c r="J401" s="4">
        <v>49</v>
      </c>
      <c r="M401" s="1" t="s">
        <v>623</v>
      </c>
      <c r="N401" s="1" t="s">
        <v>29</v>
      </c>
      <c r="O401" s="1" t="s">
        <v>12</v>
      </c>
      <c r="P401" s="1" t="s">
        <v>31</v>
      </c>
      <c r="Q401" s="4">
        <v>19</v>
      </c>
      <c r="R401" s="4">
        <v>11</v>
      </c>
      <c r="S401" s="1" t="s">
        <v>25</v>
      </c>
      <c r="T401" s="1" t="s">
        <v>76</v>
      </c>
      <c r="U401" s="5" t="s">
        <v>624</v>
      </c>
      <c r="V401" s="4">
        <v>49</v>
      </c>
    </row>
    <row r="402" spans="1:22" x14ac:dyDescent="0.3">
      <c r="A402" s="1" t="s">
        <v>810</v>
      </c>
      <c r="B402" s="1" t="s">
        <v>73</v>
      </c>
      <c r="C402" s="1" t="s">
        <v>12</v>
      </c>
      <c r="D402" s="1" t="s">
        <v>13</v>
      </c>
      <c r="E402" s="4">
        <v>14</v>
      </c>
      <c r="F402" s="4">
        <v>10</v>
      </c>
      <c r="G402" s="1" t="s">
        <v>14</v>
      </c>
      <c r="H402" s="1" t="s">
        <v>46</v>
      </c>
      <c r="I402" s="5" t="s">
        <v>385</v>
      </c>
      <c r="J402" s="4">
        <v>49</v>
      </c>
      <c r="M402" s="1" t="s">
        <v>625</v>
      </c>
      <c r="N402" s="1" t="s">
        <v>68</v>
      </c>
      <c r="O402" s="1" t="s">
        <v>96</v>
      </c>
      <c r="P402" s="1" t="s">
        <v>31</v>
      </c>
      <c r="Q402" s="4">
        <v>19</v>
      </c>
      <c r="R402" s="4">
        <v>12</v>
      </c>
      <c r="S402" s="1" t="s">
        <v>32</v>
      </c>
      <c r="T402" s="1" t="s">
        <v>15</v>
      </c>
      <c r="U402" s="5" t="s">
        <v>626</v>
      </c>
      <c r="V402" s="4">
        <v>86</v>
      </c>
    </row>
    <row r="403" spans="1:22" x14ac:dyDescent="0.3">
      <c r="A403" s="1" t="s">
        <v>928</v>
      </c>
      <c r="B403" s="1" t="s">
        <v>23</v>
      </c>
      <c r="C403" s="1" t="s">
        <v>55</v>
      </c>
      <c r="D403" s="1" t="s">
        <v>13</v>
      </c>
      <c r="E403" s="4">
        <v>20</v>
      </c>
      <c r="F403" s="4">
        <v>11</v>
      </c>
      <c r="G403" s="1" t="s">
        <v>14</v>
      </c>
      <c r="H403" s="1" t="s">
        <v>15</v>
      </c>
      <c r="I403" s="5" t="s">
        <v>608</v>
      </c>
      <c r="J403" s="4">
        <v>49</v>
      </c>
      <c r="M403" s="1" t="s">
        <v>630</v>
      </c>
      <c r="N403" s="1" t="s">
        <v>84</v>
      </c>
      <c r="O403" s="1" t="s">
        <v>96</v>
      </c>
      <c r="P403" s="1" t="s">
        <v>31</v>
      </c>
      <c r="Q403" s="4">
        <v>19</v>
      </c>
      <c r="R403" s="4">
        <v>10</v>
      </c>
      <c r="S403" s="1" t="s">
        <v>43</v>
      </c>
      <c r="T403" s="1" t="s">
        <v>20</v>
      </c>
      <c r="U403" s="5" t="s">
        <v>631</v>
      </c>
      <c r="V403" s="4">
        <v>63</v>
      </c>
    </row>
    <row r="404" spans="1:22" x14ac:dyDescent="0.3">
      <c r="A404" s="1" t="s">
        <v>239</v>
      </c>
      <c r="B404" s="1" t="s">
        <v>68</v>
      </c>
      <c r="C404" s="1" t="s">
        <v>58</v>
      </c>
      <c r="D404" s="1" t="s">
        <v>13</v>
      </c>
      <c r="E404" s="4">
        <v>18</v>
      </c>
      <c r="F404" s="4">
        <v>11</v>
      </c>
      <c r="G404" s="1" t="s">
        <v>25</v>
      </c>
      <c r="H404" s="1" t="s">
        <v>15</v>
      </c>
      <c r="I404" s="5" t="s">
        <v>240</v>
      </c>
      <c r="J404" s="4">
        <v>48</v>
      </c>
      <c r="M404" s="1" t="s">
        <v>632</v>
      </c>
      <c r="N404" s="1" t="s">
        <v>54</v>
      </c>
      <c r="O404" s="1" t="s">
        <v>55</v>
      </c>
      <c r="P404" s="1" t="s">
        <v>31</v>
      </c>
      <c r="Q404" s="4">
        <v>19</v>
      </c>
      <c r="R404" s="4">
        <v>11</v>
      </c>
      <c r="S404" s="1" t="s">
        <v>25</v>
      </c>
      <c r="T404" s="1" t="s">
        <v>61</v>
      </c>
      <c r="U404" s="5" t="s">
        <v>633</v>
      </c>
      <c r="V404" s="4">
        <v>82</v>
      </c>
    </row>
    <row r="405" spans="1:22" x14ac:dyDescent="0.3">
      <c r="A405" s="1" t="s">
        <v>255</v>
      </c>
      <c r="B405" s="1" t="s">
        <v>51</v>
      </c>
      <c r="C405" s="1" t="s">
        <v>79</v>
      </c>
      <c r="D405" s="1" t="s">
        <v>31</v>
      </c>
      <c r="E405" s="4">
        <v>20</v>
      </c>
      <c r="F405" s="4">
        <v>12</v>
      </c>
      <c r="G405" s="1" t="s">
        <v>43</v>
      </c>
      <c r="H405" s="1" t="s">
        <v>40</v>
      </c>
      <c r="I405" s="5" t="s">
        <v>256</v>
      </c>
      <c r="J405" s="4">
        <v>48</v>
      </c>
      <c r="M405" s="1" t="s">
        <v>636</v>
      </c>
      <c r="N405" s="1" t="s">
        <v>11</v>
      </c>
      <c r="O405" s="1" t="s">
        <v>79</v>
      </c>
      <c r="P405" s="1" t="s">
        <v>13</v>
      </c>
      <c r="Q405" s="4">
        <v>19</v>
      </c>
      <c r="R405" s="4">
        <v>9</v>
      </c>
      <c r="S405" s="1" t="s">
        <v>32</v>
      </c>
      <c r="T405" s="1" t="s">
        <v>76</v>
      </c>
      <c r="U405" s="5" t="s">
        <v>637</v>
      </c>
      <c r="V405" s="4">
        <v>97</v>
      </c>
    </row>
    <row r="406" spans="1:22" x14ac:dyDescent="0.3">
      <c r="A406" s="1" t="s">
        <v>287</v>
      </c>
      <c r="B406" s="1" t="s">
        <v>54</v>
      </c>
      <c r="C406" s="1" t="s">
        <v>24</v>
      </c>
      <c r="D406" s="1" t="s">
        <v>31</v>
      </c>
      <c r="E406" s="4">
        <v>14</v>
      </c>
      <c r="F406" s="4">
        <v>12</v>
      </c>
      <c r="G406" s="1" t="s">
        <v>32</v>
      </c>
      <c r="H406" s="1" t="s">
        <v>76</v>
      </c>
      <c r="I406" s="5" t="s">
        <v>288</v>
      </c>
      <c r="J406" s="4">
        <v>48</v>
      </c>
      <c r="M406" s="1" t="s">
        <v>656</v>
      </c>
      <c r="N406" s="1" t="s">
        <v>29</v>
      </c>
      <c r="O406" s="1" t="s">
        <v>30</v>
      </c>
      <c r="P406" s="1" t="s">
        <v>13</v>
      </c>
      <c r="Q406" s="4">
        <v>19</v>
      </c>
      <c r="R406" s="4">
        <v>10</v>
      </c>
      <c r="S406" s="1" t="s">
        <v>43</v>
      </c>
      <c r="T406" s="1" t="s">
        <v>15</v>
      </c>
      <c r="U406" s="5" t="s">
        <v>657</v>
      </c>
      <c r="V406" s="4">
        <v>85</v>
      </c>
    </row>
    <row r="407" spans="1:22" x14ac:dyDescent="0.3">
      <c r="A407" s="1" t="s">
        <v>689</v>
      </c>
      <c r="B407" s="1" t="s">
        <v>68</v>
      </c>
      <c r="C407" s="1" t="s">
        <v>96</v>
      </c>
      <c r="D407" s="1" t="s">
        <v>13</v>
      </c>
      <c r="E407" s="4">
        <v>20</v>
      </c>
      <c r="F407" s="4">
        <v>12</v>
      </c>
      <c r="G407" s="1" t="s">
        <v>43</v>
      </c>
      <c r="H407" s="1" t="s">
        <v>20</v>
      </c>
      <c r="I407" s="5" t="s">
        <v>626</v>
      </c>
      <c r="J407" s="4">
        <v>48</v>
      </c>
      <c r="M407" s="1" t="s">
        <v>661</v>
      </c>
      <c r="N407" s="1" t="s">
        <v>54</v>
      </c>
      <c r="O407" s="1" t="s">
        <v>12</v>
      </c>
      <c r="P407" s="1" t="s">
        <v>31</v>
      </c>
      <c r="Q407" s="4">
        <v>19</v>
      </c>
      <c r="R407" s="4">
        <v>10</v>
      </c>
      <c r="S407" s="1" t="s">
        <v>14</v>
      </c>
      <c r="T407" s="1" t="s">
        <v>76</v>
      </c>
      <c r="U407" s="5" t="s">
        <v>662</v>
      </c>
      <c r="V407" s="4">
        <v>54</v>
      </c>
    </row>
    <row r="408" spans="1:22" x14ac:dyDescent="0.3">
      <c r="A408" s="1" t="s">
        <v>876</v>
      </c>
      <c r="B408" s="1" t="s">
        <v>18</v>
      </c>
      <c r="C408" s="1" t="s">
        <v>24</v>
      </c>
      <c r="D408" s="1" t="s">
        <v>31</v>
      </c>
      <c r="E408" s="4">
        <v>16</v>
      </c>
      <c r="F408" s="4">
        <v>9</v>
      </c>
      <c r="G408" s="1" t="s">
        <v>43</v>
      </c>
      <c r="H408" s="1" t="s">
        <v>26</v>
      </c>
      <c r="I408" s="5" t="s">
        <v>515</v>
      </c>
      <c r="J408" s="4">
        <v>48</v>
      </c>
      <c r="M408" s="1" t="s">
        <v>669</v>
      </c>
      <c r="N408" s="1" t="s">
        <v>11</v>
      </c>
      <c r="O408" s="1" t="s">
        <v>24</v>
      </c>
      <c r="P408" s="1" t="s">
        <v>13</v>
      </c>
      <c r="Q408" s="4">
        <v>19</v>
      </c>
      <c r="R408" s="4">
        <v>9</v>
      </c>
      <c r="S408" s="1" t="s">
        <v>32</v>
      </c>
      <c r="T408" s="1" t="s">
        <v>40</v>
      </c>
      <c r="U408" s="5" t="s">
        <v>670</v>
      </c>
      <c r="V408" s="4">
        <v>51</v>
      </c>
    </row>
    <row r="409" spans="1:22" x14ac:dyDescent="0.3">
      <c r="A409" s="1" t="s">
        <v>268</v>
      </c>
      <c r="B409" s="1" t="s">
        <v>68</v>
      </c>
      <c r="C409" s="1" t="s">
        <v>24</v>
      </c>
      <c r="D409" s="1" t="s">
        <v>31</v>
      </c>
      <c r="E409" s="4">
        <v>16</v>
      </c>
      <c r="F409" s="4">
        <v>12</v>
      </c>
      <c r="G409" s="1" t="s">
        <v>43</v>
      </c>
      <c r="H409" s="1" t="s">
        <v>26</v>
      </c>
      <c r="I409" s="5" t="s">
        <v>269</v>
      </c>
      <c r="J409" s="4">
        <v>47</v>
      </c>
      <c r="M409" s="1" t="s">
        <v>675</v>
      </c>
      <c r="N409" s="1" t="s">
        <v>73</v>
      </c>
      <c r="O409" s="1" t="s">
        <v>24</v>
      </c>
      <c r="P409" s="1" t="s">
        <v>13</v>
      </c>
      <c r="Q409" s="4">
        <v>19</v>
      </c>
      <c r="R409" s="4">
        <v>11</v>
      </c>
      <c r="S409" s="1" t="s">
        <v>14</v>
      </c>
      <c r="T409" s="1" t="s">
        <v>37</v>
      </c>
      <c r="U409" s="5" t="s">
        <v>676</v>
      </c>
      <c r="V409" s="4">
        <v>51</v>
      </c>
    </row>
    <row r="410" spans="1:22" x14ac:dyDescent="0.3">
      <c r="A410" s="1" t="s">
        <v>306</v>
      </c>
      <c r="B410" s="1" t="s">
        <v>23</v>
      </c>
      <c r="C410" s="1" t="s">
        <v>19</v>
      </c>
      <c r="D410" s="1" t="s">
        <v>31</v>
      </c>
      <c r="E410" s="4">
        <v>16</v>
      </c>
      <c r="F410" s="4">
        <v>10</v>
      </c>
      <c r="G410" s="1" t="s">
        <v>43</v>
      </c>
      <c r="H410" s="1" t="s">
        <v>61</v>
      </c>
      <c r="I410" s="5" t="s">
        <v>307</v>
      </c>
      <c r="J410" s="4">
        <v>47</v>
      </c>
      <c r="M410" s="1" t="s">
        <v>688</v>
      </c>
      <c r="N410" s="1" t="s">
        <v>23</v>
      </c>
      <c r="O410" s="1" t="s">
        <v>96</v>
      </c>
      <c r="P410" s="1" t="s">
        <v>31</v>
      </c>
      <c r="Q410" s="4">
        <v>19</v>
      </c>
      <c r="R410" s="4">
        <v>10</v>
      </c>
      <c r="S410" s="1" t="s">
        <v>25</v>
      </c>
      <c r="T410" s="1" t="s">
        <v>40</v>
      </c>
      <c r="U410" s="5" t="s">
        <v>195</v>
      </c>
      <c r="V410" s="4">
        <v>55</v>
      </c>
    </row>
    <row r="411" spans="1:22" x14ac:dyDescent="0.3">
      <c r="A411" s="1" t="s">
        <v>414</v>
      </c>
      <c r="B411" s="1" t="s">
        <v>11</v>
      </c>
      <c r="C411" s="1" t="s">
        <v>55</v>
      </c>
      <c r="D411" s="1" t="s">
        <v>13</v>
      </c>
      <c r="E411" s="4">
        <v>16</v>
      </c>
      <c r="F411" s="4">
        <v>12</v>
      </c>
      <c r="G411" s="1" t="s">
        <v>32</v>
      </c>
      <c r="H411" s="1" t="s">
        <v>37</v>
      </c>
      <c r="I411" s="5" t="s">
        <v>415</v>
      </c>
      <c r="J411" s="4">
        <v>47</v>
      </c>
      <c r="M411" s="1" t="s">
        <v>690</v>
      </c>
      <c r="N411" s="1" t="s">
        <v>23</v>
      </c>
      <c r="O411" s="1" t="s">
        <v>85</v>
      </c>
      <c r="P411" s="1" t="s">
        <v>13</v>
      </c>
      <c r="Q411" s="4">
        <v>19</v>
      </c>
      <c r="R411" s="4">
        <v>9</v>
      </c>
      <c r="S411" s="1" t="s">
        <v>14</v>
      </c>
      <c r="T411" s="1" t="s">
        <v>76</v>
      </c>
      <c r="U411" s="5" t="s">
        <v>635</v>
      </c>
      <c r="V411" s="4">
        <v>91</v>
      </c>
    </row>
    <row r="412" spans="1:22" x14ac:dyDescent="0.3">
      <c r="A412" s="1" t="s">
        <v>433</v>
      </c>
      <c r="B412" s="1" t="s">
        <v>84</v>
      </c>
      <c r="C412" s="1" t="s">
        <v>36</v>
      </c>
      <c r="D412" s="1" t="s">
        <v>13</v>
      </c>
      <c r="E412" s="4">
        <v>14</v>
      </c>
      <c r="F412" s="4">
        <v>9</v>
      </c>
      <c r="G412" s="1" t="s">
        <v>32</v>
      </c>
      <c r="H412" s="1" t="s">
        <v>15</v>
      </c>
      <c r="I412" s="5" t="s">
        <v>434</v>
      </c>
      <c r="J412" s="4">
        <v>47</v>
      </c>
      <c r="M412" s="1" t="s">
        <v>697</v>
      </c>
      <c r="N412" s="1" t="s">
        <v>29</v>
      </c>
      <c r="O412" s="1" t="s">
        <v>30</v>
      </c>
      <c r="P412" s="1" t="s">
        <v>31</v>
      </c>
      <c r="Q412" s="4">
        <v>19</v>
      </c>
      <c r="R412" s="4">
        <v>10</v>
      </c>
      <c r="S412" s="1" t="s">
        <v>25</v>
      </c>
      <c r="T412" s="1" t="s">
        <v>61</v>
      </c>
      <c r="U412" s="5" t="s">
        <v>698</v>
      </c>
      <c r="V412" s="4">
        <v>75</v>
      </c>
    </row>
    <row r="413" spans="1:22" x14ac:dyDescent="0.3">
      <c r="A413" s="1" t="s">
        <v>493</v>
      </c>
      <c r="B413" s="1" t="s">
        <v>51</v>
      </c>
      <c r="C413" s="1" t="s">
        <v>96</v>
      </c>
      <c r="D413" s="1" t="s">
        <v>31</v>
      </c>
      <c r="E413" s="4">
        <v>14</v>
      </c>
      <c r="F413" s="4">
        <v>12</v>
      </c>
      <c r="G413" s="1" t="s">
        <v>14</v>
      </c>
      <c r="H413" s="1" t="s">
        <v>26</v>
      </c>
      <c r="I413" s="5" t="s">
        <v>494</v>
      </c>
      <c r="J413" s="4">
        <v>47</v>
      </c>
      <c r="M413" s="1" t="s">
        <v>715</v>
      </c>
      <c r="N413" s="1" t="s">
        <v>51</v>
      </c>
      <c r="O413" s="1" t="s">
        <v>79</v>
      </c>
      <c r="P413" s="1" t="s">
        <v>13</v>
      </c>
      <c r="Q413" s="4">
        <v>19</v>
      </c>
      <c r="R413" s="4">
        <v>10</v>
      </c>
      <c r="S413" s="1" t="s">
        <v>32</v>
      </c>
      <c r="T413" s="1" t="s">
        <v>40</v>
      </c>
      <c r="U413" s="5" t="s">
        <v>702</v>
      </c>
      <c r="V413" s="4">
        <v>84</v>
      </c>
    </row>
    <row r="414" spans="1:22" x14ac:dyDescent="0.3">
      <c r="A414" s="1" t="s">
        <v>582</v>
      </c>
      <c r="B414" s="1" t="s">
        <v>51</v>
      </c>
      <c r="C414" s="1" t="s">
        <v>55</v>
      </c>
      <c r="D414" s="1" t="s">
        <v>31</v>
      </c>
      <c r="E414" s="4">
        <v>14</v>
      </c>
      <c r="F414" s="4">
        <v>11</v>
      </c>
      <c r="G414" s="1" t="s">
        <v>25</v>
      </c>
      <c r="H414" s="1" t="s">
        <v>37</v>
      </c>
      <c r="I414" s="5" t="s">
        <v>583</v>
      </c>
      <c r="J414" s="4">
        <v>47</v>
      </c>
      <c r="M414" s="1" t="s">
        <v>723</v>
      </c>
      <c r="N414" s="1" t="s">
        <v>68</v>
      </c>
      <c r="O414" s="1" t="s">
        <v>79</v>
      </c>
      <c r="P414" s="1" t="s">
        <v>31</v>
      </c>
      <c r="Q414" s="4">
        <v>19</v>
      </c>
      <c r="R414" s="4">
        <v>12</v>
      </c>
      <c r="S414" s="1" t="s">
        <v>25</v>
      </c>
      <c r="T414" s="1" t="s">
        <v>40</v>
      </c>
      <c r="U414" s="5" t="s">
        <v>724</v>
      </c>
      <c r="V414" s="4">
        <v>65</v>
      </c>
    </row>
    <row r="415" spans="1:22" x14ac:dyDescent="0.3">
      <c r="A415" s="1" t="s">
        <v>814</v>
      </c>
      <c r="B415" s="1" t="s">
        <v>18</v>
      </c>
      <c r="C415" s="1" t="s">
        <v>24</v>
      </c>
      <c r="D415" s="1" t="s">
        <v>31</v>
      </c>
      <c r="E415" s="4">
        <v>17</v>
      </c>
      <c r="F415" s="4">
        <v>10</v>
      </c>
      <c r="G415" s="1" t="s">
        <v>14</v>
      </c>
      <c r="H415" s="1" t="s">
        <v>76</v>
      </c>
      <c r="I415" s="5" t="s">
        <v>815</v>
      </c>
      <c r="J415" s="4">
        <v>47</v>
      </c>
      <c r="M415" s="1" t="s">
        <v>737</v>
      </c>
      <c r="N415" s="1" t="s">
        <v>54</v>
      </c>
      <c r="O415" s="1" t="s">
        <v>96</v>
      </c>
      <c r="P415" s="1" t="s">
        <v>13</v>
      </c>
      <c r="Q415" s="4">
        <v>19</v>
      </c>
      <c r="R415" s="4">
        <v>12</v>
      </c>
      <c r="S415" s="1" t="s">
        <v>25</v>
      </c>
      <c r="T415" s="1" t="s">
        <v>20</v>
      </c>
      <c r="U415" s="5" t="s">
        <v>738</v>
      </c>
      <c r="V415" s="4">
        <v>85</v>
      </c>
    </row>
    <row r="416" spans="1:22" x14ac:dyDescent="0.3">
      <c r="A416" s="1" t="s">
        <v>217</v>
      </c>
      <c r="B416" s="1" t="s">
        <v>84</v>
      </c>
      <c r="C416" s="1" t="s">
        <v>96</v>
      </c>
      <c r="D416" s="1" t="s">
        <v>31</v>
      </c>
      <c r="E416" s="4">
        <v>17</v>
      </c>
      <c r="F416" s="4">
        <v>10</v>
      </c>
      <c r="G416" s="1" t="s">
        <v>43</v>
      </c>
      <c r="H416" s="1" t="s">
        <v>46</v>
      </c>
      <c r="I416" s="5" t="s">
        <v>218</v>
      </c>
      <c r="J416" s="4">
        <v>46</v>
      </c>
      <c r="M416" s="1" t="s">
        <v>804</v>
      </c>
      <c r="N416" s="1" t="s">
        <v>54</v>
      </c>
      <c r="O416" s="1" t="s">
        <v>79</v>
      </c>
      <c r="P416" s="1" t="s">
        <v>13</v>
      </c>
      <c r="Q416" s="4">
        <v>19</v>
      </c>
      <c r="R416" s="4">
        <v>9</v>
      </c>
      <c r="S416" s="1" t="s">
        <v>25</v>
      </c>
      <c r="T416" s="1" t="s">
        <v>61</v>
      </c>
      <c r="U416" s="5" t="s">
        <v>56</v>
      </c>
      <c r="V416" s="4">
        <v>43</v>
      </c>
    </row>
    <row r="417" spans="1:22" x14ac:dyDescent="0.3">
      <c r="A417" s="1" t="s">
        <v>391</v>
      </c>
      <c r="B417" s="1" t="s">
        <v>68</v>
      </c>
      <c r="C417" s="1" t="s">
        <v>19</v>
      </c>
      <c r="D417" s="1" t="s">
        <v>13</v>
      </c>
      <c r="E417" s="4">
        <v>19</v>
      </c>
      <c r="F417" s="4">
        <v>12</v>
      </c>
      <c r="G417" s="1" t="s">
        <v>25</v>
      </c>
      <c r="H417" s="1" t="s">
        <v>46</v>
      </c>
      <c r="I417" s="5" t="s">
        <v>392</v>
      </c>
      <c r="J417" s="4">
        <v>46</v>
      </c>
      <c r="M417" s="1" t="s">
        <v>817</v>
      </c>
      <c r="N417" s="1" t="s">
        <v>51</v>
      </c>
      <c r="O417" s="1" t="s">
        <v>55</v>
      </c>
      <c r="P417" s="1" t="s">
        <v>31</v>
      </c>
      <c r="Q417" s="4">
        <v>19</v>
      </c>
      <c r="R417" s="4">
        <v>11</v>
      </c>
      <c r="S417" s="1" t="s">
        <v>14</v>
      </c>
      <c r="T417" s="1" t="s">
        <v>26</v>
      </c>
      <c r="U417" s="5" t="s">
        <v>818</v>
      </c>
      <c r="V417" s="4">
        <v>56</v>
      </c>
    </row>
    <row r="418" spans="1:22" x14ac:dyDescent="0.3">
      <c r="A418" s="1" t="s">
        <v>466</v>
      </c>
      <c r="B418" s="1" t="s">
        <v>11</v>
      </c>
      <c r="C418" s="1" t="s">
        <v>55</v>
      </c>
      <c r="D418" s="1" t="s">
        <v>31</v>
      </c>
      <c r="E418" s="4">
        <v>20</v>
      </c>
      <c r="F418" s="4">
        <v>11</v>
      </c>
      <c r="G418" s="1" t="s">
        <v>32</v>
      </c>
      <c r="H418" s="1" t="s">
        <v>40</v>
      </c>
      <c r="I418" s="5" t="s">
        <v>467</v>
      </c>
      <c r="J418" s="4">
        <v>46</v>
      </c>
      <c r="M418" s="1" t="s">
        <v>831</v>
      </c>
      <c r="N418" s="1" t="s">
        <v>54</v>
      </c>
      <c r="O418" s="1" t="s">
        <v>36</v>
      </c>
      <c r="P418" s="1" t="s">
        <v>31</v>
      </c>
      <c r="Q418" s="4">
        <v>19</v>
      </c>
      <c r="R418" s="4">
        <v>9</v>
      </c>
      <c r="S418" s="1" t="s">
        <v>32</v>
      </c>
      <c r="T418" s="1" t="s">
        <v>15</v>
      </c>
      <c r="U418" s="5" t="s">
        <v>832</v>
      </c>
      <c r="V418" s="4">
        <v>35</v>
      </c>
    </row>
    <row r="419" spans="1:22" x14ac:dyDescent="0.3">
      <c r="A419" s="1" t="s">
        <v>528</v>
      </c>
      <c r="B419" s="1" t="s">
        <v>51</v>
      </c>
      <c r="C419" s="1" t="s">
        <v>19</v>
      </c>
      <c r="D419" s="1" t="s">
        <v>13</v>
      </c>
      <c r="E419" s="4">
        <v>19</v>
      </c>
      <c r="F419" s="4">
        <v>9</v>
      </c>
      <c r="G419" s="1" t="s">
        <v>43</v>
      </c>
      <c r="H419" s="1" t="s">
        <v>46</v>
      </c>
      <c r="I419" s="5" t="s">
        <v>222</v>
      </c>
      <c r="J419" s="4">
        <v>46</v>
      </c>
      <c r="M419" s="1" t="s">
        <v>845</v>
      </c>
      <c r="N419" s="1" t="s">
        <v>11</v>
      </c>
      <c r="O419" s="1" t="s">
        <v>19</v>
      </c>
      <c r="P419" s="1" t="s">
        <v>31</v>
      </c>
      <c r="Q419" s="4">
        <v>19</v>
      </c>
      <c r="R419" s="4">
        <v>11</v>
      </c>
      <c r="S419" s="1" t="s">
        <v>43</v>
      </c>
      <c r="T419" s="1" t="s">
        <v>76</v>
      </c>
      <c r="U419" s="5" t="s">
        <v>282</v>
      </c>
      <c r="V419" s="4">
        <v>44</v>
      </c>
    </row>
    <row r="420" spans="1:22" x14ac:dyDescent="0.3">
      <c r="A420" s="1" t="s">
        <v>530</v>
      </c>
      <c r="B420" s="1" t="s">
        <v>54</v>
      </c>
      <c r="C420" s="1" t="s">
        <v>58</v>
      </c>
      <c r="D420" s="1" t="s">
        <v>13</v>
      </c>
      <c r="E420" s="4">
        <v>17</v>
      </c>
      <c r="F420" s="4">
        <v>10</v>
      </c>
      <c r="G420" s="1" t="s">
        <v>32</v>
      </c>
      <c r="H420" s="1" t="s">
        <v>15</v>
      </c>
      <c r="I420" s="5" t="s">
        <v>64</v>
      </c>
      <c r="J420" s="4">
        <v>46</v>
      </c>
      <c r="M420" s="1" t="s">
        <v>858</v>
      </c>
      <c r="N420" s="1" t="s">
        <v>35</v>
      </c>
      <c r="O420" s="1" t="s">
        <v>12</v>
      </c>
      <c r="P420" s="1" t="s">
        <v>31</v>
      </c>
      <c r="Q420" s="4">
        <v>19</v>
      </c>
      <c r="R420" s="4">
        <v>9</v>
      </c>
      <c r="S420" s="1" t="s">
        <v>43</v>
      </c>
      <c r="T420" s="1" t="s">
        <v>26</v>
      </c>
      <c r="U420" s="5" t="s">
        <v>859</v>
      </c>
      <c r="V420" s="4">
        <v>88</v>
      </c>
    </row>
    <row r="421" spans="1:22" x14ac:dyDescent="0.3">
      <c r="A421" s="1" t="s">
        <v>893</v>
      </c>
      <c r="B421" s="1" t="s">
        <v>29</v>
      </c>
      <c r="C421" s="1" t="s">
        <v>30</v>
      </c>
      <c r="D421" s="1" t="s">
        <v>13</v>
      </c>
      <c r="E421" s="4">
        <v>17</v>
      </c>
      <c r="F421" s="4">
        <v>9</v>
      </c>
      <c r="G421" s="1" t="s">
        <v>14</v>
      </c>
      <c r="H421" s="1" t="s">
        <v>46</v>
      </c>
      <c r="I421" s="5" t="s">
        <v>423</v>
      </c>
      <c r="J421" s="4">
        <v>46</v>
      </c>
      <c r="M421" s="1" t="s">
        <v>873</v>
      </c>
      <c r="N421" s="1" t="s">
        <v>18</v>
      </c>
      <c r="O421" s="1" t="s">
        <v>79</v>
      </c>
      <c r="P421" s="1" t="s">
        <v>31</v>
      </c>
      <c r="Q421" s="4">
        <v>19</v>
      </c>
      <c r="R421" s="4">
        <v>12</v>
      </c>
      <c r="S421" s="1" t="s">
        <v>32</v>
      </c>
      <c r="T421" s="1" t="s">
        <v>76</v>
      </c>
      <c r="U421" s="5" t="s">
        <v>742</v>
      </c>
      <c r="V421" s="4">
        <v>83</v>
      </c>
    </row>
    <row r="422" spans="1:22" x14ac:dyDescent="0.3">
      <c r="A422" s="1" t="s">
        <v>34</v>
      </c>
      <c r="B422" s="1" t="s">
        <v>35</v>
      </c>
      <c r="C422" s="1" t="s">
        <v>36</v>
      </c>
      <c r="D422" s="1" t="s">
        <v>31</v>
      </c>
      <c r="E422" s="4">
        <v>17</v>
      </c>
      <c r="F422" s="4">
        <v>10</v>
      </c>
      <c r="G422" s="1" t="s">
        <v>32</v>
      </c>
      <c r="H422" s="1" t="s">
        <v>37</v>
      </c>
      <c r="I422" s="5" t="s">
        <v>38</v>
      </c>
      <c r="J422" s="4">
        <v>45</v>
      </c>
      <c r="M422" s="1" t="s">
        <v>877</v>
      </c>
      <c r="N422" s="1" t="s">
        <v>73</v>
      </c>
      <c r="O422" s="1" t="s">
        <v>85</v>
      </c>
      <c r="P422" s="1" t="s">
        <v>13</v>
      </c>
      <c r="Q422" s="4">
        <v>19</v>
      </c>
      <c r="R422" s="4">
        <v>10</v>
      </c>
      <c r="S422" s="1" t="s">
        <v>25</v>
      </c>
      <c r="T422" s="1" t="s">
        <v>26</v>
      </c>
      <c r="U422" s="5" t="s">
        <v>878</v>
      </c>
      <c r="V422" s="4">
        <v>81</v>
      </c>
    </row>
    <row r="423" spans="1:22" x14ac:dyDescent="0.3">
      <c r="A423" s="1" t="s">
        <v>166</v>
      </c>
      <c r="B423" s="1" t="s">
        <v>84</v>
      </c>
      <c r="C423" s="1" t="s">
        <v>24</v>
      </c>
      <c r="D423" s="1" t="s">
        <v>13</v>
      </c>
      <c r="E423" s="4">
        <v>14</v>
      </c>
      <c r="F423" s="4">
        <v>10</v>
      </c>
      <c r="G423" s="1" t="s">
        <v>43</v>
      </c>
      <c r="H423" s="1" t="s">
        <v>15</v>
      </c>
      <c r="I423" s="5" t="s">
        <v>167</v>
      </c>
      <c r="J423" s="4">
        <v>45</v>
      </c>
      <c r="M423" s="1" t="s">
        <v>883</v>
      </c>
      <c r="N423" s="1" t="s">
        <v>23</v>
      </c>
      <c r="O423" s="1" t="s">
        <v>85</v>
      </c>
      <c r="P423" s="1" t="s">
        <v>13</v>
      </c>
      <c r="Q423" s="4">
        <v>19</v>
      </c>
      <c r="R423" s="4">
        <v>9</v>
      </c>
      <c r="S423" s="1" t="s">
        <v>43</v>
      </c>
      <c r="T423" s="1" t="s">
        <v>20</v>
      </c>
      <c r="U423" s="5" t="s">
        <v>884</v>
      </c>
      <c r="V423" s="4">
        <v>69</v>
      </c>
    </row>
    <row r="424" spans="1:22" x14ac:dyDescent="0.3">
      <c r="A424" s="1" t="s">
        <v>185</v>
      </c>
      <c r="B424" s="1" t="s">
        <v>35</v>
      </c>
      <c r="C424" s="1" t="s">
        <v>30</v>
      </c>
      <c r="D424" s="1" t="s">
        <v>31</v>
      </c>
      <c r="E424" s="4">
        <v>14</v>
      </c>
      <c r="F424" s="4">
        <v>12</v>
      </c>
      <c r="G424" s="1" t="s">
        <v>43</v>
      </c>
      <c r="H424" s="1" t="s">
        <v>61</v>
      </c>
      <c r="I424" s="5" t="s">
        <v>186</v>
      </c>
      <c r="J424" s="4">
        <v>45</v>
      </c>
      <c r="M424" s="1" t="s">
        <v>917</v>
      </c>
      <c r="N424" s="1" t="s">
        <v>11</v>
      </c>
      <c r="O424" s="1" t="s">
        <v>96</v>
      </c>
      <c r="P424" s="1" t="s">
        <v>31</v>
      </c>
      <c r="Q424" s="4">
        <v>19</v>
      </c>
      <c r="R424" s="4">
        <v>11</v>
      </c>
      <c r="S424" s="1" t="s">
        <v>43</v>
      </c>
      <c r="T424" s="1" t="s">
        <v>26</v>
      </c>
      <c r="U424" s="5" t="s">
        <v>918</v>
      </c>
      <c r="V424" s="4">
        <v>87</v>
      </c>
    </row>
    <row r="425" spans="1:22" x14ac:dyDescent="0.3">
      <c r="A425" s="1" t="s">
        <v>462</v>
      </c>
      <c r="B425" s="1" t="s">
        <v>11</v>
      </c>
      <c r="C425" s="1" t="s">
        <v>24</v>
      </c>
      <c r="D425" s="1" t="s">
        <v>31</v>
      </c>
      <c r="E425" s="4">
        <v>19</v>
      </c>
      <c r="F425" s="4">
        <v>12</v>
      </c>
      <c r="G425" s="1" t="s">
        <v>43</v>
      </c>
      <c r="H425" s="1" t="s">
        <v>37</v>
      </c>
      <c r="I425" s="5" t="s">
        <v>463</v>
      </c>
      <c r="J425" s="4">
        <v>45</v>
      </c>
      <c r="M425" s="1" t="s">
        <v>921</v>
      </c>
      <c r="N425" s="1" t="s">
        <v>18</v>
      </c>
      <c r="O425" s="1" t="s">
        <v>24</v>
      </c>
      <c r="P425" s="1" t="s">
        <v>13</v>
      </c>
      <c r="Q425" s="4">
        <v>19</v>
      </c>
      <c r="R425" s="4">
        <v>10</v>
      </c>
      <c r="S425" s="1" t="s">
        <v>14</v>
      </c>
      <c r="T425" s="1" t="s">
        <v>20</v>
      </c>
      <c r="U425" s="5" t="s">
        <v>922</v>
      </c>
      <c r="V425" s="4">
        <v>58</v>
      </c>
    </row>
    <row r="426" spans="1:22" x14ac:dyDescent="0.3">
      <c r="A426" s="1" t="s">
        <v>507</v>
      </c>
      <c r="B426" s="1" t="s">
        <v>54</v>
      </c>
      <c r="C426" s="1" t="s">
        <v>12</v>
      </c>
      <c r="D426" s="1" t="s">
        <v>31</v>
      </c>
      <c r="E426" s="4">
        <v>16</v>
      </c>
      <c r="F426" s="4">
        <v>12</v>
      </c>
      <c r="G426" s="1" t="s">
        <v>43</v>
      </c>
      <c r="H426" s="1" t="s">
        <v>61</v>
      </c>
      <c r="I426" s="5" t="s">
        <v>483</v>
      </c>
      <c r="J426" s="4">
        <v>45</v>
      </c>
      <c r="M426" s="1" t="s">
        <v>28</v>
      </c>
      <c r="N426" s="1" t="s">
        <v>29</v>
      </c>
      <c r="O426" s="1" t="s">
        <v>30</v>
      </c>
      <c r="P426" s="1" t="s">
        <v>31</v>
      </c>
      <c r="Q426" s="4">
        <v>20</v>
      </c>
      <c r="R426" s="4">
        <v>9</v>
      </c>
      <c r="S426" s="1" t="s">
        <v>32</v>
      </c>
      <c r="T426" s="1" t="s">
        <v>26</v>
      </c>
      <c r="U426" s="5" t="s">
        <v>33</v>
      </c>
      <c r="V426" s="4">
        <v>84</v>
      </c>
    </row>
    <row r="427" spans="1:22" x14ac:dyDescent="0.3">
      <c r="A427" s="1" t="s">
        <v>588</v>
      </c>
      <c r="B427" s="1" t="s">
        <v>68</v>
      </c>
      <c r="C427" s="1" t="s">
        <v>85</v>
      </c>
      <c r="D427" s="1" t="s">
        <v>31</v>
      </c>
      <c r="E427" s="4">
        <v>17</v>
      </c>
      <c r="F427" s="4">
        <v>9</v>
      </c>
      <c r="G427" s="1" t="s">
        <v>25</v>
      </c>
      <c r="H427" s="1" t="s">
        <v>61</v>
      </c>
      <c r="I427" s="5" t="s">
        <v>589</v>
      </c>
      <c r="J427" s="4">
        <v>45</v>
      </c>
      <c r="M427" s="1" t="s">
        <v>42</v>
      </c>
      <c r="N427" s="1" t="s">
        <v>29</v>
      </c>
      <c r="O427" s="1" t="s">
        <v>24</v>
      </c>
      <c r="P427" s="1" t="s">
        <v>31</v>
      </c>
      <c r="Q427" s="4">
        <v>20</v>
      </c>
      <c r="R427" s="4">
        <v>9</v>
      </c>
      <c r="S427" s="1" t="s">
        <v>43</v>
      </c>
      <c r="T427" s="1" t="s">
        <v>40</v>
      </c>
      <c r="U427" s="5" t="s">
        <v>44</v>
      </c>
      <c r="V427" s="4">
        <v>88</v>
      </c>
    </row>
    <row r="428" spans="1:22" x14ac:dyDescent="0.3">
      <c r="A428" s="1" t="s">
        <v>650</v>
      </c>
      <c r="B428" s="1" t="s">
        <v>23</v>
      </c>
      <c r="C428" s="1" t="s">
        <v>24</v>
      </c>
      <c r="D428" s="1" t="s">
        <v>13</v>
      </c>
      <c r="E428" s="4">
        <v>17</v>
      </c>
      <c r="F428" s="4">
        <v>12</v>
      </c>
      <c r="G428" s="1" t="s">
        <v>25</v>
      </c>
      <c r="H428" s="1" t="s">
        <v>46</v>
      </c>
      <c r="I428" s="5" t="s">
        <v>651</v>
      </c>
      <c r="J428" s="4">
        <v>45</v>
      </c>
      <c r="M428" s="1" t="s">
        <v>53</v>
      </c>
      <c r="N428" s="1" t="s">
        <v>54</v>
      </c>
      <c r="O428" s="1" t="s">
        <v>55</v>
      </c>
      <c r="P428" s="1" t="s">
        <v>31</v>
      </c>
      <c r="Q428" s="4">
        <v>20</v>
      </c>
      <c r="R428" s="4">
        <v>10</v>
      </c>
      <c r="S428" s="1" t="s">
        <v>25</v>
      </c>
      <c r="T428" s="1" t="s">
        <v>40</v>
      </c>
      <c r="U428" s="5" t="s">
        <v>56</v>
      </c>
      <c r="V428" s="4">
        <v>59</v>
      </c>
    </row>
    <row r="429" spans="1:22" x14ac:dyDescent="0.3">
      <c r="A429" s="1" t="s">
        <v>652</v>
      </c>
      <c r="B429" s="1" t="s">
        <v>51</v>
      </c>
      <c r="C429" s="1" t="s">
        <v>55</v>
      </c>
      <c r="D429" s="1" t="s">
        <v>13</v>
      </c>
      <c r="E429" s="4">
        <v>16</v>
      </c>
      <c r="F429" s="4">
        <v>12</v>
      </c>
      <c r="G429" s="1" t="s">
        <v>32</v>
      </c>
      <c r="H429" s="1" t="s">
        <v>61</v>
      </c>
      <c r="I429" s="5" t="s">
        <v>653</v>
      </c>
      <c r="J429" s="4">
        <v>45</v>
      </c>
      <c r="M429" s="1" t="s">
        <v>65</v>
      </c>
      <c r="N429" s="1" t="s">
        <v>23</v>
      </c>
      <c r="O429" s="1" t="s">
        <v>30</v>
      </c>
      <c r="P429" s="1" t="s">
        <v>13</v>
      </c>
      <c r="Q429" s="4">
        <v>20</v>
      </c>
      <c r="R429" s="4">
        <v>12</v>
      </c>
      <c r="S429" s="1" t="s">
        <v>14</v>
      </c>
      <c r="T429" s="1" t="s">
        <v>40</v>
      </c>
      <c r="U429" s="5" t="s">
        <v>66</v>
      </c>
      <c r="V429" s="4">
        <v>62</v>
      </c>
    </row>
    <row r="430" spans="1:22" x14ac:dyDescent="0.3">
      <c r="A430" s="1" t="s">
        <v>868</v>
      </c>
      <c r="B430" s="1" t="s">
        <v>84</v>
      </c>
      <c r="C430" s="1" t="s">
        <v>30</v>
      </c>
      <c r="D430" s="1" t="s">
        <v>31</v>
      </c>
      <c r="E430" s="4">
        <v>15</v>
      </c>
      <c r="F430" s="4">
        <v>9</v>
      </c>
      <c r="G430" s="1" t="s">
        <v>43</v>
      </c>
      <c r="H430" s="1" t="s">
        <v>61</v>
      </c>
      <c r="I430" s="5" t="s">
        <v>151</v>
      </c>
      <c r="J430" s="4">
        <v>45</v>
      </c>
      <c r="M430" s="1" t="s">
        <v>67</v>
      </c>
      <c r="N430" s="1" t="s">
        <v>68</v>
      </c>
      <c r="O430" s="1" t="s">
        <v>19</v>
      </c>
      <c r="P430" s="1" t="s">
        <v>13</v>
      </c>
      <c r="Q430" s="4">
        <v>20</v>
      </c>
      <c r="R430" s="4">
        <v>9</v>
      </c>
      <c r="S430" s="1" t="s">
        <v>14</v>
      </c>
      <c r="T430" s="1" t="s">
        <v>20</v>
      </c>
      <c r="U430" s="5" t="s">
        <v>69</v>
      </c>
      <c r="V430" s="4">
        <v>55</v>
      </c>
    </row>
    <row r="431" spans="1:22" x14ac:dyDescent="0.3">
      <c r="A431" s="1" t="s">
        <v>312</v>
      </c>
      <c r="B431" s="1" t="s">
        <v>29</v>
      </c>
      <c r="C431" s="1" t="s">
        <v>12</v>
      </c>
      <c r="D431" s="1" t="s">
        <v>31</v>
      </c>
      <c r="E431" s="4">
        <v>14</v>
      </c>
      <c r="F431" s="4">
        <v>12</v>
      </c>
      <c r="G431" s="1" t="s">
        <v>43</v>
      </c>
      <c r="H431" s="1" t="s">
        <v>61</v>
      </c>
      <c r="I431" s="5" t="s">
        <v>313</v>
      </c>
      <c r="J431" s="4">
        <v>44</v>
      </c>
      <c r="M431" s="1" t="s">
        <v>87</v>
      </c>
      <c r="N431" s="1" t="s">
        <v>18</v>
      </c>
      <c r="O431" s="1" t="s">
        <v>12</v>
      </c>
      <c r="P431" s="1" t="s">
        <v>13</v>
      </c>
      <c r="Q431" s="4">
        <v>20</v>
      </c>
      <c r="R431" s="4">
        <v>12</v>
      </c>
      <c r="S431" s="1" t="s">
        <v>32</v>
      </c>
      <c r="T431" s="1" t="s">
        <v>26</v>
      </c>
      <c r="U431" s="5" t="s">
        <v>88</v>
      </c>
      <c r="V431" s="4">
        <v>86</v>
      </c>
    </row>
    <row r="432" spans="1:22" x14ac:dyDescent="0.3">
      <c r="A432" s="1" t="s">
        <v>503</v>
      </c>
      <c r="B432" s="1" t="s">
        <v>84</v>
      </c>
      <c r="C432" s="1" t="s">
        <v>19</v>
      </c>
      <c r="D432" s="1" t="s">
        <v>31</v>
      </c>
      <c r="E432" s="4">
        <v>15</v>
      </c>
      <c r="F432" s="4">
        <v>10</v>
      </c>
      <c r="G432" s="1" t="s">
        <v>43</v>
      </c>
      <c r="H432" s="1" t="s">
        <v>61</v>
      </c>
      <c r="I432" s="5" t="s">
        <v>504</v>
      </c>
      <c r="J432" s="4">
        <v>44</v>
      </c>
      <c r="M432" s="1" t="s">
        <v>91</v>
      </c>
      <c r="N432" s="1" t="s">
        <v>73</v>
      </c>
      <c r="O432" s="1" t="s">
        <v>12</v>
      </c>
      <c r="P432" s="1" t="s">
        <v>13</v>
      </c>
      <c r="Q432" s="4">
        <v>20</v>
      </c>
      <c r="R432" s="4">
        <v>10</v>
      </c>
      <c r="S432" s="1" t="s">
        <v>43</v>
      </c>
      <c r="T432" s="1" t="s">
        <v>46</v>
      </c>
      <c r="U432" s="5" t="s">
        <v>92</v>
      </c>
      <c r="V432" s="4">
        <v>82</v>
      </c>
    </row>
    <row r="433" spans="1:22" x14ac:dyDescent="0.3">
      <c r="A433" s="1" t="s">
        <v>531</v>
      </c>
      <c r="B433" s="1" t="s">
        <v>23</v>
      </c>
      <c r="C433" s="1" t="s">
        <v>36</v>
      </c>
      <c r="D433" s="1" t="s">
        <v>13</v>
      </c>
      <c r="E433" s="4">
        <v>20</v>
      </c>
      <c r="F433" s="4">
        <v>11</v>
      </c>
      <c r="G433" s="1" t="s">
        <v>43</v>
      </c>
      <c r="H433" s="1" t="s">
        <v>20</v>
      </c>
      <c r="I433" s="5" t="s">
        <v>178</v>
      </c>
      <c r="J433" s="4">
        <v>44</v>
      </c>
      <c r="M433" s="1" t="s">
        <v>102</v>
      </c>
      <c r="N433" s="1" t="s">
        <v>35</v>
      </c>
      <c r="O433" s="1" t="s">
        <v>12</v>
      </c>
      <c r="P433" s="1" t="s">
        <v>13</v>
      </c>
      <c r="Q433" s="4">
        <v>20</v>
      </c>
      <c r="R433" s="4">
        <v>11</v>
      </c>
      <c r="S433" s="1" t="s">
        <v>14</v>
      </c>
      <c r="T433" s="1" t="s">
        <v>26</v>
      </c>
      <c r="U433" s="5" t="s">
        <v>103</v>
      </c>
      <c r="V433" s="4">
        <v>70</v>
      </c>
    </row>
    <row r="434" spans="1:22" x14ac:dyDescent="0.3">
      <c r="A434" s="1" t="s">
        <v>679</v>
      </c>
      <c r="B434" s="1" t="s">
        <v>18</v>
      </c>
      <c r="C434" s="1" t="s">
        <v>96</v>
      </c>
      <c r="D434" s="1" t="s">
        <v>13</v>
      </c>
      <c r="E434" s="4">
        <v>14</v>
      </c>
      <c r="F434" s="4">
        <v>12</v>
      </c>
      <c r="G434" s="1" t="s">
        <v>32</v>
      </c>
      <c r="H434" s="1" t="s">
        <v>46</v>
      </c>
      <c r="I434" s="5" t="s">
        <v>680</v>
      </c>
      <c r="J434" s="4">
        <v>44</v>
      </c>
      <c r="M434" s="1" t="s">
        <v>106</v>
      </c>
      <c r="N434" s="1" t="s">
        <v>51</v>
      </c>
      <c r="O434" s="1" t="s">
        <v>55</v>
      </c>
      <c r="P434" s="1" t="s">
        <v>13</v>
      </c>
      <c r="Q434" s="4">
        <v>20</v>
      </c>
      <c r="R434" s="4">
        <v>9</v>
      </c>
      <c r="S434" s="1" t="s">
        <v>32</v>
      </c>
      <c r="T434" s="1" t="s">
        <v>26</v>
      </c>
      <c r="U434" s="5" t="s">
        <v>107</v>
      </c>
      <c r="V434" s="4">
        <v>91</v>
      </c>
    </row>
    <row r="435" spans="1:22" x14ac:dyDescent="0.3">
      <c r="A435" s="1" t="s">
        <v>811</v>
      </c>
      <c r="B435" s="1" t="s">
        <v>29</v>
      </c>
      <c r="C435" s="1" t="s">
        <v>58</v>
      </c>
      <c r="D435" s="1" t="s">
        <v>13</v>
      </c>
      <c r="E435" s="4">
        <v>20</v>
      </c>
      <c r="F435" s="4">
        <v>11</v>
      </c>
      <c r="G435" s="1" t="s">
        <v>14</v>
      </c>
      <c r="H435" s="1" t="s">
        <v>61</v>
      </c>
      <c r="I435" s="5" t="s">
        <v>358</v>
      </c>
      <c r="J435" s="4">
        <v>44</v>
      </c>
      <c r="M435" s="1" t="s">
        <v>114</v>
      </c>
      <c r="N435" s="1" t="s">
        <v>73</v>
      </c>
      <c r="O435" s="1" t="s">
        <v>58</v>
      </c>
      <c r="P435" s="1" t="s">
        <v>13</v>
      </c>
      <c r="Q435" s="4">
        <v>20</v>
      </c>
      <c r="R435" s="4">
        <v>9</v>
      </c>
      <c r="S435" s="1" t="s">
        <v>25</v>
      </c>
      <c r="T435" s="1" t="s">
        <v>46</v>
      </c>
      <c r="U435" s="5" t="s">
        <v>115</v>
      </c>
      <c r="V435" s="4">
        <v>40</v>
      </c>
    </row>
    <row r="436" spans="1:22" x14ac:dyDescent="0.3">
      <c r="A436" s="1" t="s">
        <v>845</v>
      </c>
      <c r="B436" s="1" t="s">
        <v>11</v>
      </c>
      <c r="C436" s="1" t="s">
        <v>19</v>
      </c>
      <c r="D436" s="1" t="s">
        <v>31</v>
      </c>
      <c r="E436" s="4">
        <v>19</v>
      </c>
      <c r="F436" s="4">
        <v>11</v>
      </c>
      <c r="G436" s="1" t="s">
        <v>43</v>
      </c>
      <c r="H436" s="1" t="s">
        <v>76</v>
      </c>
      <c r="I436" s="5" t="s">
        <v>282</v>
      </c>
      <c r="J436" s="4">
        <v>44</v>
      </c>
      <c r="M436" s="1" t="s">
        <v>118</v>
      </c>
      <c r="N436" s="1" t="s">
        <v>84</v>
      </c>
      <c r="O436" s="1" t="s">
        <v>58</v>
      </c>
      <c r="P436" s="1" t="s">
        <v>31</v>
      </c>
      <c r="Q436" s="4">
        <v>20</v>
      </c>
      <c r="R436" s="4">
        <v>10</v>
      </c>
      <c r="S436" s="1" t="s">
        <v>32</v>
      </c>
      <c r="T436" s="1" t="s">
        <v>26</v>
      </c>
      <c r="U436" s="5" t="s">
        <v>119</v>
      </c>
      <c r="V436" s="4">
        <v>52</v>
      </c>
    </row>
    <row r="437" spans="1:22" x14ac:dyDescent="0.3">
      <c r="A437" s="1" t="s">
        <v>57</v>
      </c>
      <c r="B437" s="1" t="s">
        <v>51</v>
      </c>
      <c r="C437" s="1" t="s">
        <v>58</v>
      </c>
      <c r="D437" s="1" t="s">
        <v>13</v>
      </c>
      <c r="E437" s="4">
        <v>14</v>
      </c>
      <c r="F437" s="4">
        <v>12</v>
      </c>
      <c r="G437" s="1" t="s">
        <v>32</v>
      </c>
      <c r="H437" s="1" t="s">
        <v>40</v>
      </c>
      <c r="I437" s="5" t="s">
        <v>59</v>
      </c>
      <c r="J437" s="4">
        <v>43</v>
      </c>
      <c r="M437" s="1" t="s">
        <v>120</v>
      </c>
      <c r="N437" s="1" t="s">
        <v>35</v>
      </c>
      <c r="O437" s="1" t="s">
        <v>36</v>
      </c>
      <c r="P437" s="1" t="s">
        <v>31</v>
      </c>
      <c r="Q437" s="4">
        <v>20</v>
      </c>
      <c r="R437" s="4">
        <v>10</v>
      </c>
      <c r="S437" s="1" t="s">
        <v>43</v>
      </c>
      <c r="T437" s="1" t="s">
        <v>61</v>
      </c>
      <c r="U437" s="5" t="s">
        <v>121</v>
      </c>
      <c r="V437" s="4">
        <v>37</v>
      </c>
    </row>
    <row r="438" spans="1:22" x14ac:dyDescent="0.3">
      <c r="A438" s="1" t="s">
        <v>607</v>
      </c>
      <c r="B438" s="1" t="s">
        <v>68</v>
      </c>
      <c r="C438" s="1" t="s">
        <v>55</v>
      </c>
      <c r="D438" s="1" t="s">
        <v>13</v>
      </c>
      <c r="E438" s="4">
        <v>19</v>
      </c>
      <c r="F438" s="4">
        <v>11</v>
      </c>
      <c r="G438" s="1" t="s">
        <v>25</v>
      </c>
      <c r="H438" s="1" t="s">
        <v>20</v>
      </c>
      <c r="I438" s="5" t="s">
        <v>608</v>
      </c>
      <c r="J438" s="4">
        <v>43</v>
      </c>
      <c r="M438" s="1" t="s">
        <v>134</v>
      </c>
      <c r="N438" s="1" t="s">
        <v>23</v>
      </c>
      <c r="O438" s="1" t="s">
        <v>30</v>
      </c>
      <c r="P438" s="1" t="s">
        <v>31</v>
      </c>
      <c r="Q438" s="4">
        <v>20</v>
      </c>
      <c r="R438" s="4">
        <v>9</v>
      </c>
      <c r="S438" s="1" t="s">
        <v>14</v>
      </c>
      <c r="T438" s="1" t="s">
        <v>15</v>
      </c>
      <c r="U438" s="5" t="s">
        <v>135</v>
      </c>
      <c r="V438" s="4">
        <v>50</v>
      </c>
    </row>
    <row r="439" spans="1:22" x14ac:dyDescent="0.3">
      <c r="A439" s="1" t="s">
        <v>640</v>
      </c>
      <c r="B439" s="1" t="s">
        <v>84</v>
      </c>
      <c r="C439" s="1" t="s">
        <v>79</v>
      </c>
      <c r="D439" s="1" t="s">
        <v>31</v>
      </c>
      <c r="E439" s="4">
        <v>14</v>
      </c>
      <c r="F439" s="4">
        <v>9</v>
      </c>
      <c r="G439" s="1" t="s">
        <v>14</v>
      </c>
      <c r="H439" s="1" t="s">
        <v>37</v>
      </c>
      <c r="I439" s="5" t="s">
        <v>641</v>
      </c>
      <c r="J439" s="4">
        <v>43</v>
      </c>
      <c r="M439" s="1" t="s">
        <v>144</v>
      </c>
      <c r="N439" s="1" t="s">
        <v>73</v>
      </c>
      <c r="O439" s="1" t="s">
        <v>12</v>
      </c>
      <c r="P439" s="1" t="s">
        <v>31</v>
      </c>
      <c r="Q439" s="4">
        <v>20</v>
      </c>
      <c r="R439" s="4">
        <v>10</v>
      </c>
      <c r="S439" s="1" t="s">
        <v>14</v>
      </c>
      <c r="T439" s="1" t="s">
        <v>26</v>
      </c>
      <c r="U439" s="5" t="s">
        <v>145</v>
      </c>
      <c r="V439" s="4">
        <v>71</v>
      </c>
    </row>
    <row r="440" spans="1:22" x14ac:dyDescent="0.3">
      <c r="A440" s="1" t="s">
        <v>721</v>
      </c>
      <c r="B440" s="1" t="s">
        <v>23</v>
      </c>
      <c r="C440" s="1" t="s">
        <v>19</v>
      </c>
      <c r="D440" s="1" t="s">
        <v>31</v>
      </c>
      <c r="E440" s="4">
        <v>18</v>
      </c>
      <c r="F440" s="4">
        <v>10</v>
      </c>
      <c r="G440" s="1" t="s">
        <v>14</v>
      </c>
      <c r="H440" s="1" t="s">
        <v>26</v>
      </c>
      <c r="I440" s="5" t="s">
        <v>722</v>
      </c>
      <c r="J440" s="4">
        <v>43</v>
      </c>
      <c r="M440" s="1" t="s">
        <v>146</v>
      </c>
      <c r="N440" s="1" t="s">
        <v>35</v>
      </c>
      <c r="O440" s="1" t="s">
        <v>30</v>
      </c>
      <c r="P440" s="1" t="s">
        <v>31</v>
      </c>
      <c r="Q440" s="4">
        <v>20</v>
      </c>
      <c r="R440" s="4">
        <v>9</v>
      </c>
      <c r="S440" s="1" t="s">
        <v>43</v>
      </c>
      <c r="T440" s="1" t="s">
        <v>15</v>
      </c>
      <c r="U440" s="5" t="s">
        <v>147</v>
      </c>
      <c r="V440" s="4">
        <v>40</v>
      </c>
    </row>
    <row r="441" spans="1:22" x14ac:dyDescent="0.3">
      <c r="A441" s="1" t="s">
        <v>804</v>
      </c>
      <c r="B441" s="1" t="s">
        <v>54</v>
      </c>
      <c r="C441" s="1" t="s">
        <v>79</v>
      </c>
      <c r="D441" s="1" t="s">
        <v>13</v>
      </c>
      <c r="E441" s="4">
        <v>19</v>
      </c>
      <c r="F441" s="4">
        <v>9</v>
      </c>
      <c r="G441" s="1" t="s">
        <v>25</v>
      </c>
      <c r="H441" s="1" t="s">
        <v>61</v>
      </c>
      <c r="I441" s="5" t="s">
        <v>56</v>
      </c>
      <c r="J441" s="4">
        <v>43</v>
      </c>
      <c r="M441" s="1" t="s">
        <v>162</v>
      </c>
      <c r="N441" s="1" t="s">
        <v>73</v>
      </c>
      <c r="O441" s="1" t="s">
        <v>36</v>
      </c>
      <c r="P441" s="1" t="s">
        <v>31</v>
      </c>
      <c r="Q441" s="4">
        <v>20</v>
      </c>
      <c r="R441" s="4">
        <v>9</v>
      </c>
      <c r="S441" s="1" t="s">
        <v>32</v>
      </c>
      <c r="T441" s="1" t="s">
        <v>20</v>
      </c>
      <c r="U441" s="5" t="s">
        <v>163</v>
      </c>
      <c r="V441" s="4">
        <v>49</v>
      </c>
    </row>
    <row r="442" spans="1:22" x14ac:dyDescent="0.3">
      <c r="A442" s="1" t="s">
        <v>824</v>
      </c>
      <c r="B442" s="1" t="s">
        <v>54</v>
      </c>
      <c r="C442" s="1" t="s">
        <v>19</v>
      </c>
      <c r="D442" s="1" t="s">
        <v>31</v>
      </c>
      <c r="E442" s="4">
        <v>20</v>
      </c>
      <c r="F442" s="4">
        <v>9</v>
      </c>
      <c r="G442" s="1" t="s">
        <v>14</v>
      </c>
      <c r="H442" s="1" t="s">
        <v>37</v>
      </c>
      <c r="I442" s="5" t="s">
        <v>825</v>
      </c>
      <c r="J442" s="4">
        <v>43</v>
      </c>
      <c r="M442" s="1" t="s">
        <v>175</v>
      </c>
      <c r="N442" s="1" t="s">
        <v>35</v>
      </c>
      <c r="O442" s="1" t="s">
        <v>30</v>
      </c>
      <c r="P442" s="1" t="s">
        <v>31</v>
      </c>
      <c r="Q442" s="4">
        <v>20</v>
      </c>
      <c r="R442" s="4">
        <v>9</v>
      </c>
      <c r="S442" s="1" t="s">
        <v>14</v>
      </c>
      <c r="T442" s="1" t="s">
        <v>61</v>
      </c>
      <c r="U442" s="5" t="s">
        <v>176</v>
      </c>
      <c r="V442" s="4">
        <v>76</v>
      </c>
    </row>
    <row r="443" spans="1:22" x14ac:dyDescent="0.3">
      <c r="A443" s="1" t="s">
        <v>843</v>
      </c>
      <c r="B443" s="1" t="s">
        <v>54</v>
      </c>
      <c r="C443" s="1" t="s">
        <v>12</v>
      </c>
      <c r="D443" s="1" t="s">
        <v>31</v>
      </c>
      <c r="E443" s="4">
        <v>17</v>
      </c>
      <c r="F443" s="4">
        <v>10</v>
      </c>
      <c r="G443" s="1" t="s">
        <v>25</v>
      </c>
      <c r="H443" s="1" t="s">
        <v>40</v>
      </c>
      <c r="I443" s="5" t="s">
        <v>844</v>
      </c>
      <c r="J443" s="4">
        <v>43</v>
      </c>
      <c r="M443" s="1" t="s">
        <v>194</v>
      </c>
      <c r="N443" s="1" t="s">
        <v>23</v>
      </c>
      <c r="O443" s="1" t="s">
        <v>19</v>
      </c>
      <c r="P443" s="1" t="s">
        <v>31</v>
      </c>
      <c r="Q443" s="4">
        <v>20</v>
      </c>
      <c r="R443" s="4">
        <v>9</v>
      </c>
      <c r="S443" s="1" t="s">
        <v>25</v>
      </c>
      <c r="T443" s="1" t="s">
        <v>76</v>
      </c>
      <c r="U443" s="5" t="s">
        <v>195</v>
      </c>
      <c r="V443" s="4">
        <v>76</v>
      </c>
    </row>
    <row r="444" spans="1:22" x14ac:dyDescent="0.3">
      <c r="A444" s="1" t="s">
        <v>63</v>
      </c>
      <c r="B444" s="1" t="s">
        <v>11</v>
      </c>
      <c r="C444" s="1" t="s">
        <v>55</v>
      </c>
      <c r="D444" s="1" t="s">
        <v>13</v>
      </c>
      <c r="E444" s="4">
        <v>16</v>
      </c>
      <c r="F444" s="4">
        <v>10</v>
      </c>
      <c r="G444" s="1" t="s">
        <v>25</v>
      </c>
      <c r="H444" s="1" t="s">
        <v>26</v>
      </c>
      <c r="I444" s="5" t="s">
        <v>64</v>
      </c>
      <c r="J444" s="4">
        <v>42</v>
      </c>
      <c r="M444" s="1" t="s">
        <v>225</v>
      </c>
      <c r="N444" s="1" t="s">
        <v>35</v>
      </c>
      <c r="O444" s="1" t="s">
        <v>85</v>
      </c>
      <c r="P444" s="1" t="s">
        <v>13</v>
      </c>
      <c r="Q444" s="4">
        <v>20</v>
      </c>
      <c r="R444" s="4">
        <v>9</v>
      </c>
      <c r="S444" s="1" t="s">
        <v>14</v>
      </c>
      <c r="T444" s="1" t="s">
        <v>40</v>
      </c>
      <c r="U444" s="5" t="s">
        <v>226</v>
      </c>
      <c r="V444" s="4">
        <v>55</v>
      </c>
    </row>
    <row r="445" spans="1:22" x14ac:dyDescent="0.3">
      <c r="A445" s="1" t="s">
        <v>70</v>
      </c>
      <c r="B445" s="1" t="s">
        <v>51</v>
      </c>
      <c r="C445" s="1" t="s">
        <v>36</v>
      </c>
      <c r="D445" s="1" t="s">
        <v>13</v>
      </c>
      <c r="E445" s="4">
        <v>14</v>
      </c>
      <c r="F445" s="4">
        <v>12</v>
      </c>
      <c r="G445" s="1" t="s">
        <v>25</v>
      </c>
      <c r="H445" s="1" t="s">
        <v>37</v>
      </c>
      <c r="I445" s="5" t="s">
        <v>71</v>
      </c>
      <c r="J445" s="4">
        <v>42</v>
      </c>
      <c r="M445" s="1" t="s">
        <v>255</v>
      </c>
      <c r="N445" s="1" t="s">
        <v>51</v>
      </c>
      <c r="O445" s="1" t="s">
        <v>79</v>
      </c>
      <c r="P445" s="1" t="s">
        <v>31</v>
      </c>
      <c r="Q445" s="4">
        <v>20</v>
      </c>
      <c r="R445" s="4">
        <v>12</v>
      </c>
      <c r="S445" s="1" t="s">
        <v>43</v>
      </c>
      <c r="T445" s="1" t="s">
        <v>40</v>
      </c>
      <c r="U445" s="5" t="s">
        <v>256</v>
      </c>
      <c r="V445" s="4">
        <v>48</v>
      </c>
    </row>
    <row r="446" spans="1:22" x14ac:dyDescent="0.3">
      <c r="A446" s="1" t="s">
        <v>332</v>
      </c>
      <c r="B446" s="1" t="s">
        <v>29</v>
      </c>
      <c r="C446" s="1" t="s">
        <v>12</v>
      </c>
      <c r="D446" s="1" t="s">
        <v>31</v>
      </c>
      <c r="E446" s="4">
        <v>16</v>
      </c>
      <c r="F446" s="4">
        <v>11</v>
      </c>
      <c r="G446" s="1" t="s">
        <v>32</v>
      </c>
      <c r="H446" s="1" t="s">
        <v>76</v>
      </c>
      <c r="I446" s="5" t="s">
        <v>333</v>
      </c>
      <c r="J446" s="4">
        <v>42</v>
      </c>
      <c r="M446" s="1" t="s">
        <v>257</v>
      </c>
      <c r="N446" s="1" t="s">
        <v>68</v>
      </c>
      <c r="O446" s="1" t="s">
        <v>79</v>
      </c>
      <c r="P446" s="1" t="s">
        <v>31</v>
      </c>
      <c r="Q446" s="4">
        <v>20</v>
      </c>
      <c r="R446" s="4">
        <v>11</v>
      </c>
      <c r="S446" s="1" t="s">
        <v>43</v>
      </c>
      <c r="T446" s="1" t="s">
        <v>46</v>
      </c>
      <c r="U446" s="5" t="s">
        <v>258</v>
      </c>
      <c r="V446" s="4">
        <v>52</v>
      </c>
    </row>
    <row r="447" spans="1:22" x14ac:dyDescent="0.3">
      <c r="A447" s="1" t="s">
        <v>408</v>
      </c>
      <c r="B447" s="1" t="s">
        <v>51</v>
      </c>
      <c r="C447" s="1" t="s">
        <v>85</v>
      </c>
      <c r="D447" s="1" t="s">
        <v>13</v>
      </c>
      <c r="E447" s="4">
        <v>17</v>
      </c>
      <c r="F447" s="4">
        <v>11</v>
      </c>
      <c r="G447" s="1" t="s">
        <v>25</v>
      </c>
      <c r="H447" s="1" t="s">
        <v>46</v>
      </c>
      <c r="I447" s="5" t="s">
        <v>52</v>
      </c>
      <c r="J447" s="4">
        <v>42</v>
      </c>
      <c r="M447" s="1" t="s">
        <v>293</v>
      </c>
      <c r="N447" s="1" t="s">
        <v>73</v>
      </c>
      <c r="O447" s="1" t="s">
        <v>96</v>
      </c>
      <c r="P447" s="1" t="s">
        <v>31</v>
      </c>
      <c r="Q447" s="4">
        <v>20</v>
      </c>
      <c r="R447" s="4">
        <v>9</v>
      </c>
      <c r="S447" s="1" t="s">
        <v>43</v>
      </c>
      <c r="T447" s="1" t="s">
        <v>26</v>
      </c>
      <c r="U447" s="5" t="s">
        <v>74</v>
      </c>
      <c r="V447" s="4">
        <v>100</v>
      </c>
    </row>
    <row r="448" spans="1:22" x14ac:dyDescent="0.3">
      <c r="A448" s="1" t="s">
        <v>484</v>
      </c>
      <c r="B448" s="1" t="s">
        <v>29</v>
      </c>
      <c r="C448" s="1" t="s">
        <v>79</v>
      </c>
      <c r="D448" s="1" t="s">
        <v>31</v>
      </c>
      <c r="E448" s="4">
        <v>14</v>
      </c>
      <c r="F448" s="4">
        <v>11</v>
      </c>
      <c r="G448" s="1" t="s">
        <v>32</v>
      </c>
      <c r="H448" s="1" t="s">
        <v>40</v>
      </c>
      <c r="I448" s="5" t="s">
        <v>184</v>
      </c>
      <c r="J448" s="4">
        <v>42</v>
      </c>
      <c r="M448" s="1" t="s">
        <v>294</v>
      </c>
      <c r="N448" s="1" t="s">
        <v>35</v>
      </c>
      <c r="O448" s="1" t="s">
        <v>55</v>
      </c>
      <c r="P448" s="1" t="s">
        <v>13</v>
      </c>
      <c r="Q448" s="4">
        <v>20</v>
      </c>
      <c r="R448" s="4">
        <v>9</v>
      </c>
      <c r="S448" s="1" t="s">
        <v>25</v>
      </c>
      <c r="T448" s="1" t="s">
        <v>46</v>
      </c>
      <c r="U448" s="5" t="s">
        <v>295</v>
      </c>
      <c r="V448" s="4">
        <v>99</v>
      </c>
    </row>
    <row r="449" spans="1:22" x14ac:dyDescent="0.3">
      <c r="A449" s="1" t="s">
        <v>497</v>
      </c>
      <c r="B449" s="1" t="s">
        <v>51</v>
      </c>
      <c r="C449" s="1" t="s">
        <v>96</v>
      </c>
      <c r="D449" s="1" t="s">
        <v>13</v>
      </c>
      <c r="E449" s="4">
        <v>16</v>
      </c>
      <c r="F449" s="4">
        <v>9</v>
      </c>
      <c r="G449" s="1" t="s">
        <v>25</v>
      </c>
      <c r="H449" s="1" t="s">
        <v>26</v>
      </c>
      <c r="I449" s="5" t="s">
        <v>498</v>
      </c>
      <c r="J449" s="4">
        <v>42</v>
      </c>
      <c r="M449" s="1" t="s">
        <v>296</v>
      </c>
      <c r="N449" s="1" t="s">
        <v>84</v>
      </c>
      <c r="O449" s="1" t="s">
        <v>19</v>
      </c>
      <c r="P449" s="1" t="s">
        <v>31</v>
      </c>
      <c r="Q449" s="4">
        <v>20</v>
      </c>
      <c r="R449" s="4">
        <v>10</v>
      </c>
      <c r="S449" s="1" t="s">
        <v>43</v>
      </c>
      <c r="T449" s="1" t="s">
        <v>20</v>
      </c>
      <c r="U449" s="5" t="s">
        <v>297</v>
      </c>
      <c r="V449" s="4">
        <v>100</v>
      </c>
    </row>
    <row r="450" spans="1:22" x14ac:dyDescent="0.3">
      <c r="A450" s="1" t="s">
        <v>499</v>
      </c>
      <c r="B450" s="1" t="s">
        <v>54</v>
      </c>
      <c r="C450" s="1" t="s">
        <v>19</v>
      </c>
      <c r="D450" s="1" t="s">
        <v>31</v>
      </c>
      <c r="E450" s="4">
        <v>20</v>
      </c>
      <c r="F450" s="4">
        <v>9</v>
      </c>
      <c r="G450" s="1" t="s">
        <v>32</v>
      </c>
      <c r="H450" s="1" t="s">
        <v>46</v>
      </c>
      <c r="I450" s="5" t="s">
        <v>500</v>
      </c>
      <c r="J450" s="4">
        <v>42</v>
      </c>
      <c r="M450" s="1" t="s">
        <v>298</v>
      </c>
      <c r="N450" s="1" t="s">
        <v>29</v>
      </c>
      <c r="O450" s="1" t="s">
        <v>96</v>
      </c>
      <c r="P450" s="1" t="s">
        <v>31</v>
      </c>
      <c r="Q450" s="4">
        <v>20</v>
      </c>
      <c r="R450" s="4">
        <v>10</v>
      </c>
      <c r="S450" s="1" t="s">
        <v>32</v>
      </c>
      <c r="T450" s="1" t="s">
        <v>26</v>
      </c>
      <c r="U450" s="5" t="s">
        <v>299</v>
      </c>
      <c r="V450" s="4">
        <v>56</v>
      </c>
    </row>
    <row r="451" spans="1:22" x14ac:dyDescent="0.3">
      <c r="A451" s="1" t="s">
        <v>520</v>
      </c>
      <c r="B451" s="1" t="s">
        <v>68</v>
      </c>
      <c r="C451" s="1" t="s">
        <v>12</v>
      </c>
      <c r="D451" s="1" t="s">
        <v>31</v>
      </c>
      <c r="E451" s="4">
        <v>20</v>
      </c>
      <c r="F451" s="4">
        <v>10</v>
      </c>
      <c r="G451" s="1" t="s">
        <v>32</v>
      </c>
      <c r="H451" s="1" t="s">
        <v>26</v>
      </c>
      <c r="I451" s="5" t="s">
        <v>521</v>
      </c>
      <c r="J451" s="4">
        <v>42</v>
      </c>
      <c r="M451" s="1" t="s">
        <v>316</v>
      </c>
      <c r="N451" s="1" t="s">
        <v>23</v>
      </c>
      <c r="O451" s="1" t="s">
        <v>36</v>
      </c>
      <c r="P451" s="1" t="s">
        <v>31</v>
      </c>
      <c r="Q451" s="4">
        <v>20</v>
      </c>
      <c r="R451" s="4">
        <v>11</v>
      </c>
      <c r="S451" s="1" t="s">
        <v>14</v>
      </c>
      <c r="T451" s="1" t="s">
        <v>37</v>
      </c>
      <c r="U451" s="5" t="s">
        <v>317</v>
      </c>
      <c r="V451" s="4">
        <v>52</v>
      </c>
    </row>
    <row r="452" spans="1:22" x14ac:dyDescent="0.3">
      <c r="A452" s="1" t="s">
        <v>537</v>
      </c>
      <c r="B452" s="1" t="s">
        <v>68</v>
      </c>
      <c r="C452" s="1" t="s">
        <v>36</v>
      </c>
      <c r="D452" s="1" t="s">
        <v>31</v>
      </c>
      <c r="E452" s="4">
        <v>16</v>
      </c>
      <c r="F452" s="4">
        <v>12</v>
      </c>
      <c r="G452" s="1" t="s">
        <v>25</v>
      </c>
      <c r="H452" s="1" t="s">
        <v>26</v>
      </c>
      <c r="I452" s="5" t="s">
        <v>538</v>
      </c>
      <c r="J452" s="4">
        <v>42</v>
      </c>
      <c r="M452" s="1" t="s">
        <v>326</v>
      </c>
      <c r="N452" s="1" t="s">
        <v>54</v>
      </c>
      <c r="O452" s="1" t="s">
        <v>55</v>
      </c>
      <c r="P452" s="1" t="s">
        <v>13</v>
      </c>
      <c r="Q452" s="4">
        <v>20</v>
      </c>
      <c r="R452" s="4">
        <v>9</v>
      </c>
      <c r="S452" s="1" t="s">
        <v>32</v>
      </c>
      <c r="T452" s="1" t="s">
        <v>15</v>
      </c>
      <c r="U452" s="5" t="s">
        <v>77</v>
      </c>
      <c r="V452" s="4">
        <v>75</v>
      </c>
    </row>
    <row r="453" spans="1:22" x14ac:dyDescent="0.3">
      <c r="A453" s="1" t="s">
        <v>654</v>
      </c>
      <c r="B453" s="1" t="s">
        <v>18</v>
      </c>
      <c r="C453" s="1" t="s">
        <v>24</v>
      </c>
      <c r="D453" s="1" t="s">
        <v>31</v>
      </c>
      <c r="E453" s="4">
        <v>14</v>
      </c>
      <c r="F453" s="4">
        <v>12</v>
      </c>
      <c r="G453" s="1" t="s">
        <v>14</v>
      </c>
      <c r="H453" s="1" t="s">
        <v>46</v>
      </c>
      <c r="I453" s="5" t="s">
        <v>655</v>
      </c>
      <c r="J453" s="4">
        <v>42</v>
      </c>
      <c r="M453" s="1" t="s">
        <v>327</v>
      </c>
      <c r="N453" s="1" t="s">
        <v>73</v>
      </c>
      <c r="O453" s="1" t="s">
        <v>96</v>
      </c>
      <c r="P453" s="1" t="s">
        <v>13</v>
      </c>
      <c r="Q453" s="4">
        <v>20</v>
      </c>
      <c r="R453" s="4">
        <v>9</v>
      </c>
      <c r="S453" s="1" t="s">
        <v>32</v>
      </c>
      <c r="T453" s="1" t="s">
        <v>61</v>
      </c>
      <c r="U453" s="5" t="s">
        <v>328</v>
      </c>
      <c r="V453" s="4">
        <v>40</v>
      </c>
    </row>
    <row r="454" spans="1:22" x14ac:dyDescent="0.3">
      <c r="A454" s="1" t="s">
        <v>701</v>
      </c>
      <c r="B454" s="1" t="s">
        <v>54</v>
      </c>
      <c r="C454" s="1" t="s">
        <v>30</v>
      </c>
      <c r="D454" s="1" t="s">
        <v>31</v>
      </c>
      <c r="E454" s="4">
        <v>15</v>
      </c>
      <c r="F454" s="4">
        <v>11</v>
      </c>
      <c r="G454" s="1" t="s">
        <v>14</v>
      </c>
      <c r="H454" s="1" t="s">
        <v>76</v>
      </c>
      <c r="I454" s="5" t="s">
        <v>702</v>
      </c>
      <c r="J454" s="4">
        <v>42</v>
      </c>
      <c r="M454" s="1" t="s">
        <v>353</v>
      </c>
      <c r="N454" s="1" t="s">
        <v>51</v>
      </c>
      <c r="O454" s="1" t="s">
        <v>55</v>
      </c>
      <c r="P454" s="1" t="s">
        <v>31</v>
      </c>
      <c r="Q454" s="4">
        <v>20</v>
      </c>
      <c r="R454" s="4">
        <v>9</v>
      </c>
      <c r="S454" s="1" t="s">
        <v>25</v>
      </c>
      <c r="T454" s="1" t="s">
        <v>46</v>
      </c>
      <c r="U454" s="5" t="s">
        <v>354</v>
      </c>
      <c r="V454" s="4">
        <v>53</v>
      </c>
    </row>
    <row r="455" spans="1:22" x14ac:dyDescent="0.3">
      <c r="A455" s="1" t="s">
        <v>826</v>
      </c>
      <c r="B455" s="1" t="s">
        <v>51</v>
      </c>
      <c r="C455" s="1" t="s">
        <v>55</v>
      </c>
      <c r="D455" s="1" t="s">
        <v>31</v>
      </c>
      <c r="E455" s="4">
        <v>15</v>
      </c>
      <c r="F455" s="4">
        <v>10</v>
      </c>
      <c r="G455" s="1" t="s">
        <v>43</v>
      </c>
      <c r="H455" s="1" t="s">
        <v>37</v>
      </c>
      <c r="I455" s="5" t="s">
        <v>174</v>
      </c>
      <c r="J455" s="4">
        <v>42</v>
      </c>
      <c r="M455" s="1" t="s">
        <v>361</v>
      </c>
      <c r="N455" s="1" t="s">
        <v>11</v>
      </c>
      <c r="O455" s="1" t="s">
        <v>30</v>
      </c>
      <c r="P455" s="1" t="s">
        <v>13</v>
      </c>
      <c r="Q455" s="4">
        <v>20</v>
      </c>
      <c r="R455" s="4">
        <v>10</v>
      </c>
      <c r="S455" s="1" t="s">
        <v>32</v>
      </c>
      <c r="T455" s="1" t="s">
        <v>15</v>
      </c>
      <c r="U455" s="5" t="s">
        <v>362</v>
      </c>
      <c r="V455" s="4">
        <v>49</v>
      </c>
    </row>
    <row r="456" spans="1:22" x14ac:dyDescent="0.3">
      <c r="A456" s="1" t="s">
        <v>933</v>
      </c>
      <c r="B456" s="1" t="s">
        <v>51</v>
      </c>
      <c r="C456" s="1" t="s">
        <v>96</v>
      </c>
      <c r="D456" s="1" t="s">
        <v>13</v>
      </c>
      <c r="E456" s="4">
        <v>20</v>
      </c>
      <c r="F456" s="4">
        <v>11</v>
      </c>
      <c r="G456" s="1" t="s">
        <v>25</v>
      </c>
      <c r="H456" s="1" t="s">
        <v>15</v>
      </c>
      <c r="I456" s="5" t="s">
        <v>494</v>
      </c>
      <c r="J456" s="4">
        <v>42</v>
      </c>
      <c r="M456" s="1" t="s">
        <v>377</v>
      </c>
      <c r="N456" s="1" t="s">
        <v>35</v>
      </c>
      <c r="O456" s="1" t="s">
        <v>30</v>
      </c>
      <c r="P456" s="1" t="s">
        <v>13</v>
      </c>
      <c r="Q456" s="4">
        <v>20</v>
      </c>
      <c r="R456" s="4">
        <v>11</v>
      </c>
      <c r="S456" s="1" t="s">
        <v>32</v>
      </c>
      <c r="T456" s="1" t="s">
        <v>37</v>
      </c>
      <c r="U456" s="5" t="s">
        <v>189</v>
      </c>
      <c r="V456" s="4">
        <v>79</v>
      </c>
    </row>
    <row r="457" spans="1:22" x14ac:dyDescent="0.3">
      <c r="A457" s="1" t="s">
        <v>265</v>
      </c>
      <c r="B457" s="1" t="s">
        <v>11</v>
      </c>
      <c r="C457" s="1" t="s">
        <v>85</v>
      </c>
      <c r="D457" s="1" t="s">
        <v>31</v>
      </c>
      <c r="E457" s="4">
        <v>14</v>
      </c>
      <c r="F457" s="4">
        <v>9</v>
      </c>
      <c r="G457" s="1" t="s">
        <v>43</v>
      </c>
      <c r="H457" s="1" t="s">
        <v>61</v>
      </c>
      <c r="I457" s="5" t="s">
        <v>56</v>
      </c>
      <c r="J457" s="4">
        <v>41</v>
      </c>
      <c r="M457" s="1" t="s">
        <v>397</v>
      </c>
      <c r="N457" s="1" t="s">
        <v>23</v>
      </c>
      <c r="O457" s="1" t="s">
        <v>12</v>
      </c>
      <c r="P457" s="1" t="s">
        <v>13</v>
      </c>
      <c r="Q457" s="4">
        <v>20</v>
      </c>
      <c r="R457" s="4">
        <v>9</v>
      </c>
      <c r="S457" s="1" t="s">
        <v>25</v>
      </c>
      <c r="T457" s="1" t="s">
        <v>46</v>
      </c>
      <c r="U457" s="5" t="s">
        <v>398</v>
      </c>
      <c r="V457" s="4">
        <v>91</v>
      </c>
    </row>
    <row r="458" spans="1:22" x14ac:dyDescent="0.3">
      <c r="A458" s="1" t="s">
        <v>266</v>
      </c>
      <c r="B458" s="1" t="s">
        <v>54</v>
      </c>
      <c r="C458" s="1" t="s">
        <v>58</v>
      </c>
      <c r="D458" s="1" t="s">
        <v>13</v>
      </c>
      <c r="E458" s="4">
        <v>19</v>
      </c>
      <c r="F458" s="4">
        <v>11</v>
      </c>
      <c r="G458" s="1" t="s">
        <v>14</v>
      </c>
      <c r="H458" s="1" t="s">
        <v>40</v>
      </c>
      <c r="I458" s="5" t="s">
        <v>267</v>
      </c>
      <c r="J458" s="4">
        <v>41</v>
      </c>
      <c r="M458" s="1" t="s">
        <v>409</v>
      </c>
      <c r="N458" s="1" t="s">
        <v>84</v>
      </c>
      <c r="O458" s="1" t="s">
        <v>24</v>
      </c>
      <c r="P458" s="1" t="s">
        <v>13</v>
      </c>
      <c r="Q458" s="4">
        <v>20</v>
      </c>
      <c r="R458" s="4">
        <v>9</v>
      </c>
      <c r="S458" s="1" t="s">
        <v>25</v>
      </c>
      <c r="T458" s="1" t="s">
        <v>46</v>
      </c>
      <c r="U458" s="5" t="s">
        <v>290</v>
      </c>
      <c r="V458" s="4">
        <v>68</v>
      </c>
    </row>
    <row r="459" spans="1:22" x14ac:dyDescent="0.3">
      <c r="A459" s="1" t="s">
        <v>534</v>
      </c>
      <c r="B459" s="1" t="s">
        <v>23</v>
      </c>
      <c r="C459" s="1" t="s">
        <v>19</v>
      </c>
      <c r="D459" s="1" t="s">
        <v>13</v>
      </c>
      <c r="E459" s="4">
        <v>20</v>
      </c>
      <c r="F459" s="4">
        <v>11</v>
      </c>
      <c r="G459" s="1" t="s">
        <v>32</v>
      </c>
      <c r="H459" s="1" t="s">
        <v>76</v>
      </c>
      <c r="I459" s="5" t="s">
        <v>358</v>
      </c>
      <c r="J459" s="4">
        <v>41</v>
      </c>
      <c r="M459" s="1" t="s">
        <v>410</v>
      </c>
      <c r="N459" s="1" t="s">
        <v>18</v>
      </c>
      <c r="O459" s="1" t="s">
        <v>55</v>
      </c>
      <c r="P459" s="1" t="s">
        <v>31</v>
      </c>
      <c r="Q459" s="4">
        <v>20</v>
      </c>
      <c r="R459" s="4">
        <v>10</v>
      </c>
      <c r="S459" s="1" t="s">
        <v>43</v>
      </c>
      <c r="T459" s="1" t="s">
        <v>40</v>
      </c>
      <c r="U459" s="5" t="s">
        <v>411</v>
      </c>
      <c r="V459" s="4">
        <v>59</v>
      </c>
    </row>
    <row r="460" spans="1:22" x14ac:dyDescent="0.3">
      <c r="A460" s="1" t="s">
        <v>846</v>
      </c>
      <c r="B460" s="1" t="s">
        <v>35</v>
      </c>
      <c r="C460" s="1" t="s">
        <v>79</v>
      </c>
      <c r="D460" s="1" t="s">
        <v>13</v>
      </c>
      <c r="E460" s="4">
        <v>17</v>
      </c>
      <c r="F460" s="4">
        <v>12</v>
      </c>
      <c r="G460" s="1" t="s">
        <v>25</v>
      </c>
      <c r="H460" s="1" t="s">
        <v>46</v>
      </c>
      <c r="I460" s="5" t="s">
        <v>847</v>
      </c>
      <c r="J460" s="4">
        <v>41</v>
      </c>
      <c r="M460" s="1" t="s">
        <v>416</v>
      </c>
      <c r="N460" s="1" t="s">
        <v>18</v>
      </c>
      <c r="O460" s="1" t="s">
        <v>79</v>
      </c>
      <c r="P460" s="1" t="s">
        <v>31</v>
      </c>
      <c r="Q460" s="4">
        <v>20</v>
      </c>
      <c r="R460" s="4">
        <v>9</v>
      </c>
      <c r="S460" s="1" t="s">
        <v>25</v>
      </c>
      <c r="T460" s="1" t="s">
        <v>37</v>
      </c>
      <c r="U460" s="5" t="s">
        <v>417</v>
      </c>
      <c r="V460" s="4">
        <v>53</v>
      </c>
    </row>
    <row r="461" spans="1:22" x14ac:dyDescent="0.3">
      <c r="A461" s="1" t="s">
        <v>938</v>
      </c>
      <c r="B461" s="1" t="s">
        <v>18</v>
      </c>
      <c r="C461" s="1" t="s">
        <v>58</v>
      </c>
      <c r="D461" s="1" t="s">
        <v>13</v>
      </c>
      <c r="E461" s="4">
        <v>16</v>
      </c>
      <c r="F461" s="4">
        <v>12</v>
      </c>
      <c r="G461" s="1" t="s">
        <v>25</v>
      </c>
      <c r="H461" s="1" t="s">
        <v>26</v>
      </c>
      <c r="I461" s="5" t="s">
        <v>939</v>
      </c>
      <c r="J461" s="4">
        <v>41</v>
      </c>
      <c r="M461" s="1" t="s">
        <v>435</v>
      </c>
      <c r="N461" s="1" t="s">
        <v>29</v>
      </c>
      <c r="O461" s="1" t="s">
        <v>30</v>
      </c>
      <c r="P461" s="1" t="s">
        <v>31</v>
      </c>
      <c r="Q461" s="4">
        <v>20</v>
      </c>
      <c r="R461" s="4">
        <v>12</v>
      </c>
      <c r="S461" s="1" t="s">
        <v>43</v>
      </c>
      <c r="T461" s="1" t="s">
        <v>26</v>
      </c>
      <c r="U461" s="5" t="s">
        <v>436</v>
      </c>
      <c r="V461" s="4">
        <v>36</v>
      </c>
    </row>
    <row r="462" spans="1:22" x14ac:dyDescent="0.3">
      <c r="A462" s="1" t="s">
        <v>114</v>
      </c>
      <c r="B462" s="1" t="s">
        <v>73</v>
      </c>
      <c r="C462" s="1" t="s">
        <v>58</v>
      </c>
      <c r="D462" s="1" t="s">
        <v>13</v>
      </c>
      <c r="E462" s="4">
        <v>20</v>
      </c>
      <c r="F462" s="4">
        <v>9</v>
      </c>
      <c r="G462" s="1" t="s">
        <v>25</v>
      </c>
      <c r="H462" s="1" t="s">
        <v>46</v>
      </c>
      <c r="I462" s="5" t="s">
        <v>115</v>
      </c>
      <c r="J462" s="4">
        <v>40</v>
      </c>
      <c r="M462" s="1" t="s">
        <v>445</v>
      </c>
      <c r="N462" s="1" t="s">
        <v>54</v>
      </c>
      <c r="O462" s="1" t="s">
        <v>96</v>
      </c>
      <c r="P462" s="1" t="s">
        <v>13</v>
      </c>
      <c r="Q462" s="4">
        <v>20</v>
      </c>
      <c r="R462" s="4">
        <v>10</v>
      </c>
      <c r="S462" s="1" t="s">
        <v>32</v>
      </c>
      <c r="T462" s="1" t="s">
        <v>46</v>
      </c>
      <c r="U462" s="5" t="s">
        <v>182</v>
      </c>
      <c r="V462" s="4">
        <v>85</v>
      </c>
    </row>
    <row r="463" spans="1:22" x14ac:dyDescent="0.3">
      <c r="A463" s="1" t="s">
        <v>146</v>
      </c>
      <c r="B463" s="1" t="s">
        <v>35</v>
      </c>
      <c r="C463" s="1" t="s">
        <v>30</v>
      </c>
      <c r="D463" s="1" t="s">
        <v>31</v>
      </c>
      <c r="E463" s="4">
        <v>20</v>
      </c>
      <c r="F463" s="4">
        <v>9</v>
      </c>
      <c r="G463" s="1" t="s">
        <v>43</v>
      </c>
      <c r="H463" s="1" t="s">
        <v>15</v>
      </c>
      <c r="I463" s="5" t="s">
        <v>147</v>
      </c>
      <c r="J463" s="4">
        <v>40</v>
      </c>
      <c r="M463" s="1" t="s">
        <v>466</v>
      </c>
      <c r="N463" s="1" t="s">
        <v>11</v>
      </c>
      <c r="O463" s="1" t="s">
        <v>55</v>
      </c>
      <c r="P463" s="1" t="s">
        <v>31</v>
      </c>
      <c r="Q463" s="4">
        <v>20</v>
      </c>
      <c r="R463" s="4">
        <v>11</v>
      </c>
      <c r="S463" s="1" t="s">
        <v>32</v>
      </c>
      <c r="T463" s="1" t="s">
        <v>40</v>
      </c>
      <c r="U463" s="5" t="s">
        <v>467</v>
      </c>
      <c r="V463" s="4">
        <v>46</v>
      </c>
    </row>
    <row r="464" spans="1:22" x14ac:dyDescent="0.3">
      <c r="A464" s="1" t="s">
        <v>327</v>
      </c>
      <c r="B464" s="1" t="s">
        <v>73</v>
      </c>
      <c r="C464" s="1" t="s">
        <v>96</v>
      </c>
      <c r="D464" s="1" t="s">
        <v>13</v>
      </c>
      <c r="E464" s="4">
        <v>20</v>
      </c>
      <c r="F464" s="4">
        <v>9</v>
      </c>
      <c r="G464" s="1" t="s">
        <v>32</v>
      </c>
      <c r="H464" s="1" t="s">
        <v>61</v>
      </c>
      <c r="I464" s="5" t="s">
        <v>328</v>
      </c>
      <c r="J464" s="4">
        <v>40</v>
      </c>
      <c r="M464" s="1" t="s">
        <v>489</v>
      </c>
      <c r="N464" s="1" t="s">
        <v>68</v>
      </c>
      <c r="O464" s="1" t="s">
        <v>58</v>
      </c>
      <c r="P464" s="1" t="s">
        <v>31</v>
      </c>
      <c r="Q464" s="4">
        <v>20</v>
      </c>
      <c r="R464" s="4">
        <v>10</v>
      </c>
      <c r="S464" s="1" t="s">
        <v>32</v>
      </c>
      <c r="T464" s="1" t="s">
        <v>20</v>
      </c>
      <c r="U464" s="5" t="s">
        <v>370</v>
      </c>
      <c r="V464" s="4">
        <v>93</v>
      </c>
    </row>
    <row r="465" spans="1:22" x14ac:dyDescent="0.3">
      <c r="A465" s="1" t="s">
        <v>454</v>
      </c>
      <c r="B465" s="1" t="s">
        <v>29</v>
      </c>
      <c r="C465" s="1" t="s">
        <v>12</v>
      </c>
      <c r="D465" s="1" t="s">
        <v>31</v>
      </c>
      <c r="E465" s="4">
        <v>16</v>
      </c>
      <c r="F465" s="4">
        <v>11</v>
      </c>
      <c r="G465" s="1" t="s">
        <v>43</v>
      </c>
      <c r="H465" s="1" t="s">
        <v>61</v>
      </c>
      <c r="I465" s="5" t="s">
        <v>385</v>
      </c>
      <c r="J465" s="4">
        <v>40</v>
      </c>
      <c r="M465" s="1" t="s">
        <v>499</v>
      </c>
      <c r="N465" s="1" t="s">
        <v>54</v>
      </c>
      <c r="O465" s="1" t="s">
        <v>19</v>
      </c>
      <c r="P465" s="1" t="s">
        <v>31</v>
      </c>
      <c r="Q465" s="4">
        <v>20</v>
      </c>
      <c r="R465" s="4">
        <v>9</v>
      </c>
      <c r="S465" s="1" t="s">
        <v>32</v>
      </c>
      <c r="T465" s="1" t="s">
        <v>46</v>
      </c>
      <c r="U465" s="5" t="s">
        <v>500</v>
      </c>
      <c r="V465" s="4">
        <v>42</v>
      </c>
    </row>
    <row r="466" spans="1:22" x14ac:dyDescent="0.3">
      <c r="A466" s="1" t="s">
        <v>558</v>
      </c>
      <c r="B466" s="1" t="s">
        <v>54</v>
      </c>
      <c r="C466" s="1" t="s">
        <v>30</v>
      </c>
      <c r="D466" s="1" t="s">
        <v>31</v>
      </c>
      <c r="E466" s="4">
        <v>19</v>
      </c>
      <c r="F466" s="4">
        <v>10</v>
      </c>
      <c r="G466" s="1" t="s">
        <v>43</v>
      </c>
      <c r="H466" s="1" t="s">
        <v>76</v>
      </c>
      <c r="I466" s="5" t="s">
        <v>559</v>
      </c>
      <c r="J466" s="4">
        <v>40</v>
      </c>
      <c r="M466" s="1" t="s">
        <v>520</v>
      </c>
      <c r="N466" s="1" t="s">
        <v>68</v>
      </c>
      <c r="O466" s="1" t="s">
        <v>12</v>
      </c>
      <c r="P466" s="1" t="s">
        <v>31</v>
      </c>
      <c r="Q466" s="4">
        <v>20</v>
      </c>
      <c r="R466" s="4">
        <v>10</v>
      </c>
      <c r="S466" s="1" t="s">
        <v>32</v>
      </c>
      <c r="T466" s="1" t="s">
        <v>26</v>
      </c>
      <c r="U466" s="5" t="s">
        <v>521</v>
      </c>
      <c r="V466" s="4">
        <v>42</v>
      </c>
    </row>
    <row r="467" spans="1:22" x14ac:dyDescent="0.3">
      <c r="A467" s="1" t="s">
        <v>807</v>
      </c>
      <c r="B467" s="1" t="s">
        <v>68</v>
      </c>
      <c r="C467" s="1" t="s">
        <v>79</v>
      </c>
      <c r="D467" s="1" t="s">
        <v>31</v>
      </c>
      <c r="E467" s="4">
        <v>16</v>
      </c>
      <c r="F467" s="4">
        <v>10</v>
      </c>
      <c r="G467" s="1" t="s">
        <v>43</v>
      </c>
      <c r="H467" s="1" t="s">
        <v>76</v>
      </c>
      <c r="I467" s="5" t="s">
        <v>305</v>
      </c>
      <c r="J467" s="4">
        <v>40</v>
      </c>
      <c r="M467" s="1" t="s">
        <v>524</v>
      </c>
      <c r="N467" s="1" t="s">
        <v>35</v>
      </c>
      <c r="O467" s="1" t="s">
        <v>85</v>
      </c>
      <c r="P467" s="1" t="s">
        <v>13</v>
      </c>
      <c r="Q467" s="4">
        <v>20</v>
      </c>
      <c r="R467" s="4">
        <v>10</v>
      </c>
      <c r="S467" s="1" t="s">
        <v>14</v>
      </c>
      <c r="T467" s="1" t="s">
        <v>40</v>
      </c>
      <c r="U467" s="5" t="s">
        <v>525</v>
      </c>
      <c r="V467" s="4">
        <v>92</v>
      </c>
    </row>
    <row r="468" spans="1:22" x14ac:dyDescent="0.3">
      <c r="A468" s="1" t="s">
        <v>152</v>
      </c>
      <c r="B468" s="1" t="s">
        <v>23</v>
      </c>
      <c r="C468" s="1" t="s">
        <v>55</v>
      </c>
      <c r="D468" s="1" t="s">
        <v>13</v>
      </c>
      <c r="E468" s="4">
        <v>17</v>
      </c>
      <c r="F468" s="4">
        <v>12</v>
      </c>
      <c r="G468" s="1" t="s">
        <v>32</v>
      </c>
      <c r="H468" s="1" t="s">
        <v>46</v>
      </c>
      <c r="I468" s="5" t="s">
        <v>153</v>
      </c>
      <c r="J468" s="4">
        <v>39</v>
      </c>
      <c r="M468" s="1" t="s">
        <v>527</v>
      </c>
      <c r="N468" s="1" t="s">
        <v>11</v>
      </c>
      <c r="O468" s="1" t="s">
        <v>85</v>
      </c>
      <c r="P468" s="1" t="s">
        <v>13</v>
      </c>
      <c r="Q468" s="4">
        <v>20</v>
      </c>
      <c r="R468" s="4">
        <v>12</v>
      </c>
      <c r="S468" s="1" t="s">
        <v>25</v>
      </c>
      <c r="T468" s="1" t="s">
        <v>46</v>
      </c>
      <c r="U468" s="5" t="s">
        <v>451</v>
      </c>
      <c r="V468" s="4">
        <v>86</v>
      </c>
    </row>
    <row r="469" spans="1:22" x14ac:dyDescent="0.3">
      <c r="A469" s="1" t="s">
        <v>384</v>
      </c>
      <c r="B469" s="1" t="s">
        <v>54</v>
      </c>
      <c r="C469" s="1" t="s">
        <v>19</v>
      </c>
      <c r="D469" s="1" t="s">
        <v>31</v>
      </c>
      <c r="E469" s="4">
        <v>16</v>
      </c>
      <c r="F469" s="4">
        <v>12</v>
      </c>
      <c r="G469" s="1" t="s">
        <v>25</v>
      </c>
      <c r="H469" s="1" t="s">
        <v>20</v>
      </c>
      <c r="I469" s="5" t="s">
        <v>385</v>
      </c>
      <c r="J469" s="4">
        <v>39</v>
      </c>
      <c r="M469" s="1" t="s">
        <v>529</v>
      </c>
      <c r="N469" s="1" t="s">
        <v>84</v>
      </c>
      <c r="O469" s="1" t="s">
        <v>24</v>
      </c>
      <c r="P469" s="1" t="s">
        <v>31</v>
      </c>
      <c r="Q469" s="4">
        <v>20</v>
      </c>
      <c r="R469" s="4">
        <v>12</v>
      </c>
      <c r="S469" s="1" t="s">
        <v>25</v>
      </c>
      <c r="T469" s="1" t="s">
        <v>76</v>
      </c>
      <c r="U469" s="5" t="s">
        <v>186</v>
      </c>
      <c r="V469" s="4">
        <v>51</v>
      </c>
    </row>
    <row r="470" spans="1:22" x14ac:dyDescent="0.3">
      <c r="A470" s="1" t="s">
        <v>613</v>
      </c>
      <c r="B470" s="1" t="s">
        <v>68</v>
      </c>
      <c r="C470" s="1" t="s">
        <v>85</v>
      </c>
      <c r="D470" s="1" t="s">
        <v>31</v>
      </c>
      <c r="E470" s="4">
        <v>15</v>
      </c>
      <c r="F470" s="4">
        <v>9</v>
      </c>
      <c r="G470" s="1" t="s">
        <v>32</v>
      </c>
      <c r="H470" s="1" t="s">
        <v>37</v>
      </c>
      <c r="I470" s="5" t="s">
        <v>614</v>
      </c>
      <c r="J470" s="4">
        <v>39</v>
      </c>
      <c r="M470" s="1" t="s">
        <v>531</v>
      </c>
      <c r="N470" s="1" t="s">
        <v>23</v>
      </c>
      <c r="O470" s="1" t="s">
        <v>36</v>
      </c>
      <c r="P470" s="1" t="s">
        <v>13</v>
      </c>
      <c r="Q470" s="4">
        <v>20</v>
      </c>
      <c r="R470" s="4">
        <v>11</v>
      </c>
      <c r="S470" s="1" t="s">
        <v>43</v>
      </c>
      <c r="T470" s="1" t="s">
        <v>20</v>
      </c>
      <c r="U470" s="5" t="s">
        <v>178</v>
      </c>
      <c r="V470" s="4">
        <v>44</v>
      </c>
    </row>
    <row r="471" spans="1:22" x14ac:dyDescent="0.3">
      <c r="A471" s="1" t="s">
        <v>729</v>
      </c>
      <c r="B471" s="1" t="s">
        <v>35</v>
      </c>
      <c r="C471" s="1" t="s">
        <v>79</v>
      </c>
      <c r="D471" s="1" t="s">
        <v>13</v>
      </c>
      <c r="E471" s="4">
        <v>15</v>
      </c>
      <c r="F471" s="4">
        <v>9</v>
      </c>
      <c r="G471" s="1" t="s">
        <v>43</v>
      </c>
      <c r="H471" s="1" t="s">
        <v>76</v>
      </c>
      <c r="I471" s="5" t="s">
        <v>730</v>
      </c>
      <c r="J471" s="4">
        <v>39</v>
      </c>
      <c r="M471" s="1" t="s">
        <v>534</v>
      </c>
      <c r="N471" s="1" t="s">
        <v>23</v>
      </c>
      <c r="O471" s="1" t="s">
        <v>19</v>
      </c>
      <c r="P471" s="1" t="s">
        <v>13</v>
      </c>
      <c r="Q471" s="4">
        <v>20</v>
      </c>
      <c r="R471" s="4">
        <v>11</v>
      </c>
      <c r="S471" s="1" t="s">
        <v>32</v>
      </c>
      <c r="T471" s="1" t="s">
        <v>76</v>
      </c>
      <c r="U471" s="5" t="s">
        <v>358</v>
      </c>
      <c r="V471" s="4">
        <v>41</v>
      </c>
    </row>
    <row r="472" spans="1:22" x14ac:dyDescent="0.3">
      <c r="A472" s="1" t="s">
        <v>756</v>
      </c>
      <c r="B472" s="1" t="s">
        <v>11</v>
      </c>
      <c r="C472" s="1" t="s">
        <v>30</v>
      </c>
      <c r="D472" s="1" t="s">
        <v>13</v>
      </c>
      <c r="E472" s="4">
        <v>15</v>
      </c>
      <c r="F472" s="4">
        <v>11</v>
      </c>
      <c r="G472" s="1" t="s">
        <v>14</v>
      </c>
      <c r="H472" s="1" t="s">
        <v>76</v>
      </c>
      <c r="I472" s="5" t="s">
        <v>757</v>
      </c>
      <c r="J472" s="4">
        <v>39</v>
      </c>
      <c r="M472" s="1" t="s">
        <v>535</v>
      </c>
      <c r="N472" s="1" t="s">
        <v>84</v>
      </c>
      <c r="O472" s="1" t="s">
        <v>58</v>
      </c>
      <c r="P472" s="1" t="s">
        <v>13</v>
      </c>
      <c r="Q472" s="4">
        <v>20</v>
      </c>
      <c r="R472" s="4">
        <v>9</v>
      </c>
      <c r="S472" s="1" t="s">
        <v>25</v>
      </c>
      <c r="T472" s="1" t="s">
        <v>46</v>
      </c>
      <c r="U472" s="5" t="s">
        <v>536</v>
      </c>
      <c r="V472" s="4">
        <v>58</v>
      </c>
    </row>
    <row r="473" spans="1:22" x14ac:dyDescent="0.3">
      <c r="A473" s="1" t="s">
        <v>783</v>
      </c>
      <c r="B473" s="1" t="s">
        <v>54</v>
      </c>
      <c r="C473" s="1" t="s">
        <v>79</v>
      </c>
      <c r="D473" s="1" t="s">
        <v>31</v>
      </c>
      <c r="E473" s="4">
        <v>15</v>
      </c>
      <c r="F473" s="4">
        <v>11</v>
      </c>
      <c r="G473" s="1" t="s">
        <v>25</v>
      </c>
      <c r="H473" s="1" t="s">
        <v>61</v>
      </c>
      <c r="I473" s="5" t="s">
        <v>628</v>
      </c>
      <c r="J473" s="4">
        <v>39</v>
      </c>
      <c r="M473" s="1" t="s">
        <v>565</v>
      </c>
      <c r="N473" s="1" t="s">
        <v>54</v>
      </c>
      <c r="O473" s="1" t="s">
        <v>79</v>
      </c>
      <c r="P473" s="1" t="s">
        <v>31</v>
      </c>
      <c r="Q473" s="4">
        <v>20</v>
      </c>
      <c r="R473" s="4">
        <v>9</v>
      </c>
      <c r="S473" s="1" t="s">
        <v>43</v>
      </c>
      <c r="T473" s="1" t="s">
        <v>20</v>
      </c>
      <c r="U473" s="5" t="s">
        <v>566</v>
      </c>
      <c r="V473" s="4">
        <v>67</v>
      </c>
    </row>
    <row r="474" spans="1:22" x14ac:dyDescent="0.3">
      <c r="A474" s="1" t="s">
        <v>22</v>
      </c>
      <c r="B474" s="1" t="s">
        <v>23</v>
      </c>
      <c r="C474" s="1" t="s">
        <v>24</v>
      </c>
      <c r="D474" s="1" t="s">
        <v>13</v>
      </c>
      <c r="E474" s="4">
        <v>14</v>
      </c>
      <c r="F474" s="4">
        <v>12</v>
      </c>
      <c r="G474" s="1" t="s">
        <v>25</v>
      </c>
      <c r="H474" s="1" t="s">
        <v>26</v>
      </c>
      <c r="I474" s="5" t="s">
        <v>27</v>
      </c>
      <c r="J474" s="4">
        <v>38</v>
      </c>
      <c r="M474" s="1" t="s">
        <v>579</v>
      </c>
      <c r="N474" s="1" t="s">
        <v>51</v>
      </c>
      <c r="O474" s="1" t="s">
        <v>55</v>
      </c>
      <c r="P474" s="1" t="s">
        <v>31</v>
      </c>
      <c r="Q474" s="4">
        <v>20</v>
      </c>
      <c r="R474" s="4">
        <v>9</v>
      </c>
      <c r="S474" s="1" t="s">
        <v>25</v>
      </c>
      <c r="T474" s="1" t="s">
        <v>26</v>
      </c>
      <c r="U474" s="5" t="s">
        <v>212</v>
      </c>
      <c r="V474" s="4">
        <v>35</v>
      </c>
    </row>
    <row r="475" spans="1:22" x14ac:dyDescent="0.3">
      <c r="A475" s="1" t="s">
        <v>745</v>
      </c>
      <c r="B475" s="1" t="s">
        <v>73</v>
      </c>
      <c r="C475" s="1" t="s">
        <v>36</v>
      </c>
      <c r="D475" s="1" t="s">
        <v>13</v>
      </c>
      <c r="E475" s="4">
        <v>16</v>
      </c>
      <c r="F475" s="4">
        <v>9</v>
      </c>
      <c r="G475" s="1" t="s">
        <v>32</v>
      </c>
      <c r="H475" s="1" t="s">
        <v>76</v>
      </c>
      <c r="I475" s="5" t="s">
        <v>746</v>
      </c>
      <c r="J475" s="4">
        <v>38</v>
      </c>
      <c r="M475" s="1" t="s">
        <v>594</v>
      </c>
      <c r="N475" s="1" t="s">
        <v>54</v>
      </c>
      <c r="O475" s="1" t="s">
        <v>55</v>
      </c>
      <c r="P475" s="1" t="s">
        <v>13</v>
      </c>
      <c r="Q475" s="4">
        <v>20</v>
      </c>
      <c r="R475" s="4">
        <v>11</v>
      </c>
      <c r="S475" s="1" t="s">
        <v>43</v>
      </c>
      <c r="T475" s="1" t="s">
        <v>40</v>
      </c>
      <c r="U475" s="5" t="s">
        <v>595</v>
      </c>
      <c r="V475" s="4">
        <v>84</v>
      </c>
    </row>
    <row r="476" spans="1:22" x14ac:dyDescent="0.3">
      <c r="A476" s="1" t="s">
        <v>10</v>
      </c>
      <c r="B476" s="1" t="s">
        <v>11</v>
      </c>
      <c r="C476" s="1" t="s">
        <v>12</v>
      </c>
      <c r="D476" s="1" t="s">
        <v>13</v>
      </c>
      <c r="E476" s="4">
        <v>16</v>
      </c>
      <c r="F476" s="4">
        <v>10</v>
      </c>
      <c r="G476" s="1" t="s">
        <v>14</v>
      </c>
      <c r="H476" s="1" t="s">
        <v>15</v>
      </c>
      <c r="I476" s="5" t="s">
        <v>16</v>
      </c>
      <c r="J476" s="4">
        <v>37</v>
      </c>
      <c r="M476" s="1" t="s">
        <v>604</v>
      </c>
      <c r="N476" s="1" t="s">
        <v>51</v>
      </c>
      <c r="O476" s="1" t="s">
        <v>85</v>
      </c>
      <c r="P476" s="1" t="s">
        <v>31</v>
      </c>
      <c r="Q476" s="4">
        <v>20</v>
      </c>
      <c r="R476" s="4">
        <v>12</v>
      </c>
      <c r="S476" s="1" t="s">
        <v>25</v>
      </c>
      <c r="T476" s="1" t="s">
        <v>26</v>
      </c>
      <c r="U476" s="5" t="s">
        <v>299</v>
      </c>
      <c r="V476" s="4">
        <v>69</v>
      </c>
    </row>
    <row r="477" spans="1:22" x14ac:dyDescent="0.3">
      <c r="A477" s="1" t="s">
        <v>120</v>
      </c>
      <c r="B477" s="1" t="s">
        <v>35</v>
      </c>
      <c r="C477" s="1" t="s">
        <v>36</v>
      </c>
      <c r="D477" s="1" t="s">
        <v>31</v>
      </c>
      <c r="E477" s="4">
        <v>20</v>
      </c>
      <c r="F477" s="4">
        <v>10</v>
      </c>
      <c r="G477" s="1" t="s">
        <v>43</v>
      </c>
      <c r="H477" s="1" t="s">
        <v>61</v>
      </c>
      <c r="I477" s="5" t="s">
        <v>121</v>
      </c>
      <c r="J477" s="4">
        <v>37</v>
      </c>
      <c r="M477" s="1" t="s">
        <v>605</v>
      </c>
      <c r="N477" s="1" t="s">
        <v>54</v>
      </c>
      <c r="O477" s="1" t="s">
        <v>19</v>
      </c>
      <c r="P477" s="1" t="s">
        <v>31</v>
      </c>
      <c r="Q477" s="4">
        <v>20</v>
      </c>
      <c r="R477" s="4">
        <v>10</v>
      </c>
      <c r="S477" s="1" t="s">
        <v>43</v>
      </c>
      <c r="T477" s="1" t="s">
        <v>37</v>
      </c>
      <c r="U477" s="5" t="s">
        <v>606</v>
      </c>
      <c r="V477" s="4">
        <v>99</v>
      </c>
    </row>
    <row r="478" spans="1:22" x14ac:dyDescent="0.3">
      <c r="A478" s="1" t="s">
        <v>227</v>
      </c>
      <c r="B478" s="1" t="s">
        <v>68</v>
      </c>
      <c r="C478" s="1" t="s">
        <v>58</v>
      </c>
      <c r="D478" s="1" t="s">
        <v>13</v>
      </c>
      <c r="E478" s="4">
        <v>17</v>
      </c>
      <c r="F478" s="4">
        <v>12</v>
      </c>
      <c r="G478" s="1" t="s">
        <v>32</v>
      </c>
      <c r="H478" s="1" t="s">
        <v>26</v>
      </c>
      <c r="I478" s="5" t="s">
        <v>228</v>
      </c>
      <c r="J478" s="4">
        <v>37</v>
      </c>
      <c r="M478" s="1" t="s">
        <v>658</v>
      </c>
      <c r="N478" s="1" t="s">
        <v>11</v>
      </c>
      <c r="O478" s="1" t="s">
        <v>96</v>
      </c>
      <c r="P478" s="1" t="s">
        <v>31</v>
      </c>
      <c r="Q478" s="4">
        <v>20</v>
      </c>
      <c r="R478" s="4">
        <v>10</v>
      </c>
      <c r="S478" s="1" t="s">
        <v>43</v>
      </c>
      <c r="T478" s="1" t="s">
        <v>37</v>
      </c>
      <c r="U478" s="5" t="s">
        <v>659</v>
      </c>
      <c r="V478" s="4">
        <v>62</v>
      </c>
    </row>
    <row r="479" spans="1:22" x14ac:dyDescent="0.3">
      <c r="A479" s="1" t="s">
        <v>347</v>
      </c>
      <c r="B479" s="1" t="s">
        <v>23</v>
      </c>
      <c r="C479" s="1" t="s">
        <v>85</v>
      </c>
      <c r="D479" s="1" t="s">
        <v>31</v>
      </c>
      <c r="E479" s="4">
        <v>15</v>
      </c>
      <c r="F479" s="4">
        <v>11</v>
      </c>
      <c r="G479" s="1" t="s">
        <v>32</v>
      </c>
      <c r="H479" s="1" t="s">
        <v>26</v>
      </c>
      <c r="I479" s="5" t="s">
        <v>348</v>
      </c>
      <c r="J479" s="4">
        <v>37</v>
      </c>
      <c r="M479" s="1" t="s">
        <v>663</v>
      </c>
      <c r="N479" s="1" t="s">
        <v>73</v>
      </c>
      <c r="O479" s="1" t="s">
        <v>36</v>
      </c>
      <c r="P479" s="1" t="s">
        <v>13</v>
      </c>
      <c r="Q479" s="4">
        <v>20</v>
      </c>
      <c r="R479" s="4">
        <v>12</v>
      </c>
      <c r="S479" s="1" t="s">
        <v>25</v>
      </c>
      <c r="T479" s="1" t="s">
        <v>40</v>
      </c>
      <c r="U479" s="5" t="s">
        <v>664</v>
      </c>
      <c r="V479" s="4">
        <v>50</v>
      </c>
    </row>
    <row r="480" spans="1:22" x14ac:dyDescent="0.3">
      <c r="A480" s="1" t="s">
        <v>355</v>
      </c>
      <c r="B480" s="1" t="s">
        <v>68</v>
      </c>
      <c r="C480" s="1" t="s">
        <v>79</v>
      </c>
      <c r="D480" s="1" t="s">
        <v>13</v>
      </c>
      <c r="E480" s="4">
        <v>15</v>
      </c>
      <c r="F480" s="4">
        <v>12</v>
      </c>
      <c r="G480" s="1" t="s">
        <v>14</v>
      </c>
      <c r="H480" s="1" t="s">
        <v>20</v>
      </c>
      <c r="I480" s="5" t="s">
        <v>356</v>
      </c>
      <c r="J480" s="4">
        <v>37</v>
      </c>
      <c r="M480" s="1" t="s">
        <v>677</v>
      </c>
      <c r="N480" s="1" t="s">
        <v>23</v>
      </c>
      <c r="O480" s="1" t="s">
        <v>85</v>
      </c>
      <c r="P480" s="1" t="s">
        <v>13</v>
      </c>
      <c r="Q480" s="4">
        <v>20</v>
      </c>
      <c r="R480" s="4">
        <v>10</v>
      </c>
      <c r="S480" s="1" t="s">
        <v>32</v>
      </c>
      <c r="T480" s="1" t="s">
        <v>40</v>
      </c>
      <c r="U480" s="5" t="s">
        <v>678</v>
      </c>
      <c r="V480" s="4">
        <v>56</v>
      </c>
    </row>
    <row r="481" spans="1:22" x14ac:dyDescent="0.3">
      <c r="A481" s="1" t="s">
        <v>403</v>
      </c>
      <c r="B481" s="1" t="s">
        <v>11</v>
      </c>
      <c r="C481" s="1" t="s">
        <v>12</v>
      </c>
      <c r="D481" s="1" t="s">
        <v>31</v>
      </c>
      <c r="E481" s="4">
        <v>19</v>
      </c>
      <c r="F481" s="4">
        <v>9</v>
      </c>
      <c r="G481" s="1" t="s">
        <v>43</v>
      </c>
      <c r="H481" s="1" t="s">
        <v>46</v>
      </c>
      <c r="I481" s="5" t="s">
        <v>404</v>
      </c>
      <c r="J481" s="4">
        <v>37</v>
      </c>
      <c r="M481" s="1" t="s">
        <v>689</v>
      </c>
      <c r="N481" s="1" t="s">
        <v>68</v>
      </c>
      <c r="O481" s="1" t="s">
        <v>96</v>
      </c>
      <c r="P481" s="1" t="s">
        <v>13</v>
      </c>
      <c r="Q481" s="4">
        <v>20</v>
      </c>
      <c r="R481" s="4">
        <v>12</v>
      </c>
      <c r="S481" s="1" t="s">
        <v>43</v>
      </c>
      <c r="T481" s="1" t="s">
        <v>20</v>
      </c>
      <c r="U481" s="5" t="s">
        <v>626</v>
      </c>
      <c r="V481" s="4">
        <v>48</v>
      </c>
    </row>
    <row r="482" spans="1:22" x14ac:dyDescent="0.3">
      <c r="A482" s="1" t="s">
        <v>539</v>
      </c>
      <c r="B482" s="1" t="s">
        <v>73</v>
      </c>
      <c r="C482" s="1" t="s">
        <v>36</v>
      </c>
      <c r="D482" s="1" t="s">
        <v>31</v>
      </c>
      <c r="E482" s="4">
        <v>14</v>
      </c>
      <c r="F482" s="4">
        <v>12</v>
      </c>
      <c r="G482" s="1" t="s">
        <v>43</v>
      </c>
      <c r="H482" s="1" t="s">
        <v>61</v>
      </c>
      <c r="I482" s="5" t="s">
        <v>387</v>
      </c>
      <c r="J482" s="4">
        <v>37</v>
      </c>
      <c r="M482" s="1" t="s">
        <v>700</v>
      </c>
      <c r="N482" s="1" t="s">
        <v>23</v>
      </c>
      <c r="O482" s="1" t="s">
        <v>55</v>
      </c>
      <c r="P482" s="1" t="s">
        <v>31</v>
      </c>
      <c r="Q482" s="4">
        <v>20</v>
      </c>
      <c r="R482" s="4">
        <v>10</v>
      </c>
      <c r="S482" s="1" t="s">
        <v>14</v>
      </c>
      <c r="T482" s="1" t="s">
        <v>15</v>
      </c>
      <c r="U482" s="5" t="s">
        <v>678</v>
      </c>
      <c r="V482" s="4">
        <v>59</v>
      </c>
    </row>
    <row r="483" spans="1:22" x14ac:dyDescent="0.3">
      <c r="A483" s="1" t="s">
        <v>544</v>
      </c>
      <c r="B483" s="1" t="s">
        <v>68</v>
      </c>
      <c r="C483" s="1" t="s">
        <v>19</v>
      </c>
      <c r="D483" s="1" t="s">
        <v>31</v>
      </c>
      <c r="E483" s="4">
        <v>16</v>
      </c>
      <c r="F483" s="4">
        <v>9</v>
      </c>
      <c r="G483" s="1" t="s">
        <v>14</v>
      </c>
      <c r="H483" s="1" t="s">
        <v>40</v>
      </c>
      <c r="I483" s="5" t="s">
        <v>545</v>
      </c>
      <c r="J483" s="4">
        <v>37</v>
      </c>
      <c r="M483" s="1" t="s">
        <v>707</v>
      </c>
      <c r="N483" s="1" t="s">
        <v>68</v>
      </c>
      <c r="O483" s="1" t="s">
        <v>96</v>
      </c>
      <c r="P483" s="1" t="s">
        <v>31</v>
      </c>
      <c r="Q483" s="4">
        <v>20</v>
      </c>
      <c r="R483" s="4">
        <v>12</v>
      </c>
      <c r="S483" s="1" t="s">
        <v>43</v>
      </c>
      <c r="T483" s="1" t="s">
        <v>37</v>
      </c>
      <c r="U483" s="5" t="s">
        <v>708</v>
      </c>
      <c r="V483" s="4">
        <v>35</v>
      </c>
    </row>
    <row r="484" spans="1:22" x14ac:dyDescent="0.3">
      <c r="A484" s="1" t="s">
        <v>580</v>
      </c>
      <c r="B484" s="1" t="s">
        <v>29</v>
      </c>
      <c r="C484" s="1" t="s">
        <v>36</v>
      </c>
      <c r="D484" s="1" t="s">
        <v>13</v>
      </c>
      <c r="E484" s="4">
        <v>17</v>
      </c>
      <c r="F484" s="4">
        <v>10</v>
      </c>
      <c r="G484" s="1" t="s">
        <v>32</v>
      </c>
      <c r="H484" s="1" t="s">
        <v>15</v>
      </c>
      <c r="I484" s="5" t="s">
        <v>581</v>
      </c>
      <c r="J484" s="4">
        <v>37</v>
      </c>
      <c r="M484" s="1" t="s">
        <v>718</v>
      </c>
      <c r="N484" s="1" t="s">
        <v>84</v>
      </c>
      <c r="O484" s="1" t="s">
        <v>12</v>
      </c>
      <c r="P484" s="1" t="s">
        <v>31</v>
      </c>
      <c r="Q484" s="4">
        <v>20</v>
      </c>
      <c r="R484" s="4">
        <v>10</v>
      </c>
      <c r="S484" s="1" t="s">
        <v>25</v>
      </c>
      <c r="T484" s="1" t="s">
        <v>61</v>
      </c>
      <c r="U484" s="5" t="s">
        <v>639</v>
      </c>
      <c r="V484" s="4">
        <v>35</v>
      </c>
    </row>
    <row r="485" spans="1:22" x14ac:dyDescent="0.3">
      <c r="A485" s="1" t="s">
        <v>833</v>
      </c>
      <c r="B485" s="1" t="s">
        <v>73</v>
      </c>
      <c r="C485" s="1" t="s">
        <v>96</v>
      </c>
      <c r="D485" s="1" t="s">
        <v>31</v>
      </c>
      <c r="E485" s="4">
        <v>15</v>
      </c>
      <c r="F485" s="4">
        <v>10</v>
      </c>
      <c r="G485" s="1" t="s">
        <v>43</v>
      </c>
      <c r="H485" s="1" t="s">
        <v>76</v>
      </c>
      <c r="I485" s="5" t="s">
        <v>834</v>
      </c>
      <c r="J485" s="4">
        <v>37</v>
      </c>
      <c r="M485" s="1" t="s">
        <v>751</v>
      </c>
      <c r="N485" s="1" t="s">
        <v>73</v>
      </c>
      <c r="O485" s="1" t="s">
        <v>79</v>
      </c>
      <c r="P485" s="1" t="s">
        <v>31</v>
      </c>
      <c r="Q485" s="4">
        <v>20</v>
      </c>
      <c r="R485" s="4">
        <v>12</v>
      </c>
      <c r="S485" s="1" t="s">
        <v>25</v>
      </c>
      <c r="T485" s="1" t="s">
        <v>76</v>
      </c>
      <c r="U485" s="5" t="s">
        <v>752</v>
      </c>
      <c r="V485" s="4">
        <v>91</v>
      </c>
    </row>
    <row r="486" spans="1:22" x14ac:dyDescent="0.3">
      <c r="A486" s="1" t="s">
        <v>840</v>
      </c>
      <c r="B486" s="1" t="s">
        <v>29</v>
      </c>
      <c r="C486" s="1" t="s">
        <v>12</v>
      </c>
      <c r="D486" s="1" t="s">
        <v>31</v>
      </c>
      <c r="E486" s="4">
        <v>20</v>
      </c>
      <c r="F486" s="4">
        <v>10</v>
      </c>
      <c r="G486" s="1" t="s">
        <v>43</v>
      </c>
      <c r="H486" s="1" t="s">
        <v>15</v>
      </c>
      <c r="I486" s="5" t="s">
        <v>841</v>
      </c>
      <c r="J486" s="4">
        <v>37</v>
      </c>
      <c r="M486" s="1" t="s">
        <v>762</v>
      </c>
      <c r="N486" s="1" t="s">
        <v>68</v>
      </c>
      <c r="O486" s="1" t="s">
        <v>85</v>
      </c>
      <c r="P486" s="1" t="s">
        <v>31</v>
      </c>
      <c r="Q486" s="4">
        <v>20</v>
      </c>
      <c r="R486" s="4">
        <v>12</v>
      </c>
      <c r="S486" s="1" t="s">
        <v>43</v>
      </c>
      <c r="T486" s="1" t="s">
        <v>20</v>
      </c>
      <c r="U486" s="5" t="s">
        <v>763</v>
      </c>
      <c r="V486" s="4">
        <v>82</v>
      </c>
    </row>
    <row r="487" spans="1:22" x14ac:dyDescent="0.3">
      <c r="A487" s="1" t="s">
        <v>39</v>
      </c>
      <c r="B487" s="1" t="s">
        <v>11</v>
      </c>
      <c r="C487" s="1" t="s">
        <v>12</v>
      </c>
      <c r="D487" s="1" t="s">
        <v>31</v>
      </c>
      <c r="E487" s="4">
        <v>19</v>
      </c>
      <c r="F487" s="4">
        <v>10</v>
      </c>
      <c r="G487" s="1" t="s">
        <v>14</v>
      </c>
      <c r="H487" s="1" t="s">
        <v>40</v>
      </c>
      <c r="I487" s="5" t="s">
        <v>41</v>
      </c>
      <c r="J487" s="4">
        <v>36</v>
      </c>
      <c r="M487" s="1" t="s">
        <v>766</v>
      </c>
      <c r="N487" s="1" t="s">
        <v>35</v>
      </c>
      <c r="O487" s="1" t="s">
        <v>58</v>
      </c>
      <c r="P487" s="1" t="s">
        <v>13</v>
      </c>
      <c r="Q487" s="4">
        <v>20</v>
      </c>
      <c r="R487" s="4">
        <v>11</v>
      </c>
      <c r="S487" s="1" t="s">
        <v>32</v>
      </c>
      <c r="T487" s="1" t="s">
        <v>46</v>
      </c>
      <c r="U487" s="5" t="s">
        <v>767</v>
      </c>
      <c r="V487" s="4">
        <v>54</v>
      </c>
    </row>
    <row r="488" spans="1:22" x14ac:dyDescent="0.3">
      <c r="A488" s="1" t="s">
        <v>158</v>
      </c>
      <c r="B488" s="1" t="s">
        <v>18</v>
      </c>
      <c r="C488" s="1" t="s">
        <v>19</v>
      </c>
      <c r="D488" s="1" t="s">
        <v>13</v>
      </c>
      <c r="E488" s="4">
        <v>16</v>
      </c>
      <c r="F488" s="4">
        <v>12</v>
      </c>
      <c r="G488" s="1" t="s">
        <v>43</v>
      </c>
      <c r="H488" s="1" t="s">
        <v>40</v>
      </c>
      <c r="I488" s="5" t="s">
        <v>159</v>
      </c>
      <c r="J488" s="4">
        <v>36</v>
      </c>
      <c r="M488" s="1" t="s">
        <v>775</v>
      </c>
      <c r="N488" s="1" t="s">
        <v>29</v>
      </c>
      <c r="O488" s="1" t="s">
        <v>85</v>
      </c>
      <c r="P488" s="1" t="s">
        <v>31</v>
      </c>
      <c r="Q488" s="4">
        <v>20</v>
      </c>
      <c r="R488" s="4">
        <v>10</v>
      </c>
      <c r="S488" s="1" t="s">
        <v>14</v>
      </c>
      <c r="T488" s="1" t="s">
        <v>46</v>
      </c>
      <c r="U488" s="5" t="s">
        <v>366</v>
      </c>
      <c r="V488" s="4">
        <v>100</v>
      </c>
    </row>
    <row r="489" spans="1:22" x14ac:dyDescent="0.3">
      <c r="A489" s="1" t="s">
        <v>253</v>
      </c>
      <c r="B489" s="1" t="s">
        <v>18</v>
      </c>
      <c r="C489" s="1" t="s">
        <v>24</v>
      </c>
      <c r="D489" s="1" t="s">
        <v>13</v>
      </c>
      <c r="E489" s="4">
        <v>15</v>
      </c>
      <c r="F489" s="4">
        <v>9</v>
      </c>
      <c r="G489" s="1" t="s">
        <v>25</v>
      </c>
      <c r="H489" s="1" t="s">
        <v>20</v>
      </c>
      <c r="I489" s="5" t="s">
        <v>254</v>
      </c>
      <c r="J489" s="4">
        <v>36</v>
      </c>
      <c r="M489" s="1" t="s">
        <v>776</v>
      </c>
      <c r="N489" s="1" t="s">
        <v>11</v>
      </c>
      <c r="O489" s="1" t="s">
        <v>12</v>
      </c>
      <c r="P489" s="1" t="s">
        <v>31</v>
      </c>
      <c r="Q489" s="4">
        <v>20</v>
      </c>
      <c r="R489" s="4">
        <v>9</v>
      </c>
      <c r="S489" s="1" t="s">
        <v>14</v>
      </c>
      <c r="T489" s="1" t="s">
        <v>76</v>
      </c>
      <c r="U489" s="5" t="s">
        <v>777</v>
      </c>
      <c r="V489" s="4">
        <v>84</v>
      </c>
    </row>
    <row r="490" spans="1:22" x14ac:dyDescent="0.3">
      <c r="A490" s="1" t="s">
        <v>435</v>
      </c>
      <c r="B490" s="1" t="s">
        <v>29</v>
      </c>
      <c r="C490" s="1" t="s">
        <v>30</v>
      </c>
      <c r="D490" s="1" t="s">
        <v>31</v>
      </c>
      <c r="E490" s="4">
        <v>20</v>
      </c>
      <c r="F490" s="4">
        <v>12</v>
      </c>
      <c r="G490" s="1" t="s">
        <v>43</v>
      </c>
      <c r="H490" s="1" t="s">
        <v>26</v>
      </c>
      <c r="I490" s="5" t="s">
        <v>436</v>
      </c>
      <c r="J490" s="4">
        <v>36</v>
      </c>
      <c r="M490" s="1" t="s">
        <v>793</v>
      </c>
      <c r="N490" s="1" t="s">
        <v>35</v>
      </c>
      <c r="O490" s="1" t="s">
        <v>19</v>
      </c>
      <c r="P490" s="1" t="s">
        <v>31</v>
      </c>
      <c r="Q490" s="4">
        <v>20</v>
      </c>
      <c r="R490" s="4">
        <v>11</v>
      </c>
      <c r="S490" s="1" t="s">
        <v>32</v>
      </c>
      <c r="T490" s="1" t="s">
        <v>20</v>
      </c>
      <c r="U490" s="5" t="s">
        <v>794</v>
      </c>
      <c r="V490" s="4">
        <v>74</v>
      </c>
    </row>
    <row r="491" spans="1:22" x14ac:dyDescent="0.3">
      <c r="A491" s="1" t="s">
        <v>480</v>
      </c>
      <c r="B491" s="1" t="s">
        <v>35</v>
      </c>
      <c r="C491" s="1" t="s">
        <v>12</v>
      </c>
      <c r="D491" s="1" t="s">
        <v>31</v>
      </c>
      <c r="E491" s="4">
        <v>18</v>
      </c>
      <c r="F491" s="4">
        <v>10</v>
      </c>
      <c r="G491" s="1" t="s">
        <v>14</v>
      </c>
      <c r="H491" s="1" t="s">
        <v>37</v>
      </c>
      <c r="I491" s="5" t="s">
        <v>481</v>
      </c>
      <c r="J491" s="4">
        <v>36</v>
      </c>
      <c r="M491" s="1" t="s">
        <v>811</v>
      </c>
      <c r="N491" s="1" t="s">
        <v>29</v>
      </c>
      <c r="O491" s="1" t="s">
        <v>58</v>
      </c>
      <c r="P491" s="1" t="s">
        <v>13</v>
      </c>
      <c r="Q491" s="4">
        <v>20</v>
      </c>
      <c r="R491" s="4">
        <v>11</v>
      </c>
      <c r="S491" s="1" t="s">
        <v>14</v>
      </c>
      <c r="T491" s="1" t="s">
        <v>61</v>
      </c>
      <c r="U491" s="5" t="s">
        <v>358</v>
      </c>
      <c r="V491" s="4">
        <v>44</v>
      </c>
    </row>
    <row r="492" spans="1:22" x14ac:dyDescent="0.3">
      <c r="A492" s="1" t="s">
        <v>780</v>
      </c>
      <c r="B492" s="1" t="s">
        <v>35</v>
      </c>
      <c r="C492" s="1" t="s">
        <v>36</v>
      </c>
      <c r="D492" s="1" t="s">
        <v>31</v>
      </c>
      <c r="E492" s="4">
        <v>14</v>
      </c>
      <c r="F492" s="4">
        <v>9</v>
      </c>
      <c r="G492" s="1" t="s">
        <v>25</v>
      </c>
      <c r="H492" s="1" t="s">
        <v>40</v>
      </c>
      <c r="I492" s="5" t="s">
        <v>781</v>
      </c>
      <c r="J492" s="4">
        <v>36</v>
      </c>
      <c r="M492" s="1" t="s">
        <v>821</v>
      </c>
      <c r="N492" s="1" t="s">
        <v>18</v>
      </c>
      <c r="O492" s="1" t="s">
        <v>79</v>
      </c>
      <c r="P492" s="1" t="s">
        <v>13</v>
      </c>
      <c r="Q492" s="4">
        <v>20</v>
      </c>
      <c r="R492" s="4">
        <v>12</v>
      </c>
      <c r="S492" s="1" t="s">
        <v>32</v>
      </c>
      <c r="T492" s="1" t="s">
        <v>26</v>
      </c>
      <c r="U492" s="5" t="s">
        <v>822</v>
      </c>
      <c r="V492" s="4">
        <v>52</v>
      </c>
    </row>
    <row r="493" spans="1:22" x14ac:dyDescent="0.3">
      <c r="A493" s="1" t="s">
        <v>894</v>
      </c>
      <c r="B493" s="1" t="s">
        <v>23</v>
      </c>
      <c r="C493" s="1" t="s">
        <v>79</v>
      </c>
      <c r="D493" s="1" t="s">
        <v>31</v>
      </c>
      <c r="E493" s="4">
        <v>20</v>
      </c>
      <c r="F493" s="4">
        <v>9</v>
      </c>
      <c r="G493" s="1" t="s">
        <v>14</v>
      </c>
      <c r="H493" s="1" t="s">
        <v>26</v>
      </c>
      <c r="I493" s="5" t="s">
        <v>895</v>
      </c>
      <c r="J493" s="4">
        <v>36</v>
      </c>
      <c r="M493" s="1" t="s">
        <v>824</v>
      </c>
      <c r="N493" s="1" t="s">
        <v>54</v>
      </c>
      <c r="O493" s="1" t="s">
        <v>19</v>
      </c>
      <c r="P493" s="1" t="s">
        <v>31</v>
      </c>
      <c r="Q493" s="4">
        <v>20</v>
      </c>
      <c r="R493" s="4">
        <v>9</v>
      </c>
      <c r="S493" s="1" t="s">
        <v>14</v>
      </c>
      <c r="T493" s="1" t="s">
        <v>37</v>
      </c>
      <c r="U493" s="5" t="s">
        <v>825</v>
      </c>
      <c r="V493" s="4">
        <v>43</v>
      </c>
    </row>
    <row r="494" spans="1:22" x14ac:dyDescent="0.3">
      <c r="A494" s="1" t="s">
        <v>940</v>
      </c>
      <c r="B494" s="1" t="s">
        <v>51</v>
      </c>
      <c r="C494" s="1" t="s">
        <v>96</v>
      </c>
      <c r="D494" s="1" t="s">
        <v>31</v>
      </c>
      <c r="E494" s="4">
        <v>18</v>
      </c>
      <c r="F494" s="4">
        <v>9</v>
      </c>
      <c r="G494" s="1" t="s">
        <v>43</v>
      </c>
      <c r="H494" s="1" t="s">
        <v>76</v>
      </c>
      <c r="I494" s="5" t="s">
        <v>506</v>
      </c>
      <c r="J494" s="4">
        <v>36</v>
      </c>
      <c r="M494" s="1" t="s">
        <v>840</v>
      </c>
      <c r="N494" s="1" t="s">
        <v>29</v>
      </c>
      <c r="O494" s="1" t="s">
        <v>12</v>
      </c>
      <c r="P494" s="1" t="s">
        <v>31</v>
      </c>
      <c r="Q494" s="4">
        <v>20</v>
      </c>
      <c r="R494" s="4">
        <v>10</v>
      </c>
      <c r="S494" s="1" t="s">
        <v>43</v>
      </c>
      <c r="T494" s="1" t="s">
        <v>15</v>
      </c>
      <c r="U494" s="5" t="s">
        <v>841</v>
      </c>
      <c r="V494" s="4">
        <v>37</v>
      </c>
    </row>
    <row r="495" spans="1:22" x14ac:dyDescent="0.3">
      <c r="A495" s="1" t="s">
        <v>314</v>
      </c>
      <c r="B495" s="1" t="s">
        <v>68</v>
      </c>
      <c r="C495" s="1" t="s">
        <v>79</v>
      </c>
      <c r="D495" s="1" t="s">
        <v>13</v>
      </c>
      <c r="E495" s="4">
        <v>15</v>
      </c>
      <c r="F495" s="4">
        <v>11</v>
      </c>
      <c r="G495" s="1" t="s">
        <v>14</v>
      </c>
      <c r="H495" s="1" t="s">
        <v>46</v>
      </c>
      <c r="I495" s="5" t="s">
        <v>315</v>
      </c>
      <c r="J495" s="4">
        <v>35</v>
      </c>
      <c r="M495" s="1" t="s">
        <v>857</v>
      </c>
      <c r="N495" s="1" t="s">
        <v>18</v>
      </c>
      <c r="O495" s="1" t="s">
        <v>96</v>
      </c>
      <c r="P495" s="1" t="s">
        <v>13</v>
      </c>
      <c r="Q495" s="4">
        <v>20</v>
      </c>
      <c r="R495" s="4">
        <v>11</v>
      </c>
      <c r="S495" s="1" t="s">
        <v>32</v>
      </c>
      <c r="T495" s="1" t="s">
        <v>61</v>
      </c>
      <c r="U495" s="5" t="s">
        <v>570</v>
      </c>
      <c r="V495" s="4">
        <v>94</v>
      </c>
    </row>
    <row r="496" spans="1:22" x14ac:dyDescent="0.3">
      <c r="A496" s="1" t="s">
        <v>343</v>
      </c>
      <c r="B496" s="1" t="s">
        <v>68</v>
      </c>
      <c r="C496" s="1" t="s">
        <v>79</v>
      </c>
      <c r="D496" s="1" t="s">
        <v>13</v>
      </c>
      <c r="E496" s="4">
        <v>19</v>
      </c>
      <c r="F496" s="4">
        <v>11</v>
      </c>
      <c r="G496" s="1" t="s">
        <v>14</v>
      </c>
      <c r="H496" s="1" t="s">
        <v>40</v>
      </c>
      <c r="I496" s="5" t="s">
        <v>344</v>
      </c>
      <c r="J496" s="4">
        <v>35</v>
      </c>
      <c r="M496" s="1" t="s">
        <v>871</v>
      </c>
      <c r="N496" s="1" t="s">
        <v>11</v>
      </c>
      <c r="O496" s="1" t="s">
        <v>12</v>
      </c>
      <c r="P496" s="1" t="s">
        <v>13</v>
      </c>
      <c r="Q496" s="4">
        <v>20</v>
      </c>
      <c r="R496" s="4">
        <v>10</v>
      </c>
      <c r="S496" s="1" t="s">
        <v>25</v>
      </c>
      <c r="T496" s="1" t="s">
        <v>76</v>
      </c>
      <c r="U496" s="5" t="s">
        <v>872</v>
      </c>
      <c r="V496" s="4">
        <v>66</v>
      </c>
    </row>
    <row r="497" spans="1:22" x14ac:dyDescent="0.3">
      <c r="A497" s="1" t="s">
        <v>452</v>
      </c>
      <c r="B497" s="1" t="s">
        <v>51</v>
      </c>
      <c r="C497" s="1" t="s">
        <v>12</v>
      </c>
      <c r="D497" s="1" t="s">
        <v>13</v>
      </c>
      <c r="E497" s="4">
        <v>18</v>
      </c>
      <c r="F497" s="4">
        <v>9</v>
      </c>
      <c r="G497" s="1" t="s">
        <v>32</v>
      </c>
      <c r="H497" s="1" t="s">
        <v>76</v>
      </c>
      <c r="I497" s="5" t="s">
        <v>453</v>
      </c>
      <c r="J497" s="4">
        <v>35</v>
      </c>
      <c r="M497" s="1" t="s">
        <v>894</v>
      </c>
      <c r="N497" s="1" t="s">
        <v>23</v>
      </c>
      <c r="O497" s="1" t="s">
        <v>79</v>
      </c>
      <c r="P497" s="1" t="s">
        <v>31</v>
      </c>
      <c r="Q497" s="4">
        <v>20</v>
      </c>
      <c r="R497" s="4">
        <v>9</v>
      </c>
      <c r="S497" s="1" t="s">
        <v>14</v>
      </c>
      <c r="T497" s="1" t="s">
        <v>26</v>
      </c>
      <c r="U497" s="5" t="s">
        <v>895</v>
      </c>
      <c r="V497" s="4">
        <v>36</v>
      </c>
    </row>
    <row r="498" spans="1:22" x14ac:dyDescent="0.3">
      <c r="A498" s="1" t="s">
        <v>579</v>
      </c>
      <c r="B498" s="1" t="s">
        <v>51</v>
      </c>
      <c r="C498" s="1" t="s">
        <v>55</v>
      </c>
      <c r="D498" s="1" t="s">
        <v>31</v>
      </c>
      <c r="E498" s="4">
        <v>20</v>
      </c>
      <c r="F498" s="4">
        <v>9</v>
      </c>
      <c r="G498" s="1" t="s">
        <v>25</v>
      </c>
      <c r="H498" s="1" t="s">
        <v>26</v>
      </c>
      <c r="I498" s="5" t="s">
        <v>212</v>
      </c>
      <c r="J498" s="4">
        <v>35</v>
      </c>
      <c r="M498" s="1" t="s">
        <v>903</v>
      </c>
      <c r="N498" s="1" t="s">
        <v>54</v>
      </c>
      <c r="O498" s="1" t="s">
        <v>30</v>
      </c>
      <c r="P498" s="1" t="s">
        <v>31</v>
      </c>
      <c r="Q498" s="4">
        <v>20</v>
      </c>
      <c r="R498" s="4">
        <v>12</v>
      </c>
      <c r="S498" s="1" t="s">
        <v>43</v>
      </c>
      <c r="T498" s="1" t="s">
        <v>40</v>
      </c>
      <c r="U498" s="5" t="s">
        <v>904</v>
      </c>
      <c r="V498" s="4">
        <v>55</v>
      </c>
    </row>
    <row r="499" spans="1:22" x14ac:dyDescent="0.3">
      <c r="A499" s="1" t="s">
        <v>707</v>
      </c>
      <c r="B499" s="1" t="s">
        <v>68</v>
      </c>
      <c r="C499" s="1" t="s">
        <v>96</v>
      </c>
      <c r="D499" s="1" t="s">
        <v>31</v>
      </c>
      <c r="E499" s="4">
        <v>20</v>
      </c>
      <c r="F499" s="4">
        <v>12</v>
      </c>
      <c r="G499" s="1" t="s">
        <v>43</v>
      </c>
      <c r="H499" s="1" t="s">
        <v>37</v>
      </c>
      <c r="I499" s="5" t="s">
        <v>708</v>
      </c>
      <c r="J499" s="4">
        <v>35</v>
      </c>
      <c r="M499" s="1" t="s">
        <v>928</v>
      </c>
      <c r="N499" s="1" t="s">
        <v>23</v>
      </c>
      <c r="O499" s="1" t="s">
        <v>55</v>
      </c>
      <c r="P499" s="1" t="s">
        <v>13</v>
      </c>
      <c r="Q499" s="4">
        <v>20</v>
      </c>
      <c r="R499" s="4">
        <v>11</v>
      </c>
      <c r="S499" s="1" t="s">
        <v>14</v>
      </c>
      <c r="T499" s="1" t="s">
        <v>15</v>
      </c>
      <c r="U499" s="5" t="s">
        <v>608</v>
      </c>
      <c r="V499" s="4">
        <v>49</v>
      </c>
    </row>
    <row r="500" spans="1:22" x14ac:dyDescent="0.3">
      <c r="A500" s="1" t="s">
        <v>718</v>
      </c>
      <c r="B500" s="1" t="s">
        <v>84</v>
      </c>
      <c r="C500" s="1" t="s">
        <v>12</v>
      </c>
      <c r="D500" s="1" t="s">
        <v>31</v>
      </c>
      <c r="E500" s="4">
        <v>20</v>
      </c>
      <c r="F500" s="4">
        <v>10</v>
      </c>
      <c r="G500" s="1" t="s">
        <v>25</v>
      </c>
      <c r="H500" s="1" t="s">
        <v>61</v>
      </c>
      <c r="I500" s="5" t="s">
        <v>639</v>
      </c>
      <c r="J500" s="4">
        <v>35</v>
      </c>
      <c r="M500" s="1" t="s">
        <v>930</v>
      </c>
      <c r="N500" s="1" t="s">
        <v>35</v>
      </c>
      <c r="O500" s="1" t="s">
        <v>96</v>
      </c>
      <c r="P500" s="1" t="s">
        <v>31</v>
      </c>
      <c r="Q500" s="4">
        <v>20</v>
      </c>
      <c r="R500" s="4">
        <v>9</v>
      </c>
      <c r="S500" s="1" t="s">
        <v>25</v>
      </c>
      <c r="T500" s="1" t="s">
        <v>61</v>
      </c>
      <c r="U500" s="5" t="s">
        <v>342</v>
      </c>
      <c r="V500" s="4">
        <v>62</v>
      </c>
    </row>
    <row r="501" spans="1:22" x14ac:dyDescent="0.3">
      <c r="A501" s="1" t="s">
        <v>831</v>
      </c>
      <c r="B501" s="1" t="s">
        <v>54</v>
      </c>
      <c r="C501" s="1" t="s">
        <v>36</v>
      </c>
      <c r="D501" s="1" t="s">
        <v>31</v>
      </c>
      <c r="E501" s="4">
        <v>19</v>
      </c>
      <c r="F501" s="4">
        <v>9</v>
      </c>
      <c r="G501" s="1" t="s">
        <v>32</v>
      </c>
      <c r="H501" s="1" t="s">
        <v>15</v>
      </c>
      <c r="I501" s="5" t="s">
        <v>832</v>
      </c>
      <c r="J501" s="4">
        <v>35</v>
      </c>
      <c r="M501" s="1" t="s">
        <v>931</v>
      </c>
      <c r="N501" s="1" t="s">
        <v>23</v>
      </c>
      <c r="O501" s="1" t="s">
        <v>36</v>
      </c>
      <c r="P501" s="1" t="s">
        <v>13</v>
      </c>
      <c r="Q501" s="4">
        <v>20</v>
      </c>
      <c r="R501" s="4">
        <v>9</v>
      </c>
      <c r="S501" s="1" t="s">
        <v>43</v>
      </c>
      <c r="T501" s="1" t="s">
        <v>40</v>
      </c>
      <c r="U501" s="5" t="s">
        <v>932</v>
      </c>
      <c r="V501" s="4">
        <v>85</v>
      </c>
    </row>
    <row r="502" spans="1:22" x14ac:dyDescent="0.3">
      <c r="A502" s="1" t="s">
        <v>838</v>
      </c>
      <c r="B502" s="1" t="s">
        <v>29</v>
      </c>
      <c r="C502" s="1" t="s">
        <v>36</v>
      </c>
      <c r="D502" s="1" t="s">
        <v>31</v>
      </c>
      <c r="E502" s="4">
        <v>17</v>
      </c>
      <c r="F502" s="4">
        <v>10</v>
      </c>
      <c r="G502" s="1" t="s">
        <v>25</v>
      </c>
      <c r="H502" s="1" t="s">
        <v>15</v>
      </c>
      <c r="I502" s="5" t="s">
        <v>839</v>
      </c>
      <c r="J502" s="4">
        <v>35</v>
      </c>
      <c r="M502" s="1" t="s">
        <v>933</v>
      </c>
      <c r="N502" s="1" t="s">
        <v>51</v>
      </c>
      <c r="O502" s="1" t="s">
        <v>96</v>
      </c>
      <c r="P502" s="1" t="s">
        <v>13</v>
      </c>
      <c r="Q502" s="4">
        <v>20</v>
      </c>
      <c r="R502" s="4">
        <v>11</v>
      </c>
      <c r="S502" s="1" t="s">
        <v>25</v>
      </c>
      <c r="T502" s="1" t="s">
        <v>15</v>
      </c>
      <c r="U502" s="5" t="s">
        <v>494</v>
      </c>
      <c r="V502" s="4">
        <v>42</v>
      </c>
    </row>
    <row r="503" spans="1:22" x14ac:dyDescent="0.3">
      <c r="A503" s="1" t="s">
        <v>874</v>
      </c>
      <c r="B503" s="1" t="s">
        <v>35</v>
      </c>
      <c r="C503" s="1" t="s">
        <v>36</v>
      </c>
      <c r="D503" s="1" t="s">
        <v>13</v>
      </c>
      <c r="E503" s="4">
        <v>16</v>
      </c>
      <c r="F503" s="4">
        <v>10</v>
      </c>
      <c r="G503" s="1" t="s">
        <v>14</v>
      </c>
      <c r="H503" s="1" t="s">
        <v>61</v>
      </c>
      <c r="I503" s="5" t="s">
        <v>875</v>
      </c>
      <c r="J503" s="4">
        <v>35</v>
      </c>
      <c r="M503" s="1" t="s">
        <v>935</v>
      </c>
      <c r="N503" s="1" t="s">
        <v>18</v>
      </c>
      <c r="O503" s="1" t="s">
        <v>12</v>
      </c>
      <c r="P503" s="1" t="s">
        <v>13</v>
      </c>
      <c r="Q503" s="4">
        <v>20</v>
      </c>
      <c r="R503" s="4">
        <v>11</v>
      </c>
      <c r="S503" s="1" t="s">
        <v>43</v>
      </c>
      <c r="T503" s="1" t="s">
        <v>46</v>
      </c>
      <c r="U503" s="5" t="s">
        <v>936</v>
      </c>
      <c r="V503" s="4">
        <v>94</v>
      </c>
    </row>
  </sheetData>
  <sortState xmlns:xlrd2="http://schemas.microsoft.com/office/spreadsheetml/2017/richdata2" ref="M4:V503">
    <sortCondition ref="Q4:Q5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0B60-82BE-47B1-AB14-5B6499EEE300}">
  <dimension ref="A1:CV213"/>
  <sheetViews>
    <sheetView topLeftCell="CA1" workbookViewId="0">
      <selection activeCell="CM7" sqref="CM7"/>
    </sheetView>
  </sheetViews>
  <sheetFormatPr defaultRowHeight="14.4" x14ac:dyDescent="0.3"/>
  <sheetData>
    <row r="1" spans="1:100" ht="15.6" x14ac:dyDescent="0.3">
      <c r="A1" s="6" t="s">
        <v>950</v>
      </c>
      <c r="M1" s="6" t="s">
        <v>951</v>
      </c>
      <c r="Y1" s="6" t="s">
        <v>952</v>
      </c>
      <c r="AL1" s="15" t="s">
        <v>1003</v>
      </c>
      <c r="AY1" s="15" t="s">
        <v>1004</v>
      </c>
      <c r="BL1" s="15" t="s">
        <v>1005</v>
      </c>
      <c r="BY1" s="15" t="s">
        <v>1006</v>
      </c>
      <c r="CL1" s="15" t="s">
        <v>1007</v>
      </c>
    </row>
    <row r="3" spans="1:100" x14ac:dyDescent="0.3">
      <c r="A3" s="2" t="s">
        <v>7</v>
      </c>
      <c r="M3" s="2" t="s">
        <v>9</v>
      </c>
      <c r="Z3" s="2" t="s">
        <v>3</v>
      </c>
      <c r="AA3" s="2" t="s">
        <v>5</v>
      </c>
      <c r="AM3" s="2" t="s">
        <v>7</v>
      </c>
      <c r="AZ3" s="2" t="s">
        <v>9</v>
      </c>
      <c r="BM3" s="2" t="s">
        <v>3</v>
      </c>
      <c r="BN3" s="2" t="s">
        <v>5</v>
      </c>
      <c r="BZ3" s="2" t="s">
        <v>4</v>
      </c>
      <c r="CA3" s="2" t="s">
        <v>4</v>
      </c>
      <c r="CM3" s="2" t="s">
        <v>7</v>
      </c>
      <c r="CN3" s="2"/>
    </row>
    <row r="4" spans="1:100" x14ac:dyDescent="0.3">
      <c r="A4" s="1" t="s">
        <v>26</v>
      </c>
      <c r="M4" t="s">
        <v>965</v>
      </c>
      <c r="Z4" s="1" t="s">
        <v>31</v>
      </c>
      <c r="AA4" s="4">
        <v>12</v>
      </c>
      <c r="AM4" s="1" t="s">
        <v>26</v>
      </c>
      <c r="AZ4" t="s">
        <v>965</v>
      </c>
      <c r="BM4" s="1" t="s">
        <v>31</v>
      </c>
      <c r="BN4" s="4">
        <v>12</v>
      </c>
      <c r="BZ4" t="s">
        <v>1008</v>
      </c>
      <c r="CA4" t="s">
        <v>1009</v>
      </c>
      <c r="CM4" s="1" t="s">
        <v>46</v>
      </c>
    </row>
    <row r="5" spans="1:100" x14ac:dyDescent="0.3">
      <c r="CM5" s="1" t="s">
        <v>61</v>
      </c>
    </row>
    <row r="6" spans="1:100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M6" s="2" t="s">
        <v>0</v>
      </c>
      <c r="N6" s="2" t="s">
        <v>1</v>
      </c>
      <c r="O6" s="2" t="s">
        <v>2</v>
      </c>
      <c r="P6" s="2" t="s">
        <v>3</v>
      </c>
      <c r="Q6" s="2" t="s">
        <v>4</v>
      </c>
      <c r="R6" s="2" t="s">
        <v>5</v>
      </c>
      <c r="S6" s="2" t="s">
        <v>6</v>
      </c>
      <c r="T6" s="2" t="s">
        <v>7</v>
      </c>
      <c r="U6" s="2" t="s">
        <v>8</v>
      </c>
      <c r="V6" s="2" t="s">
        <v>9</v>
      </c>
      <c r="Z6" s="2" t="s">
        <v>0</v>
      </c>
      <c r="AA6" s="2" t="s">
        <v>1</v>
      </c>
      <c r="AB6" s="2" t="s">
        <v>2</v>
      </c>
      <c r="AC6" s="2" t="s">
        <v>3</v>
      </c>
      <c r="AD6" s="2" t="s">
        <v>4</v>
      </c>
      <c r="AE6" s="2" t="s">
        <v>5</v>
      </c>
      <c r="AF6" s="2" t="s">
        <v>6</v>
      </c>
      <c r="AG6" s="2" t="s">
        <v>7</v>
      </c>
      <c r="AH6" s="2" t="s">
        <v>8</v>
      </c>
      <c r="AI6" s="2" t="s">
        <v>9</v>
      </c>
      <c r="AM6" s="2" t="s">
        <v>0</v>
      </c>
      <c r="AN6" s="2" t="s">
        <v>1</v>
      </c>
      <c r="AO6" s="2" t="s">
        <v>2</v>
      </c>
      <c r="AP6" s="2" t="s">
        <v>3</v>
      </c>
      <c r="AQ6" s="2" t="s">
        <v>4</v>
      </c>
      <c r="AR6" s="2" t="s">
        <v>5</v>
      </c>
      <c r="AS6" s="2" t="s">
        <v>6</v>
      </c>
      <c r="AT6" s="2" t="s">
        <v>7</v>
      </c>
      <c r="AU6" s="2" t="s">
        <v>8</v>
      </c>
      <c r="AV6" s="2" t="s">
        <v>9</v>
      </c>
      <c r="AZ6" s="2" t="s">
        <v>0</v>
      </c>
      <c r="BA6" s="2" t="s">
        <v>1</v>
      </c>
      <c r="BB6" s="2" t="s">
        <v>2</v>
      </c>
      <c r="BC6" s="2" t="s">
        <v>3</v>
      </c>
      <c r="BD6" s="2" t="s">
        <v>4</v>
      </c>
      <c r="BE6" s="2" t="s">
        <v>5</v>
      </c>
      <c r="BF6" s="2" t="s">
        <v>6</v>
      </c>
      <c r="BG6" s="2" t="s">
        <v>7</v>
      </c>
      <c r="BH6" s="2" t="s">
        <v>8</v>
      </c>
      <c r="BI6" s="2" t="s">
        <v>9</v>
      </c>
      <c r="BM6" s="2" t="s">
        <v>0</v>
      </c>
      <c r="BN6" s="2" t="s">
        <v>1</v>
      </c>
      <c r="BO6" s="2" t="s">
        <v>2</v>
      </c>
      <c r="BP6" s="2" t="s">
        <v>3</v>
      </c>
      <c r="BQ6" s="2" t="s">
        <v>4</v>
      </c>
      <c r="BR6" s="2" t="s">
        <v>5</v>
      </c>
      <c r="BS6" s="2" t="s">
        <v>6</v>
      </c>
      <c r="BT6" s="2" t="s">
        <v>7</v>
      </c>
      <c r="BU6" s="2" t="s">
        <v>8</v>
      </c>
      <c r="BV6" s="2" t="s">
        <v>9</v>
      </c>
      <c r="BZ6" s="2" t="s">
        <v>0</v>
      </c>
      <c r="CA6" s="2" t="s">
        <v>1</v>
      </c>
      <c r="CB6" s="2" t="s">
        <v>2</v>
      </c>
      <c r="CC6" s="2" t="s">
        <v>3</v>
      </c>
      <c r="CD6" s="2" t="s">
        <v>4</v>
      </c>
      <c r="CE6" s="2" t="s">
        <v>5</v>
      </c>
      <c r="CF6" s="2" t="s">
        <v>6</v>
      </c>
      <c r="CG6" s="2" t="s">
        <v>7</v>
      </c>
      <c r="CH6" s="2" t="s">
        <v>8</v>
      </c>
      <c r="CI6" s="2" t="s">
        <v>9</v>
      </c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x14ac:dyDescent="0.3">
      <c r="A7" s="1" t="s">
        <v>22</v>
      </c>
      <c r="B7" s="1" t="s">
        <v>23</v>
      </c>
      <c r="C7" s="1" t="s">
        <v>24</v>
      </c>
      <c r="D7" s="1" t="s">
        <v>13</v>
      </c>
      <c r="E7" s="4">
        <v>14</v>
      </c>
      <c r="F7" s="4">
        <v>12</v>
      </c>
      <c r="G7" s="1" t="s">
        <v>25</v>
      </c>
      <c r="H7" s="1" t="s">
        <v>26</v>
      </c>
      <c r="I7" s="5" t="s">
        <v>27</v>
      </c>
      <c r="J7" s="4">
        <v>38</v>
      </c>
      <c r="M7" s="1" t="s">
        <v>17</v>
      </c>
      <c r="N7" s="1" t="s">
        <v>18</v>
      </c>
      <c r="O7" s="1" t="s">
        <v>19</v>
      </c>
      <c r="P7" s="1" t="s">
        <v>13</v>
      </c>
      <c r="Q7" s="4">
        <v>15</v>
      </c>
      <c r="R7" s="4">
        <v>12</v>
      </c>
      <c r="S7" s="1" t="s">
        <v>14</v>
      </c>
      <c r="T7" s="1" t="s">
        <v>20</v>
      </c>
      <c r="U7" s="5" t="s">
        <v>21</v>
      </c>
      <c r="V7" s="4">
        <v>98</v>
      </c>
      <c r="Z7" s="1" t="s">
        <v>48</v>
      </c>
      <c r="AA7" s="1" t="s">
        <v>18</v>
      </c>
      <c r="AB7" s="1" t="s">
        <v>30</v>
      </c>
      <c r="AC7" s="1" t="s">
        <v>31</v>
      </c>
      <c r="AD7" s="4">
        <v>19</v>
      </c>
      <c r="AE7" s="4">
        <v>12</v>
      </c>
      <c r="AF7" s="1" t="s">
        <v>14</v>
      </c>
      <c r="AG7" s="1" t="s">
        <v>46</v>
      </c>
      <c r="AH7" s="5" t="s">
        <v>49</v>
      </c>
      <c r="AI7" s="4">
        <v>92</v>
      </c>
      <c r="AM7" s="1" t="s">
        <v>22</v>
      </c>
      <c r="AN7" s="1" t="s">
        <v>23</v>
      </c>
      <c r="AO7" s="1" t="s">
        <v>24</v>
      </c>
      <c r="AP7" s="1" t="s">
        <v>13</v>
      </c>
      <c r="AQ7" s="4">
        <v>14</v>
      </c>
      <c r="AR7" s="4">
        <v>12</v>
      </c>
      <c r="AS7" s="1" t="s">
        <v>25</v>
      </c>
      <c r="AT7" s="1" t="s">
        <v>26</v>
      </c>
      <c r="AU7" s="5" t="s">
        <v>27</v>
      </c>
      <c r="AV7" s="4">
        <v>38</v>
      </c>
      <c r="AZ7" s="1" t="s">
        <v>17</v>
      </c>
      <c r="BA7" s="1" t="s">
        <v>18</v>
      </c>
      <c r="BB7" s="1" t="s">
        <v>19</v>
      </c>
      <c r="BC7" s="1" t="s">
        <v>13</v>
      </c>
      <c r="BD7" s="4">
        <v>15</v>
      </c>
      <c r="BE7" s="4">
        <v>12</v>
      </c>
      <c r="BF7" s="1" t="s">
        <v>14</v>
      </c>
      <c r="BG7" s="1" t="s">
        <v>20</v>
      </c>
      <c r="BH7" s="5" t="s">
        <v>21</v>
      </c>
      <c r="BI7" s="4">
        <v>98</v>
      </c>
      <c r="BM7" s="1" t="s">
        <v>48</v>
      </c>
      <c r="BN7" s="1" t="s">
        <v>18</v>
      </c>
      <c r="BO7" s="1" t="s">
        <v>30</v>
      </c>
      <c r="BP7" s="1" t="s">
        <v>31</v>
      </c>
      <c r="BQ7" s="4">
        <v>19</v>
      </c>
      <c r="BR7" s="4">
        <v>12</v>
      </c>
      <c r="BS7" s="1" t="s">
        <v>14</v>
      </c>
      <c r="BT7" s="1" t="s">
        <v>46</v>
      </c>
      <c r="BU7" s="5" t="s">
        <v>49</v>
      </c>
      <c r="BV7" s="4">
        <v>92</v>
      </c>
      <c r="BZ7" s="1" t="s">
        <v>10</v>
      </c>
      <c r="CA7" s="1" t="s">
        <v>11</v>
      </c>
      <c r="CB7" s="1" t="s">
        <v>12</v>
      </c>
      <c r="CC7" s="1" t="s">
        <v>13</v>
      </c>
      <c r="CD7" s="4">
        <v>16</v>
      </c>
      <c r="CE7" s="4">
        <v>10</v>
      </c>
      <c r="CF7" s="1" t="s">
        <v>14</v>
      </c>
      <c r="CG7" s="1" t="s">
        <v>15</v>
      </c>
      <c r="CH7" s="5" t="s">
        <v>16</v>
      </c>
      <c r="CI7" s="4">
        <v>37</v>
      </c>
      <c r="CM7" s="2" t="s">
        <v>0</v>
      </c>
      <c r="CN7" s="2" t="s">
        <v>1</v>
      </c>
      <c r="CO7" s="2" t="s">
        <v>2</v>
      </c>
      <c r="CP7" s="2" t="s">
        <v>3</v>
      </c>
      <c r="CQ7" s="2" t="s">
        <v>4</v>
      </c>
      <c r="CR7" s="2" t="s">
        <v>5</v>
      </c>
      <c r="CS7" s="2" t="s">
        <v>6</v>
      </c>
      <c r="CT7" s="2" t="s">
        <v>7</v>
      </c>
      <c r="CU7" s="2" t="s">
        <v>8</v>
      </c>
      <c r="CV7" s="2" t="s">
        <v>9</v>
      </c>
    </row>
    <row r="8" spans="1:100" x14ac:dyDescent="0.3">
      <c r="A8" s="1" t="s">
        <v>28</v>
      </c>
      <c r="B8" s="1" t="s">
        <v>29</v>
      </c>
      <c r="C8" s="1" t="s">
        <v>30</v>
      </c>
      <c r="D8" s="1" t="s">
        <v>31</v>
      </c>
      <c r="E8" s="4">
        <v>20</v>
      </c>
      <c r="F8" s="4">
        <v>9</v>
      </c>
      <c r="G8" s="1" t="s">
        <v>32</v>
      </c>
      <c r="H8" s="1" t="s">
        <v>26</v>
      </c>
      <c r="I8" s="5" t="s">
        <v>33</v>
      </c>
      <c r="J8" s="4">
        <v>84</v>
      </c>
      <c r="M8" s="1" t="s">
        <v>28</v>
      </c>
      <c r="N8" s="1" t="s">
        <v>29</v>
      </c>
      <c r="O8" s="1" t="s">
        <v>30</v>
      </c>
      <c r="P8" s="1" t="s">
        <v>31</v>
      </c>
      <c r="Q8" s="4">
        <v>20</v>
      </c>
      <c r="R8" s="4">
        <v>9</v>
      </c>
      <c r="S8" s="1" t="s">
        <v>32</v>
      </c>
      <c r="T8" s="1" t="s">
        <v>26</v>
      </c>
      <c r="U8" s="5" t="s">
        <v>33</v>
      </c>
      <c r="V8" s="4">
        <v>84</v>
      </c>
      <c r="Z8" s="1" t="s">
        <v>75</v>
      </c>
      <c r="AA8" s="1" t="s">
        <v>29</v>
      </c>
      <c r="AB8" s="1" t="s">
        <v>58</v>
      </c>
      <c r="AC8" s="1" t="s">
        <v>31</v>
      </c>
      <c r="AD8" s="4">
        <v>17</v>
      </c>
      <c r="AE8" s="4">
        <v>12</v>
      </c>
      <c r="AF8" s="1" t="s">
        <v>32</v>
      </c>
      <c r="AG8" s="1" t="s">
        <v>76</v>
      </c>
      <c r="AH8" s="5" t="s">
        <v>77</v>
      </c>
      <c r="AI8" s="4">
        <v>66</v>
      </c>
      <c r="AM8" s="1" t="s">
        <v>28</v>
      </c>
      <c r="AN8" s="1" t="s">
        <v>29</v>
      </c>
      <c r="AO8" s="1" t="s">
        <v>30</v>
      </c>
      <c r="AP8" s="1" t="s">
        <v>31</v>
      </c>
      <c r="AQ8" s="4">
        <v>20</v>
      </c>
      <c r="AR8" s="4">
        <v>9</v>
      </c>
      <c r="AS8" s="1" t="s">
        <v>32</v>
      </c>
      <c r="AT8" s="1" t="s">
        <v>26</v>
      </c>
      <c r="AU8" s="5" t="s">
        <v>33</v>
      </c>
      <c r="AV8" s="4">
        <v>84</v>
      </c>
      <c r="AZ8" s="1" t="s">
        <v>28</v>
      </c>
      <c r="BA8" s="1" t="s">
        <v>29</v>
      </c>
      <c r="BB8" s="1" t="s">
        <v>30</v>
      </c>
      <c r="BC8" s="1" t="s">
        <v>31</v>
      </c>
      <c r="BD8" s="4">
        <v>20</v>
      </c>
      <c r="BE8" s="4">
        <v>9</v>
      </c>
      <c r="BF8" s="1" t="s">
        <v>32</v>
      </c>
      <c r="BG8" s="1" t="s">
        <v>26</v>
      </c>
      <c r="BH8" s="5" t="s">
        <v>33</v>
      </c>
      <c r="BI8" s="4">
        <v>84</v>
      </c>
      <c r="BM8" s="1" t="s">
        <v>75</v>
      </c>
      <c r="BN8" s="1" t="s">
        <v>29</v>
      </c>
      <c r="BO8" s="1" t="s">
        <v>58</v>
      </c>
      <c r="BP8" s="1" t="s">
        <v>31</v>
      </c>
      <c r="BQ8" s="4">
        <v>17</v>
      </c>
      <c r="BR8" s="4">
        <v>12</v>
      </c>
      <c r="BS8" s="1" t="s">
        <v>32</v>
      </c>
      <c r="BT8" s="1" t="s">
        <v>76</v>
      </c>
      <c r="BU8" s="5" t="s">
        <v>77</v>
      </c>
      <c r="BV8" s="4">
        <v>66</v>
      </c>
      <c r="BZ8" s="1" t="s">
        <v>34</v>
      </c>
      <c r="CA8" s="1" t="s">
        <v>35</v>
      </c>
      <c r="CB8" s="1" t="s">
        <v>36</v>
      </c>
      <c r="CC8" s="1" t="s">
        <v>31</v>
      </c>
      <c r="CD8" s="4">
        <v>17</v>
      </c>
      <c r="CE8" s="4">
        <v>10</v>
      </c>
      <c r="CF8" s="1" t="s">
        <v>32</v>
      </c>
      <c r="CG8" s="1" t="s">
        <v>37</v>
      </c>
      <c r="CH8" s="5" t="s">
        <v>38</v>
      </c>
      <c r="CI8" s="4">
        <v>45</v>
      </c>
      <c r="CM8" s="1" t="s">
        <v>45</v>
      </c>
      <c r="CN8" s="1" t="s">
        <v>35</v>
      </c>
      <c r="CO8" s="1" t="s">
        <v>12</v>
      </c>
      <c r="CP8" s="1" t="s">
        <v>13</v>
      </c>
      <c r="CQ8" s="4">
        <v>19</v>
      </c>
      <c r="CR8" s="4">
        <v>12</v>
      </c>
      <c r="CS8" s="1" t="s">
        <v>32</v>
      </c>
      <c r="CT8" s="1" t="s">
        <v>46</v>
      </c>
      <c r="CU8" s="5" t="s">
        <v>47</v>
      </c>
      <c r="CV8" s="4">
        <v>60</v>
      </c>
    </row>
    <row r="9" spans="1:100" x14ac:dyDescent="0.3">
      <c r="A9" s="1" t="s">
        <v>63</v>
      </c>
      <c r="B9" s="1" t="s">
        <v>11</v>
      </c>
      <c r="C9" s="1" t="s">
        <v>55</v>
      </c>
      <c r="D9" s="1" t="s">
        <v>13</v>
      </c>
      <c r="E9" s="4">
        <v>16</v>
      </c>
      <c r="F9" s="4">
        <v>10</v>
      </c>
      <c r="G9" s="1" t="s">
        <v>25</v>
      </c>
      <c r="H9" s="1" t="s">
        <v>26</v>
      </c>
      <c r="I9" s="5" t="s">
        <v>64</v>
      </c>
      <c r="J9" s="4">
        <v>42</v>
      </c>
      <c r="M9" s="1" t="s">
        <v>42</v>
      </c>
      <c r="N9" s="1" t="s">
        <v>29</v>
      </c>
      <c r="O9" s="1" t="s">
        <v>24</v>
      </c>
      <c r="P9" s="1" t="s">
        <v>31</v>
      </c>
      <c r="Q9" s="4">
        <v>20</v>
      </c>
      <c r="R9" s="4">
        <v>9</v>
      </c>
      <c r="S9" s="1" t="s">
        <v>43</v>
      </c>
      <c r="T9" s="1" t="s">
        <v>40</v>
      </c>
      <c r="U9" s="5" t="s">
        <v>44</v>
      </c>
      <c r="V9" s="4">
        <v>88</v>
      </c>
      <c r="Z9" s="1" t="s">
        <v>93</v>
      </c>
      <c r="AA9" s="1" t="s">
        <v>29</v>
      </c>
      <c r="AB9" s="1" t="s">
        <v>24</v>
      </c>
      <c r="AC9" s="1" t="s">
        <v>31</v>
      </c>
      <c r="AD9" s="4">
        <v>14</v>
      </c>
      <c r="AE9" s="4">
        <v>12</v>
      </c>
      <c r="AF9" s="1" t="s">
        <v>32</v>
      </c>
      <c r="AG9" s="1" t="s">
        <v>61</v>
      </c>
      <c r="AH9" s="5" t="s">
        <v>94</v>
      </c>
      <c r="AI9" s="4">
        <v>72</v>
      </c>
      <c r="AM9" s="1" t="s">
        <v>63</v>
      </c>
      <c r="AN9" s="1" t="s">
        <v>11</v>
      </c>
      <c r="AO9" s="1" t="s">
        <v>55</v>
      </c>
      <c r="AP9" s="1" t="s">
        <v>13</v>
      </c>
      <c r="AQ9" s="4">
        <v>16</v>
      </c>
      <c r="AR9" s="4">
        <v>10</v>
      </c>
      <c r="AS9" s="1" t="s">
        <v>25</v>
      </c>
      <c r="AT9" s="1" t="s">
        <v>26</v>
      </c>
      <c r="AU9" s="5" t="s">
        <v>64</v>
      </c>
      <c r="AV9" s="4">
        <v>42</v>
      </c>
      <c r="AZ9" s="1" t="s">
        <v>42</v>
      </c>
      <c r="BA9" s="1" t="s">
        <v>29</v>
      </c>
      <c r="BB9" s="1" t="s">
        <v>24</v>
      </c>
      <c r="BC9" s="1" t="s">
        <v>31</v>
      </c>
      <c r="BD9" s="4">
        <v>20</v>
      </c>
      <c r="BE9" s="4">
        <v>9</v>
      </c>
      <c r="BF9" s="1" t="s">
        <v>43</v>
      </c>
      <c r="BG9" s="1" t="s">
        <v>40</v>
      </c>
      <c r="BH9" s="5" t="s">
        <v>44</v>
      </c>
      <c r="BI9" s="4">
        <v>88</v>
      </c>
      <c r="BM9" s="1" t="s">
        <v>93</v>
      </c>
      <c r="BN9" s="1" t="s">
        <v>29</v>
      </c>
      <c r="BO9" s="1" t="s">
        <v>24</v>
      </c>
      <c r="BP9" s="1" t="s">
        <v>31</v>
      </c>
      <c r="BQ9" s="4">
        <v>14</v>
      </c>
      <c r="BR9" s="4">
        <v>12</v>
      </c>
      <c r="BS9" s="1" t="s">
        <v>32</v>
      </c>
      <c r="BT9" s="1" t="s">
        <v>61</v>
      </c>
      <c r="BU9" s="5" t="s">
        <v>94</v>
      </c>
      <c r="BV9" s="4">
        <v>72</v>
      </c>
      <c r="BZ9" s="1" t="s">
        <v>63</v>
      </c>
      <c r="CA9" s="1" t="s">
        <v>11</v>
      </c>
      <c r="CB9" s="1" t="s">
        <v>55</v>
      </c>
      <c r="CC9" s="1" t="s">
        <v>13</v>
      </c>
      <c r="CD9" s="4">
        <v>16</v>
      </c>
      <c r="CE9" s="4">
        <v>10</v>
      </c>
      <c r="CF9" s="1" t="s">
        <v>25</v>
      </c>
      <c r="CG9" s="1" t="s">
        <v>26</v>
      </c>
      <c r="CH9" s="5" t="s">
        <v>64</v>
      </c>
      <c r="CI9" s="4">
        <v>42</v>
      </c>
      <c r="CM9" s="1" t="s">
        <v>48</v>
      </c>
      <c r="CN9" s="1" t="s">
        <v>18</v>
      </c>
      <c r="CO9" s="1" t="s">
        <v>30</v>
      </c>
      <c r="CP9" s="1" t="s">
        <v>31</v>
      </c>
      <c r="CQ9" s="4">
        <v>19</v>
      </c>
      <c r="CR9" s="4">
        <v>12</v>
      </c>
      <c r="CS9" s="1" t="s">
        <v>14</v>
      </c>
      <c r="CT9" s="1" t="s">
        <v>46</v>
      </c>
      <c r="CU9" s="5" t="s">
        <v>49</v>
      </c>
      <c r="CV9" s="4">
        <v>92</v>
      </c>
    </row>
    <row r="10" spans="1:100" x14ac:dyDescent="0.3">
      <c r="A10" s="1" t="s">
        <v>87</v>
      </c>
      <c r="B10" s="1" t="s">
        <v>18</v>
      </c>
      <c r="C10" s="1" t="s">
        <v>12</v>
      </c>
      <c r="D10" s="1" t="s">
        <v>13</v>
      </c>
      <c r="E10" s="4">
        <v>20</v>
      </c>
      <c r="F10" s="4">
        <v>12</v>
      </c>
      <c r="G10" s="1" t="s">
        <v>32</v>
      </c>
      <c r="H10" s="1" t="s">
        <v>26</v>
      </c>
      <c r="I10" s="5" t="s">
        <v>88</v>
      </c>
      <c r="J10" s="4">
        <v>86</v>
      </c>
      <c r="M10" s="1" t="s">
        <v>48</v>
      </c>
      <c r="N10" s="1" t="s">
        <v>18</v>
      </c>
      <c r="O10" s="1" t="s">
        <v>30</v>
      </c>
      <c r="P10" s="1" t="s">
        <v>31</v>
      </c>
      <c r="Q10" s="4">
        <v>19</v>
      </c>
      <c r="R10" s="4">
        <v>12</v>
      </c>
      <c r="S10" s="1" t="s">
        <v>14</v>
      </c>
      <c r="T10" s="1" t="s">
        <v>46</v>
      </c>
      <c r="U10" s="5" t="s">
        <v>49</v>
      </c>
      <c r="V10" s="4">
        <v>92</v>
      </c>
      <c r="Z10" s="1" t="s">
        <v>100</v>
      </c>
      <c r="AA10" s="1" t="s">
        <v>35</v>
      </c>
      <c r="AB10" s="1" t="s">
        <v>12</v>
      </c>
      <c r="AC10" s="1" t="s">
        <v>31</v>
      </c>
      <c r="AD10" s="4">
        <v>19</v>
      </c>
      <c r="AE10" s="4">
        <v>12</v>
      </c>
      <c r="AF10" s="1" t="s">
        <v>25</v>
      </c>
      <c r="AG10" s="1" t="s">
        <v>76</v>
      </c>
      <c r="AH10" s="5" t="s">
        <v>101</v>
      </c>
      <c r="AI10" s="4">
        <v>54</v>
      </c>
      <c r="AM10" s="1" t="s">
        <v>87</v>
      </c>
      <c r="AN10" s="1" t="s">
        <v>18</v>
      </c>
      <c r="AO10" s="1" t="s">
        <v>12</v>
      </c>
      <c r="AP10" s="1" t="s">
        <v>13</v>
      </c>
      <c r="AQ10" s="4">
        <v>20</v>
      </c>
      <c r="AR10" s="4">
        <v>12</v>
      </c>
      <c r="AS10" s="1" t="s">
        <v>32</v>
      </c>
      <c r="AT10" s="1" t="s">
        <v>26</v>
      </c>
      <c r="AU10" s="5" t="s">
        <v>88</v>
      </c>
      <c r="AV10" s="4">
        <v>86</v>
      </c>
      <c r="AZ10" s="1" t="s">
        <v>48</v>
      </c>
      <c r="BA10" s="1" t="s">
        <v>18</v>
      </c>
      <c r="BB10" s="1" t="s">
        <v>30</v>
      </c>
      <c r="BC10" s="1" t="s">
        <v>31</v>
      </c>
      <c r="BD10" s="4">
        <v>19</v>
      </c>
      <c r="BE10" s="4">
        <v>12</v>
      </c>
      <c r="BF10" s="1" t="s">
        <v>14</v>
      </c>
      <c r="BG10" s="1" t="s">
        <v>46</v>
      </c>
      <c r="BH10" s="5" t="s">
        <v>49</v>
      </c>
      <c r="BI10" s="4">
        <v>92</v>
      </c>
      <c r="BM10" s="1" t="s">
        <v>100</v>
      </c>
      <c r="BN10" s="1" t="s">
        <v>35</v>
      </c>
      <c r="BO10" s="1" t="s">
        <v>12</v>
      </c>
      <c r="BP10" s="1" t="s">
        <v>31</v>
      </c>
      <c r="BQ10" s="4">
        <v>19</v>
      </c>
      <c r="BR10" s="4">
        <v>12</v>
      </c>
      <c r="BS10" s="1" t="s">
        <v>25</v>
      </c>
      <c r="BT10" s="1" t="s">
        <v>76</v>
      </c>
      <c r="BU10" s="5" t="s">
        <v>101</v>
      </c>
      <c r="BV10" s="4">
        <v>54</v>
      </c>
      <c r="BZ10" s="1" t="s">
        <v>75</v>
      </c>
      <c r="CA10" s="1" t="s">
        <v>29</v>
      </c>
      <c r="CB10" s="1" t="s">
        <v>58</v>
      </c>
      <c r="CC10" s="1" t="s">
        <v>31</v>
      </c>
      <c r="CD10" s="4">
        <v>17</v>
      </c>
      <c r="CE10" s="4">
        <v>12</v>
      </c>
      <c r="CF10" s="1" t="s">
        <v>32</v>
      </c>
      <c r="CG10" s="1" t="s">
        <v>76</v>
      </c>
      <c r="CH10" s="5" t="s">
        <v>77</v>
      </c>
      <c r="CI10" s="4">
        <v>66</v>
      </c>
      <c r="CM10" s="1" t="s">
        <v>60</v>
      </c>
      <c r="CN10" s="1" t="s">
        <v>35</v>
      </c>
      <c r="CO10" s="1" t="s">
        <v>55</v>
      </c>
      <c r="CP10" s="1" t="s">
        <v>13</v>
      </c>
      <c r="CQ10" s="4">
        <v>15</v>
      </c>
      <c r="CR10" s="4">
        <v>12</v>
      </c>
      <c r="CS10" s="1" t="s">
        <v>14</v>
      </c>
      <c r="CT10" s="1" t="s">
        <v>61</v>
      </c>
      <c r="CU10" s="5" t="s">
        <v>62</v>
      </c>
      <c r="CV10" s="4">
        <v>51</v>
      </c>
    </row>
    <row r="11" spans="1:100" x14ac:dyDescent="0.3">
      <c r="A11" s="1" t="s">
        <v>102</v>
      </c>
      <c r="B11" s="1" t="s">
        <v>35</v>
      </c>
      <c r="C11" s="1" t="s">
        <v>12</v>
      </c>
      <c r="D11" s="1" t="s">
        <v>13</v>
      </c>
      <c r="E11" s="4">
        <v>20</v>
      </c>
      <c r="F11" s="4">
        <v>11</v>
      </c>
      <c r="G11" s="1" t="s">
        <v>14</v>
      </c>
      <c r="H11" s="1" t="s">
        <v>26</v>
      </c>
      <c r="I11" s="5" t="s">
        <v>103</v>
      </c>
      <c r="J11" s="4">
        <v>70</v>
      </c>
      <c r="M11" s="1" t="s">
        <v>50</v>
      </c>
      <c r="N11" s="1" t="s">
        <v>51</v>
      </c>
      <c r="O11" s="1" t="s">
        <v>24</v>
      </c>
      <c r="P11" s="1" t="s">
        <v>31</v>
      </c>
      <c r="Q11" s="4">
        <v>15</v>
      </c>
      <c r="R11" s="4">
        <v>9</v>
      </c>
      <c r="S11" s="1" t="s">
        <v>43</v>
      </c>
      <c r="T11" s="1" t="s">
        <v>15</v>
      </c>
      <c r="U11" s="5" t="s">
        <v>52</v>
      </c>
      <c r="V11" s="4">
        <v>90</v>
      </c>
      <c r="Z11" s="1" t="s">
        <v>128</v>
      </c>
      <c r="AA11" s="1" t="s">
        <v>11</v>
      </c>
      <c r="AB11" s="1" t="s">
        <v>24</v>
      </c>
      <c r="AC11" s="1" t="s">
        <v>31</v>
      </c>
      <c r="AD11" s="4">
        <v>17</v>
      </c>
      <c r="AE11" s="4">
        <v>12</v>
      </c>
      <c r="AF11" s="1" t="s">
        <v>32</v>
      </c>
      <c r="AG11" s="1" t="s">
        <v>15</v>
      </c>
      <c r="AH11" s="5" t="s">
        <v>129</v>
      </c>
      <c r="AI11" s="4">
        <v>68</v>
      </c>
      <c r="AM11" s="1" t="s">
        <v>102</v>
      </c>
      <c r="AN11" s="1" t="s">
        <v>35</v>
      </c>
      <c r="AO11" s="1" t="s">
        <v>12</v>
      </c>
      <c r="AP11" s="1" t="s">
        <v>13</v>
      </c>
      <c r="AQ11" s="4">
        <v>20</v>
      </c>
      <c r="AR11" s="4">
        <v>11</v>
      </c>
      <c r="AS11" s="1" t="s">
        <v>14</v>
      </c>
      <c r="AT11" s="1" t="s">
        <v>26</v>
      </c>
      <c r="AU11" s="5" t="s">
        <v>103</v>
      </c>
      <c r="AV11" s="4">
        <v>70</v>
      </c>
      <c r="AZ11" s="1" t="s">
        <v>50</v>
      </c>
      <c r="BA11" s="1" t="s">
        <v>51</v>
      </c>
      <c r="BB11" s="1" t="s">
        <v>24</v>
      </c>
      <c r="BC11" s="1" t="s">
        <v>31</v>
      </c>
      <c r="BD11" s="4">
        <v>15</v>
      </c>
      <c r="BE11" s="4">
        <v>9</v>
      </c>
      <c r="BF11" s="1" t="s">
        <v>43</v>
      </c>
      <c r="BG11" s="1" t="s">
        <v>15</v>
      </c>
      <c r="BH11" s="5" t="s">
        <v>52</v>
      </c>
      <c r="BI11" s="4">
        <v>90</v>
      </c>
      <c r="BM11" s="1" t="s">
        <v>128</v>
      </c>
      <c r="BN11" s="1" t="s">
        <v>11</v>
      </c>
      <c r="BO11" s="1" t="s">
        <v>24</v>
      </c>
      <c r="BP11" s="1" t="s">
        <v>31</v>
      </c>
      <c r="BQ11" s="4">
        <v>17</v>
      </c>
      <c r="BR11" s="4">
        <v>12</v>
      </c>
      <c r="BS11" s="1" t="s">
        <v>32</v>
      </c>
      <c r="BT11" s="1" t="s">
        <v>15</v>
      </c>
      <c r="BU11" s="5" t="s">
        <v>129</v>
      </c>
      <c r="BV11" s="4">
        <v>68</v>
      </c>
      <c r="BZ11" s="1" t="s">
        <v>83</v>
      </c>
      <c r="CA11" s="1" t="s">
        <v>84</v>
      </c>
      <c r="CB11" s="1" t="s">
        <v>85</v>
      </c>
      <c r="CC11" s="1" t="s">
        <v>31</v>
      </c>
      <c r="CD11" s="4">
        <v>16</v>
      </c>
      <c r="CE11" s="4">
        <v>9</v>
      </c>
      <c r="CF11" s="1" t="s">
        <v>43</v>
      </c>
      <c r="CG11" s="1" t="s">
        <v>37</v>
      </c>
      <c r="CH11" s="5" t="s">
        <v>86</v>
      </c>
      <c r="CI11" s="4">
        <v>52</v>
      </c>
      <c r="CM11" s="1" t="s">
        <v>72</v>
      </c>
      <c r="CN11" s="1" t="s">
        <v>73</v>
      </c>
      <c r="CO11" s="1" t="s">
        <v>58</v>
      </c>
      <c r="CP11" s="1" t="s">
        <v>31</v>
      </c>
      <c r="CQ11" s="4">
        <v>19</v>
      </c>
      <c r="CR11" s="4">
        <v>9</v>
      </c>
      <c r="CS11" s="1" t="s">
        <v>32</v>
      </c>
      <c r="CT11" s="1" t="s">
        <v>46</v>
      </c>
      <c r="CU11" s="5" t="s">
        <v>74</v>
      </c>
      <c r="CV11" s="4">
        <v>76</v>
      </c>
    </row>
    <row r="12" spans="1:100" x14ac:dyDescent="0.3">
      <c r="A12" s="1" t="s">
        <v>106</v>
      </c>
      <c r="B12" s="1" t="s">
        <v>51</v>
      </c>
      <c r="C12" s="1" t="s">
        <v>55</v>
      </c>
      <c r="D12" s="1" t="s">
        <v>13</v>
      </c>
      <c r="E12" s="4">
        <v>20</v>
      </c>
      <c r="F12" s="4">
        <v>9</v>
      </c>
      <c r="G12" s="1" t="s">
        <v>32</v>
      </c>
      <c r="H12" s="1" t="s">
        <v>26</v>
      </c>
      <c r="I12" s="5" t="s">
        <v>107</v>
      </c>
      <c r="J12" s="4">
        <v>91</v>
      </c>
      <c r="M12" s="1" t="s">
        <v>87</v>
      </c>
      <c r="N12" s="1" t="s">
        <v>18</v>
      </c>
      <c r="O12" s="1" t="s">
        <v>12</v>
      </c>
      <c r="P12" s="1" t="s">
        <v>13</v>
      </c>
      <c r="Q12" s="4">
        <v>20</v>
      </c>
      <c r="R12" s="4">
        <v>12</v>
      </c>
      <c r="S12" s="1" t="s">
        <v>32</v>
      </c>
      <c r="T12" s="1" t="s">
        <v>26</v>
      </c>
      <c r="U12" s="5" t="s">
        <v>88</v>
      </c>
      <c r="V12" s="4">
        <v>86</v>
      </c>
      <c r="Z12" s="1" t="s">
        <v>142</v>
      </c>
      <c r="AA12" s="1" t="s">
        <v>29</v>
      </c>
      <c r="AB12" s="1" t="s">
        <v>96</v>
      </c>
      <c r="AC12" s="1" t="s">
        <v>31</v>
      </c>
      <c r="AD12" s="4">
        <v>16</v>
      </c>
      <c r="AE12" s="4">
        <v>12</v>
      </c>
      <c r="AF12" s="1" t="s">
        <v>14</v>
      </c>
      <c r="AG12" s="1" t="s">
        <v>37</v>
      </c>
      <c r="AH12" s="5" t="s">
        <v>143</v>
      </c>
      <c r="AI12" s="4">
        <v>85</v>
      </c>
      <c r="AM12" s="1" t="s">
        <v>106</v>
      </c>
      <c r="AN12" s="1" t="s">
        <v>51</v>
      </c>
      <c r="AO12" s="1" t="s">
        <v>55</v>
      </c>
      <c r="AP12" s="1" t="s">
        <v>13</v>
      </c>
      <c r="AQ12" s="4">
        <v>20</v>
      </c>
      <c r="AR12" s="4">
        <v>9</v>
      </c>
      <c r="AS12" s="1" t="s">
        <v>32</v>
      </c>
      <c r="AT12" s="1" t="s">
        <v>26</v>
      </c>
      <c r="AU12" s="5" t="s">
        <v>107</v>
      </c>
      <c r="AV12" s="4">
        <v>91</v>
      </c>
      <c r="AZ12" s="1" t="s">
        <v>87</v>
      </c>
      <c r="BA12" s="1" t="s">
        <v>18</v>
      </c>
      <c r="BB12" s="1" t="s">
        <v>12</v>
      </c>
      <c r="BC12" s="1" t="s">
        <v>13</v>
      </c>
      <c r="BD12" s="4">
        <v>20</v>
      </c>
      <c r="BE12" s="4">
        <v>12</v>
      </c>
      <c r="BF12" s="1" t="s">
        <v>32</v>
      </c>
      <c r="BG12" s="1" t="s">
        <v>26</v>
      </c>
      <c r="BH12" s="5" t="s">
        <v>88</v>
      </c>
      <c r="BI12" s="4">
        <v>86</v>
      </c>
      <c r="BM12" s="1" t="s">
        <v>142</v>
      </c>
      <c r="BN12" s="1" t="s">
        <v>29</v>
      </c>
      <c r="BO12" s="1" t="s">
        <v>96</v>
      </c>
      <c r="BP12" s="1" t="s">
        <v>31</v>
      </c>
      <c r="BQ12" s="4">
        <v>16</v>
      </c>
      <c r="BR12" s="4">
        <v>12</v>
      </c>
      <c r="BS12" s="1" t="s">
        <v>14</v>
      </c>
      <c r="BT12" s="1" t="s">
        <v>37</v>
      </c>
      <c r="BU12" s="5" t="s">
        <v>143</v>
      </c>
      <c r="BV12" s="4">
        <v>85</v>
      </c>
      <c r="BZ12" s="1" t="s">
        <v>89</v>
      </c>
      <c r="CA12" s="1" t="s">
        <v>68</v>
      </c>
      <c r="CB12" s="1" t="s">
        <v>85</v>
      </c>
      <c r="CC12" s="1" t="s">
        <v>31</v>
      </c>
      <c r="CD12" s="4">
        <v>16</v>
      </c>
      <c r="CE12" s="4">
        <v>9</v>
      </c>
      <c r="CF12" s="1" t="s">
        <v>43</v>
      </c>
      <c r="CG12" s="1" t="s">
        <v>20</v>
      </c>
      <c r="CH12" s="5" t="s">
        <v>90</v>
      </c>
      <c r="CI12" s="4">
        <v>52</v>
      </c>
      <c r="CM12" s="1" t="s">
        <v>81</v>
      </c>
      <c r="CN12" s="1" t="s">
        <v>29</v>
      </c>
      <c r="CO12" s="1" t="s">
        <v>58</v>
      </c>
      <c r="CP12" s="1" t="s">
        <v>31</v>
      </c>
      <c r="CQ12" s="4">
        <v>19</v>
      </c>
      <c r="CR12" s="4">
        <v>9</v>
      </c>
      <c r="CS12" s="1" t="s">
        <v>14</v>
      </c>
      <c r="CT12" s="1" t="s">
        <v>61</v>
      </c>
      <c r="CU12" s="5" t="s">
        <v>82</v>
      </c>
      <c r="CV12" s="4">
        <v>50</v>
      </c>
    </row>
    <row r="13" spans="1:100" x14ac:dyDescent="0.3">
      <c r="A13" s="1" t="s">
        <v>108</v>
      </c>
      <c r="B13" s="1" t="s">
        <v>29</v>
      </c>
      <c r="C13" s="1" t="s">
        <v>96</v>
      </c>
      <c r="D13" s="1" t="s">
        <v>31</v>
      </c>
      <c r="E13" s="4">
        <v>15</v>
      </c>
      <c r="F13" s="4">
        <v>11</v>
      </c>
      <c r="G13" s="1" t="s">
        <v>43</v>
      </c>
      <c r="H13" s="1" t="s">
        <v>26</v>
      </c>
      <c r="I13" s="5" t="s">
        <v>109</v>
      </c>
      <c r="J13" s="4">
        <v>77</v>
      </c>
      <c r="M13" s="1" t="s">
        <v>91</v>
      </c>
      <c r="N13" s="1" t="s">
        <v>73</v>
      </c>
      <c r="O13" s="1" t="s">
        <v>12</v>
      </c>
      <c r="P13" s="1" t="s">
        <v>13</v>
      </c>
      <c r="Q13" s="4">
        <v>20</v>
      </c>
      <c r="R13" s="4">
        <v>10</v>
      </c>
      <c r="S13" s="1" t="s">
        <v>43</v>
      </c>
      <c r="T13" s="1" t="s">
        <v>46</v>
      </c>
      <c r="U13" s="5" t="s">
        <v>92</v>
      </c>
      <c r="V13" s="4">
        <v>82</v>
      </c>
      <c r="Z13" s="1" t="s">
        <v>154</v>
      </c>
      <c r="AA13" s="1" t="s">
        <v>51</v>
      </c>
      <c r="AB13" s="1" t="s">
        <v>36</v>
      </c>
      <c r="AC13" s="1" t="s">
        <v>31</v>
      </c>
      <c r="AD13" s="4">
        <v>18</v>
      </c>
      <c r="AE13" s="4">
        <v>12</v>
      </c>
      <c r="AF13" s="1" t="s">
        <v>43</v>
      </c>
      <c r="AG13" s="1" t="s">
        <v>76</v>
      </c>
      <c r="AH13" s="5" t="s">
        <v>155</v>
      </c>
      <c r="AI13" s="4">
        <v>77</v>
      </c>
      <c r="AM13" s="1" t="s">
        <v>108</v>
      </c>
      <c r="AN13" s="1" t="s">
        <v>29</v>
      </c>
      <c r="AO13" s="1" t="s">
        <v>96</v>
      </c>
      <c r="AP13" s="1" t="s">
        <v>31</v>
      </c>
      <c r="AQ13" s="4">
        <v>15</v>
      </c>
      <c r="AR13" s="4">
        <v>11</v>
      </c>
      <c r="AS13" s="1" t="s">
        <v>43</v>
      </c>
      <c r="AT13" s="1" t="s">
        <v>26</v>
      </c>
      <c r="AU13" s="5" t="s">
        <v>109</v>
      </c>
      <c r="AV13" s="4">
        <v>77</v>
      </c>
      <c r="AZ13" s="1" t="s">
        <v>91</v>
      </c>
      <c r="BA13" s="1" t="s">
        <v>73</v>
      </c>
      <c r="BB13" s="1" t="s">
        <v>12</v>
      </c>
      <c r="BC13" s="1" t="s">
        <v>13</v>
      </c>
      <c r="BD13" s="4">
        <v>20</v>
      </c>
      <c r="BE13" s="4">
        <v>10</v>
      </c>
      <c r="BF13" s="1" t="s">
        <v>43</v>
      </c>
      <c r="BG13" s="1" t="s">
        <v>46</v>
      </c>
      <c r="BH13" s="5" t="s">
        <v>92</v>
      </c>
      <c r="BI13" s="4">
        <v>82</v>
      </c>
      <c r="BM13" s="1" t="s">
        <v>154</v>
      </c>
      <c r="BN13" s="1" t="s">
        <v>51</v>
      </c>
      <c r="BO13" s="1" t="s">
        <v>36</v>
      </c>
      <c r="BP13" s="1" t="s">
        <v>31</v>
      </c>
      <c r="BQ13" s="4">
        <v>18</v>
      </c>
      <c r="BR13" s="4">
        <v>12</v>
      </c>
      <c r="BS13" s="1" t="s">
        <v>43</v>
      </c>
      <c r="BT13" s="1" t="s">
        <v>76</v>
      </c>
      <c r="BU13" s="5" t="s">
        <v>155</v>
      </c>
      <c r="BV13" s="4">
        <v>77</v>
      </c>
      <c r="BZ13" s="1" t="s">
        <v>104</v>
      </c>
      <c r="CA13" s="1" t="s">
        <v>29</v>
      </c>
      <c r="CB13" s="1" t="s">
        <v>79</v>
      </c>
      <c r="CC13" s="1" t="s">
        <v>31</v>
      </c>
      <c r="CD13" s="4">
        <v>18</v>
      </c>
      <c r="CE13" s="4">
        <v>10</v>
      </c>
      <c r="CF13" s="1" t="s">
        <v>25</v>
      </c>
      <c r="CG13" s="1" t="s">
        <v>61</v>
      </c>
      <c r="CH13" s="5" t="s">
        <v>105</v>
      </c>
      <c r="CI13" s="4">
        <v>57</v>
      </c>
      <c r="CM13" s="1" t="s">
        <v>91</v>
      </c>
      <c r="CN13" s="1" t="s">
        <v>73</v>
      </c>
      <c r="CO13" s="1" t="s">
        <v>12</v>
      </c>
      <c r="CP13" s="1" t="s">
        <v>13</v>
      </c>
      <c r="CQ13" s="4">
        <v>20</v>
      </c>
      <c r="CR13" s="4">
        <v>10</v>
      </c>
      <c r="CS13" s="1" t="s">
        <v>43</v>
      </c>
      <c r="CT13" s="1" t="s">
        <v>46</v>
      </c>
      <c r="CU13" s="5" t="s">
        <v>92</v>
      </c>
      <c r="CV13" s="4">
        <v>82</v>
      </c>
    </row>
    <row r="14" spans="1:100" x14ac:dyDescent="0.3">
      <c r="A14" s="1" t="s">
        <v>112</v>
      </c>
      <c r="B14" s="1" t="s">
        <v>73</v>
      </c>
      <c r="C14" s="1" t="s">
        <v>30</v>
      </c>
      <c r="D14" s="1" t="s">
        <v>13</v>
      </c>
      <c r="E14" s="4">
        <v>15</v>
      </c>
      <c r="F14" s="4">
        <v>9</v>
      </c>
      <c r="G14" s="1" t="s">
        <v>14</v>
      </c>
      <c r="H14" s="1" t="s">
        <v>26</v>
      </c>
      <c r="I14" s="5" t="s">
        <v>113</v>
      </c>
      <c r="J14" s="4">
        <v>58</v>
      </c>
      <c r="M14" s="1" t="s">
        <v>106</v>
      </c>
      <c r="N14" s="1" t="s">
        <v>51</v>
      </c>
      <c r="O14" s="1" t="s">
        <v>55</v>
      </c>
      <c r="P14" s="1" t="s">
        <v>13</v>
      </c>
      <c r="Q14" s="4">
        <v>20</v>
      </c>
      <c r="R14" s="4">
        <v>9</v>
      </c>
      <c r="S14" s="1" t="s">
        <v>32</v>
      </c>
      <c r="T14" s="1" t="s">
        <v>26</v>
      </c>
      <c r="U14" s="5" t="s">
        <v>107</v>
      </c>
      <c r="V14" s="4">
        <v>91</v>
      </c>
      <c r="Z14" s="1" t="s">
        <v>177</v>
      </c>
      <c r="AA14" s="1" t="s">
        <v>29</v>
      </c>
      <c r="AB14" s="1" t="s">
        <v>58</v>
      </c>
      <c r="AC14" s="1" t="s">
        <v>31</v>
      </c>
      <c r="AD14" s="4">
        <v>19</v>
      </c>
      <c r="AE14" s="4">
        <v>12</v>
      </c>
      <c r="AF14" s="1" t="s">
        <v>43</v>
      </c>
      <c r="AG14" s="1" t="s">
        <v>61</v>
      </c>
      <c r="AH14" s="5" t="s">
        <v>178</v>
      </c>
      <c r="AI14" s="4">
        <v>99</v>
      </c>
      <c r="AM14" s="1" t="s">
        <v>112</v>
      </c>
      <c r="AN14" s="1" t="s">
        <v>73</v>
      </c>
      <c r="AO14" s="1" t="s">
        <v>30</v>
      </c>
      <c r="AP14" s="1" t="s">
        <v>13</v>
      </c>
      <c r="AQ14" s="4">
        <v>15</v>
      </c>
      <c r="AR14" s="4">
        <v>9</v>
      </c>
      <c r="AS14" s="1" t="s">
        <v>14</v>
      </c>
      <c r="AT14" s="1" t="s">
        <v>26</v>
      </c>
      <c r="AU14" s="5" t="s">
        <v>113</v>
      </c>
      <c r="AV14" s="4">
        <v>58</v>
      </c>
      <c r="AZ14" s="1" t="s">
        <v>106</v>
      </c>
      <c r="BA14" s="1" t="s">
        <v>51</v>
      </c>
      <c r="BB14" s="1" t="s">
        <v>55</v>
      </c>
      <c r="BC14" s="1" t="s">
        <v>13</v>
      </c>
      <c r="BD14" s="4">
        <v>20</v>
      </c>
      <c r="BE14" s="4">
        <v>9</v>
      </c>
      <c r="BF14" s="1" t="s">
        <v>32</v>
      </c>
      <c r="BG14" s="1" t="s">
        <v>26</v>
      </c>
      <c r="BH14" s="5" t="s">
        <v>107</v>
      </c>
      <c r="BI14" s="4">
        <v>91</v>
      </c>
      <c r="BM14" s="1" t="s">
        <v>177</v>
      </c>
      <c r="BN14" s="1" t="s">
        <v>29</v>
      </c>
      <c r="BO14" s="1" t="s">
        <v>58</v>
      </c>
      <c r="BP14" s="1" t="s">
        <v>31</v>
      </c>
      <c r="BQ14" s="4">
        <v>19</v>
      </c>
      <c r="BR14" s="4">
        <v>12</v>
      </c>
      <c r="BS14" s="1" t="s">
        <v>43</v>
      </c>
      <c r="BT14" s="1" t="s">
        <v>61</v>
      </c>
      <c r="BU14" s="5" t="s">
        <v>178</v>
      </c>
      <c r="BV14" s="4">
        <v>99</v>
      </c>
      <c r="BZ14" s="1" t="s">
        <v>124</v>
      </c>
      <c r="CA14" s="1" t="s">
        <v>68</v>
      </c>
      <c r="CB14" s="1" t="s">
        <v>36</v>
      </c>
      <c r="CC14" s="1" t="s">
        <v>13</v>
      </c>
      <c r="CD14" s="4">
        <v>18</v>
      </c>
      <c r="CE14" s="4">
        <v>10</v>
      </c>
      <c r="CF14" s="1" t="s">
        <v>43</v>
      </c>
      <c r="CG14" s="1" t="s">
        <v>20</v>
      </c>
      <c r="CH14" s="5" t="s">
        <v>125</v>
      </c>
      <c r="CI14" s="4">
        <v>66</v>
      </c>
      <c r="CM14" s="1" t="s">
        <v>93</v>
      </c>
      <c r="CN14" s="1" t="s">
        <v>29</v>
      </c>
      <c r="CO14" s="1" t="s">
        <v>24</v>
      </c>
      <c r="CP14" s="1" t="s">
        <v>31</v>
      </c>
      <c r="CQ14" s="4">
        <v>14</v>
      </c>
      <c r="CR14" s="4">
        <v>12</v>
      </c>
      <c r="CS14" s="1" t="s">
        <v>32</v>
      </c>
      <c r="CT14" s="1" t="s">
        <v>61</v>
      </c>
      <c r="CU14" s="5" t="s">
        <v>94</v>
      </c>
      <c r="CV14" s="4">
        <v>72</v>
      </c>
    </row>
    <row r="15" spans="1:100" x14ac:dyDescent="0.3">
      <c r="A15" s="1" t="s">
        <v>118</v>
      </c>
      <c r="B15" s="1" t="s">
        <v>84</v>
      </c>
      <c r="C15" s="1" t="s">
        <v>58</v>
      </c>
      <c r="D15" s="1" t="s">
        <v>31</v>
      </c>
      <c r="E15" s="4">
        <v>20</v>
      </c>
      <c r="F15" s="4">
        <v>10</v>
      </c>
      <c r="G15" s="1" t="s">
        <v>32</v>
      </c>
      <c r="H15" s="1" t="s">
        <v>26</v>
      </c>
      <c r="I15" s="5" t="s">
        <v>119</v>
      </c>
      <c r="J15" s="4">
        <v>52</v>
      </c>
      <c r="M15" s="1" t="s">
        <v>130</v>
      </c>
      <c r="N15" s="1" t="s">
        <v>73</v>
      </c>
      <c r="O15" s="1" t="s">
        <v>30</v>
      </c>
      <c r="P15" s="1" t="s">
        <v>13</v>
      </c>
      <c r="Q15" s="4">
        <v>17</v>
      </c>
      <c r="R15" s="4">
        <v>12</v>
      </c>
      <c r="S15" s="1" t="s">
        <v>25</v>
      </c>
      <c r="T15" s="1" t="s">
        <v>40</v>
      </c>
      <c r="U15" s="5" t="s">
        <v>131</v>
      </c>
      <c r="V15" s="4">
        <v>82</v>
      </c>
      <c r="Z15" s="1" t="s">
        <v>183</v>
      </c>
      <c r="AA15" s="1" t="s">
        <v>11</v>
      </c>
      <c r="AB15" s="1" t="s">
        <v>30</v>
      </c>
      <c r="AC15" s="1" t="s">
        <v>31</v>
      </c>
      <c r="AD15" s="4">
        <v>17</v>
      </c>
      <c r="AE15" s="4">
        <v>12</v>
      </c>
      <c r="AF15" s="1" t="s">
        <v>14</v>
      </c>
      <c r="AG15" s="1" t="s">
        <v>37</v>
      </c>
      <c r="AH15" s="5" t="s">
        <v>184</v>
      </c>
      <c r="AI15" s="4">
        <v>49</v>
      </c>
      <c r="AM15" s="1" t="s">
        <v>118</v>
      </c>
      <c r="AN15" s="1" t="s">
        <v>84</v>
      </c>
      <c r="AO15" s="1" t="s">
        <v>58</v>
      </c>
      <c r="AP15" s="1" t="s">
        <v>31</v>
      </c>
      <c r="AQ15" s="4">
        <v>20</v>
      </c>
      <c r="AR15" s="4">
        <v>10</v>
      </c>
      <c r="AS15" s="1" t="s">
        <v>32</v>
      </c>
      <c r="AT15" s="1" t="s">
        <v>26</v>
      </c>
      <c r="AU15" s="5" t="s">
        <v>119</v>
      </c>
      <c r="AV15" s="4">
        <v>52</v>
      </c>
      <c r="AZ15" s="1" t="s">
        <v>130</v>
      </c>
      <c r="BA15" s="1" t="s">
        <v>73</v>
      </c>
      <c r="BB15" s="1" t="s">
        <v>30</v>
      </c>
      <c r="BC15" s="1" t="s">
        <v>13</v>
      </c>
      <c r="BD15" s="4">
        <v>17</v>
      </c>
      <c r="BE15" s="4">
        <v>12</v>
      </c>
      <c r="BF15" s="1" t="s">
        <v>25</v>
      </c>
      <c r="BG15" s="1" t="s">
        <v>40</v>
      </c>
      <c r="BH15" s="5" t="s">
        <v>131</v>
      </c>
      <c r="BI15" s="4">
        <v>82</v>
      </c>
      <c r="BM15" s="1" t="s">
        <v>183</v>
      </c>
      <c r="BN15" s="1" t="s">
        <v>11</v>
      </c>
      <c r="BO15" s="1" t="s">
        <v>30</v>
      </c>
      <c r="BP15" s="1" t="s">
        <v>31</v>
      </c>
      <c r="BQ15" s="4">
        <v>17</v>
      </c>
      <c r="BR15" s="4">
        <v>12</v>
      </c>
      <c r="BS15" s="1" t="s">
        <v>14</v>
      </c>
      <c r="BT15" s="1" t="s">
        <v>37</v>
      </c>
      <c r="BU15" s="5" t="s">
        <v>184</v>
      </c>
      <c r="BV15" s="4">
        <v>49</v>
      </c>
      <c r="BZ15" s="1" t="s">
        <v>128</v>
      </c>
      <c r="CA15" s="1" t="s">
        <v>11</v>
      </c>
      <c r="CB15" s="1" t="s">
        <v>24</v>
      </c>
      <c r="CC15" s="1" t="s">
        <v>31</v>
      </c>
      <c r="CD15" s="4">
        <v>17</v>
      </c>
      <c r="CE15" s="4">
        <v>12</v>
      </c>
      <c r="CF15" s="1" t="s">
        <v>32</v>
      </c>
      <c r="CG15" s="1" t="s">
        <v>15</v>
      </c>
      <c r="CH15" s="5" t="s">
        <v>129</v>
      </c>
      <c r="CI15" s="4">
        <v>68</v>
      </c>
      <c r="CM15" s="1" t="s">
        <v>104</v>
      </c>
      <c r="CN15" s="1" t="s">
        <v>29</v>
      </c>
      <c r="CO15" s="1" t="s">
        <v>79</v>
      </c>
      <c r="CP15" s="1" t="s">
        <v>31</v>
      </c>
      <c r="CQ15" s="4">
        <v>18</v>
      </c>
      <c r="CR15" s="4">
        <v>10</v>
      </c>
      <c r="CS15" s="1" t="s">
        <v>25</v>
      </c>
      <c r="CT15" s="1" t="s">
        <v>61</v>
      </c>
      <c r="CU15" s="5" t="s">
        <v>105</v>
      </c>
      <c r="CV15" s="4">
        <v>57</v>
      </c>
    </row>
    <row r="16" spans="1:100" x14ac:dyDescent="0.3">
      <c r="A16" s="1" t="s">
        <v>144</v>
      </c>
      <c r="B16" s="1" t="s">
        <v>73</v>
      </c>
      <c r="C16" s="1" t="s">
        <v>12</v>
      </c>
      <c r="D16" s="1" t="s">
        <v>31</v>
      </c>
      <c r="E16" s="4">
        <v>20</v>
      </c>
      <c r="F16" s="4">
        <v>10</v>
      </c>
      <c r="G16" s="1" t="s">
        <v>14</v>
      </c>
      <c r="H16" s="1" t="s">
        <v>26</v>
      </c>
      <c r="I16" s="5" t="s">
        <v>145</v>
      </c>
      <c r="J16" s="4">
        <v>71</v>
      </c>
      <c r="M16" s="1" t="s">
        <v>132</v>
      </c>
      <c r="N16" s="1" t="s">
        <v>29</v>
      </c>
      <c r="O16" s="1" t="s">
        <v>12</v>
      </c>
      <c r="P16" s="1" t="s">
        <v>13</v>
      </c>
      <c r="Q16" s="4">
        <v>17</v>
      </c>
      <c r="R16" s="4">
        <v>10</v>
      </c>
      <c r="S16" s="1" t="s">
        <v>25</v>
      </c>
      <c r="T16" s="1" t="s">
        <v>37</v>
      </c>
      <c r="U16" s="5" t="s">
        <v>133</v>
      </c>
      <c r="V16" s="4">
        <v>88</v>
      </c>
      <c r="Z16" s="1" t="s">
        <v>185</v>
      </c>
      <c r="AA16" s="1" t="s">
        <v>35</v>
      </c>
      <c r="AB16" s="1" t="s">
        <v>30</v>
      </c>
      <c r="AC16" s="1" t="s">
        <v>31</v>
      </c>
      <c r="AD16" s="4">
        <v>14</v>
      </c>
      <c r="AE16" s="4">
        <v>12</v>
      </c>
      <c r="AF16" s="1" t="s">
        <v>43</v>
      </c>
      <c r="AG16" s="1" t="s">
        <v>61</v>
      </c>
      <c r="AH16" s="5" t="s">
        <v>186</v>
      </c>
      <c r="AI16" s="4">
        <v>45</v>
      </c>
      <c r="AM16" s="1" t="s">
        <v>144</v>
      </c>
      <c r="AN16" s="1" t="s">
        <v>73</v>
      </c>
      <c r="AO16" s="1" t="s">
        <v>12</v>
      </c>
      <c r="AP16" s="1" t="s">
        <v>31</v>
      </c>
      <c r="AQ16" s="4">
        <v>20</v>
      </c>
      <c r="AR16" s="4">
        <v>10</v>
      </c>
      <c r="AS16" s="1" t="s">
        <v>14</v>
      </c>
      <c r="AT16" s="1" t="s">
        <v>26</v>
      </c>
      <c r="AU16" s="5" t="s">
        <v>145</v>
      </c>
      <c r="AV16" s="4">
        <v>71</v>
      </c>
      <c r="AZ16" s="1" t="s">
        <v>132</v>
      </c>
      <c r="BA16" s="1" t="s">
        <v>29</v>
      </c>
      <c r="BB16" s="1" t="s">
        <v>12</v>
      </c>
      <c r="BC16" s="1" t="s">
        <v>13</v>
      </c>
      <c r="BD16" s="4">
        <v>17</v>
      </c>
      <c r="BE16" s="4">
        <v>10</v>
      </c>
      <c r="BF16" s="1" t="s">
        <v>25</v>
      </c>
      <c r="BG16" s="1" t="s">
        <v>37</v>
      </c>
      <c r="BH16" s="5" t="s">
        <v>133</v>
      </c>
      <c r="BI16" s="4">
        <v>88</v>
      </c>
      <c r="BM16" s="1" t="s">
        <v>185</v>
      </c>
      <c r="BN16" s="1" t="s">
        <v>35</v>
      </c>
      <c r="BO16" s="1" t="s">
        <v>30</v>
      </c>
      <c r="BP16" s="1" t="s">
        <v>31</v>
      </c>
      <c r="BQ16" s="4">
        <v>14</v>
      </c>
      <c r="BR16" s="4">
        <v>12</v>
      </c>
      <c r="BS16" s="1" t="s">
        <v>43</v>
      </c>
      <c r="BT16" s="1" t="s">
        <v>61</v>
      </c>
      <c r="BU16" s="5" t="s">
        <v>186</v>
      </c>
      <c r="BV16" s="4">
        <v>45</v>
      </c>
      <c r="BZ16" s="1" t="s">
        <v>130</v>
      </c>
      <c r="CA16" s="1" t="s">
        <v>73</v>
      </c>
      <c r="CB16" s="1" t="s">
        <v>30</v>
      </c>
      <c r="CC16" s="1" t="s">
        <v>13</v>
      </c>
      <c r="CD16" s="4">
        <v>17</v>
      </c>
      <c r="CE16" s="4">
        <v>12</v>
      </c>
      <c r="CF16" s="1" t="s">
        <v>25</v>
      </c>
      <c r="CG16" s="1" t="s">
        <v>40</v>
      </c>
      <c r="CH16" s="5" t="s">
        <v>131</v>
      </c>
      <c r="CI16" s="4">
        <v>82</v>
      </c>
      <c r="CM16" s="1" t="s">
        <v>114</v>
      </c>
      <c r="CN16" s="1" t="s">
        <v>73</v>
      </c>
      <c r="CO16" s="1" t="s">
        <v>58</v>
      </c>
      <c r="CP16" s="1" t="s">
        <v>13</v>
      </c>
      <c r="CQ16" s="4">
        <v>20</v>
      </c>
      <c r="CR16" s="4">
        <v>9</v>
      </c>
      <c r="CS16" s="1" t="s">
        <v>25</v>
      </c>
      <c r="CT16" s="1" t="s">
        <v>46</v>
      </c>
      <c r="CU16" s="5" t="s">
        <v>115</v>
      </c>
      <c r="CV16" s="4">
        <v>40</v>
      </c>
    </row>
    <row r="17" spans="1:100" x14ac:dyDescent="0.3">
      <c r="A17" s="1" t="s">
        <v>168</v>
      </c>
      <c r="B17" s="1" t="s">
        <v>18</v>
      </c>
      <c r="C17" s="1" t="s">
        <v>79</v>
      </c>
      <c r="D17" s="1" t="s">
        <v>13</v>
      </c>
      <c r="E17" s="4">
        <v>17</v>
      </c>
      <c r="F17" s="4">
        <v>12</v>
      </c>
      <c r="G17" s="1" t="s">
        <v>25</v>
      </c>
      <c r="H17" s="1" t="s">
        <v>26</v>
      </c>
      <c r="I17" s="5" t="s">
        <v>137</v>
      </c>
      <c r="J17" s="4">
        <v>82</v>
      </c>
      <c r="M17" s="1" t="s">
        <v>138</v>
      </c>
      <c r="N17" s="1" t="s">
        <v>51</v>
      </c>
      <c r="O17" s="1" t="s">
        <v>85</v>
      </c>
      <c r="P17" s="1" t="s">
        <v>13</v>
      </c>
      <c r="Q17" s="4">
        <v>18</v>
      </c>
      <c r="R17" s="4">
        <v>11</v>
      </c>
      <c r="S17" s="1" t="s">
        <v>43</v>
      </c>
      <c r="T17" s="1" t="s">
        <v>61</v>
      </c>
      <c r="U17" s="5" t="s">
        <v>139</v>
      </c>
      <c r="V17" s="4">
        <v>100</v>
      </c>
      <c r="Z17" s="1" t="s">
        <v>190</v>
      </c>
      <c r="AA17" s="1" t="s">
        <v>18</v>
      </c>
      <c r="AB17" s="1" t="s">
        <v>19</v>
      </c>
      <c r="AC17" s="1" t="s">
        <v>31</v>
      </c>
      <c r="AD17" s="4">
        <v>14</v>
      </c>
      <c r="AE17" s="4">
        <v>12</v>
      </c>
      <c r="AF17" s="1" t="s">
        <v>32</v>
      </c>
      <c r="AG17" s="1" t="s">
        <v>37</v>
      </c>
      <c r="AH17" s="5" t="s">
        <v>191</v>
      </c>
      <c r="AI17" s="4">
        <v>63</v>
      </c>
      <c r="AM17" s="1" t="s">
        <v>168</v>
      </c>
      <c r="AN17" s="1" t="s">
        <v>18</v>
      </c>
      <c r="AO17" s="1" t="s">
        <v>79</v>
      </c>
      <c r="AP17" s="1" t="s">
        <v>13</v>
      </c>
      <c r="AQ17" s="4">
        <v>17</v>
      </c>
      <c r="AR17" s="4">
        <v>12</v>
      </c>
      <c r="AS17" s="1" t="s">
        <v>25</v>
      </c>
      <c r="AT17" s="1" t="s">
        <v>26</v>
      </c>
      <c r="AU17" s="5" t="s">
        <v>137</v>
      </c>
      <c r="AV17" s="4">
        <v>82</v>
      </c>
      <c r="AZ17" s="1" t="s">
        <v>138</v>
      </c>
      <c r="BA17" s="1" t="s">
        <v>51</v>
      </c>
      <c r="BB17" s="1" t="s">
        <v>85</v>
      </c>
      <c r="BC17" s="1" t="s">
        <v>13</v>
      </c>
      <c r="BD17" s="4">
        <v>18</v>
      </c>
      <c r="BE17" s="4">
        <v>11</v>
      </c>
      <c r="BF17" s="1" t="s">
        <v>43</v>
      </c>
      <c r="BG17" s="1" t="s">
        <v>61</v>
      </c>
      <c r="BH17" s="5" t="s">
        <v>139</v>
      </c>
      <c r="BI17" s="4">
        <v>100</v>
      </c>
      <c r="BM17" s="1" t="s">
        <v>190</v>
      </c>
      <c r="BN17" s="1" t="s">
        <v>18</v>
      </c>
      <c r="BO17" s="1" t="s">
        <v>19</v>
      </c>
      <c r="BP17" s="1" t="s">
        <v>31</v>
      </c>
      <c r="BQ17" s="4">
        <v>14</v>
      </c>
      <c r="BR17" s="4">
        <v>12</v>
      </c>
      <c r="BS17" s="1" t="s">
        <v>32</v>
      </c>
      <c r="BT17" s="1" t="s">
        <v>37</v>
      </c>
      <c r="BU17" s="5" t="s">
        <v>191</v>
      </c>
      <c r="BV17" s="4">
        <v>63</v>
      </c>
      <c r="BZ17" s="1" t="s">
        <v>132</v>
      </c>
      <c r="CA17" s="1" t="s">
        <v>29</v>
      </c>
      <c r="CB17" s="1" t="s">
        <v>12</v>
      </c>
      <c r="CC17" s="1" t="s">
        <v>13</v>
      </c>
      <c r="CD17" s="4">
        <v>17</v>
      </c>
      <c r="CE17" s="4">
        <v>10</v>
      </c>
      <c r="CF17" s="1" t="s">
        <v>25</v>
      </c>
      <c r="CG17" s="1" t="s">
        <v>37</v>
      </c>
      <c r="CH17" s="5" t="s">
        <v>133</v>
      </c>
      <c r="CI17" s="4">
        <v>88</v>
      </c>
      <c r="CM17" s="1" t="s">
        <v>120</v>
      </c>
      <c r="CN17" s="1" t="s">
        <v>35</v>
      </c>
      <c r="CO17" s="1" t="s">
        <v>36</v>
      </c>
      <c r="CP17" s="1" t="s">
        <v>31</v>
      </c>
      <c r="CQ17" s="4">
        <v>20</v>
      </c>
      <c r="CR17" s="4">
        <v>10</v>
      </c>
      <c r="CS17" s="1" t="s">
        <v>43</v>
      </c>
      <c r="CT17" s="1" t="s">
        <v>61</v>
      </c>
      <c r="CU17" s="5" t="s">
        <v>121</v>
      </c>
      <c r="CV17" s="4">
        <v>37</v>
      </c>
    </row>
    <row r="18" spans="1:100" x14ac:dyDescent="0.3">
      <c r="A18" s="1" t="s">
        <v>179</v>
      </c>
      <c r="B18" s="1" t="s">
        <v>29</v>
      </c>
      <c r="C18" s="1" t="s">
        <v>58</v>
      </c>
      <c r="D18" s="1" t="s">
        <v>31</v>
      </c>
      <c r="E18" s="4">
        <v>16</v>
      </c>
      <c r="F18" s="4">
        <v>11</v>
      </c>
      <c r="G18" s="1" t="s">
        <v>25</v>
      </c>
      <c r="H18" s="1" t="s">
        <v>26</v>
      </c>
      <c r="I18" s="5" t="s">
        <v>180</v>
      </c>
      <c r="J18" s="4">
        <v>75</v>
      </c>
      <c r="M18" s="1" t="s">
        <v>140</v>
      </c>
      <c r="N18" s="1" t="s">
        <v>35</v>
      </c>
      <c r="O18" s="1" t="s">
        <v>30</v>
      </c>
      <c r="P18" s="1" t="s">
        <v>31</v>
      </c>
      <c r="Q18" s="4">
        <v>19</v>
      </c>
      <c r="R18" s="4">
        <v>10</v>
      </c>
      <c r="S18" s="1" t="s">
        <v>32</v>
      </c>
      <c r="T18" s="1" t="s">
        <v>76</v>
      </c>
      <c r="U18" s="5" t="s">
        <v>141</v>
      </c>
      <c r="V18" s="4">
        <v>93</v>
      </c>
      <c r="Z18" s="1" t="s">
        <v>215</v>
      </c>
      <c r="AA18" s="1" t="s">
        <v>84</v>
      </c>
      <c r="AB18" s="1" t="s">
        <v>36</v>
      </c>
      <c r="AC18" s="1" t="s">
        <v>31</v>
      </c>
      <c r="AD18" s="4">
        <v>19</v>
      </c>
      <c r="AE18" s="4">
        <v>12</v>
      </c>
      <c r="AF18" s="1" t="s">
        <v>14</v>
      </c>
      <c r="AG18" s="1" t="s">
        <v>37</v>
      </c>
      <c r="AH18" s="5" t="s">
        <v>216</v>
      </c>
      <c r="AI18" s="4">
        <v>84</v>
      </c>
      <c r="AM18" s="1" t="s">
        <v>179</v>
      </c>
      <c r="AN18" s="1" t="s">
        <v>29</v>
      </c>
      <c r="AO18" s="1" t="s">
        <v>58</v>
      </c>
      <c r="AP18" s="1" t="s">
        <v>31</v>
      </c>
      <c r="AQ18" s="4">
        <v>16</v>
      </c>
      <c r="AR18" s="4">
        <v>11</v>
      </c>
      <c r="AS18" s="1" t="s">
        <v>25</v>
      </c>
      <c r="AT18" s="1" t="s">
        <v>26</v>
      </c>
      <c r="AU18" s="5" t="s">
        <v>180</v>
      </c>
      <c r="AV18" s="4">
        <v>75</v>
      </c>
      <c r="AZ18" s="1" t="s">
        <v>140</v>
      </c>
      <c r="BA18" s="1" t="s">
        <v>35</v>
      </c>
      <c r="BB18" s="1" t="s">
        <v>30</v>
      </c>
      <c r="BC18" s="1" t="s">
        <v>31</v>
      </c>
      <c r="BD18" s="4">
        <v>19</v>
      </c>
      <c r="BE18" s="4">
        <v>10</v>
      </c>
      <c r="BF18" s="1" t="s">
        <v>32</v>
      </c>
      <c r="BG18" s="1" t="s">
        <v>76</v>
      </c>
      <c r="BH18" s="5" t="s">
        <v>141</v>
      </c>
      <c r="BI18" s="4">
        <v>93</v>
      </c>
      <c r="BM18" s="1" t="s">
        <v>215</v>
      </c>
      <c r="BN18" s="1" t="s">
        <v>84</v>
      </c>
      <c r="BO18" s="1" t="s">
        <v>36</v>
      </c>
      <c r="BP18" s="1" t="s">
        <v>31</v>
      </c>
      <c r="BQ18" s="4">
        <v>19</v>
      </c>
      <c r="BR18" s="4">
        <v>12</v>
      </c>
      <c r="BS18" s="1" t="s">
        <v>14</v>
      </c>
      <c r="BT18" s="1" t="s">
        <v>37</v>
      </c>
      <c r="BU18" s="5" t="s">
        <v>216</v>
      </c>
      <c r="BV18" s="4">
        <v>84</v>
      </c>
      <c r="BZ18" s="1" t="s">
        <v>138</v>
      </c>
      <c r="CA18" s="1" t="s">
        <v>51</v>
      </c>
      <c r="CB18" s="1" t="s">
        <v>85</v>
      </c>
      <c r="CC18" s="1" t="s">
        <v>13</v>
      </c>
      <c r="CD18" s="4">
        <v>18</v>
      </c>
      <c r="CE18" s="4">
        <v>11</v>
      </c>
      <c r="CF18" s="1" t="s">
        <v>43</v>
      </c>
      <c r="CG18" s="1" t="s">
        <v>61</v>
      </c>
      <c r="CH18" s="5" t="s">
        <v>139</v>
      </c>
      <c r="CI18" s="4">
        <v>100</v>
      </c>
      <c r="CM18" s="1" t="s">
        <v>136</v>
      </c>
      <c r="CN18" s="1" t="s">
        <v>11</v>
      </c>
      <c r="CO18" s="1" t="s">
        <v>79</v>
      </c>
      <c r="CP18" s="1" t="s">
        <v>13</v>
      </c>
      <c r="CQ18" s="4">
        <v>14</v>
      </c>
      <c r="CR18" s="4">
        <v>10</v>
      </c>
      <c r="CS18" s="1" t="s">
        <v>43</v>
      </c>
      <c r="CT18" s="1" t="s">
        <v>61</v>
      </c>
      <c r="CU18" s="5" t="s">
        <v>137</v>
      </c>
      <c r="CV18" s="4">
        <v>65</v>
      </c>
    </row>
    <row r="19" spans="1:100" x14ac:dyDescent="0.3">
      <c r="A19" s="1" t="s">
        <v>200</v>
      </c>
      <c r="B19" s="1" t="s">
        <v>29</v>
      </c>
      <c r="C19" s="1" t="s">
        <v>12</v>
      </c>
      <c r="D19" s="1" t="s">
        <v>13</v>
      </c>
      <c r="E19" s="4">
        <v>18</v>
      </c>
      <c r="F19" s="4">
        <v>12</v>
      </c>
      <c r="G19" s="1" t="s">
        <v>25</v>
      </c>
      <c r="H19" s="1" t="s">
        <v>26</v>
      </c>
      <c r="I19" s="5" t="s">
        <v>201</v>
      </c>
      <c r="J19" s="4">
        <v>89</v>
      </c>
      <c r="M19" s="1" t="s">
        <v>142</v>
      </c>
      <c r="N19" s="1" t="s">
        <v>29</v>
      </c>
      <c r="O19" s="1" t="s">
        <v>96</v>
      </c>
      <c r="P19" s="1" t="s">
        <v>31</v>
      </c>
      <c r="Q19" s="4">
        <v>16</v>
      </c>
      <c r="R19" s="4">
        <v>12</v>
      </c>
      <c r="S19" s="1" t="s">
        <v>14</v>
      </c>
      <c r="T19" s="1" t="s">
        <v>37</v>
      </c>
      <c r="U19" s="5" t="s">
        <v>143</v>
      </c>
      <c r="V19" s="4">
        <v>85</v>
      </c>
      <c r="Z19" s="1" t="s">
        <v>235</v>
      </c>
      <c r="AA19" s="1" t="s">
        <v>11</v>
      </c>
      <c r="AB19" s="1" t="s">
        <v>36</v>
      </c>
      <c r="AC19" s="1" t="s">
        <v>31</v>
      </c>
      <c r="AD19" s="4">
        <v>14</v>
      </c>
      <c r="AE19" s="4">
        <v>12</v>
      </c>
      <c r="AF19" s="1" t="s">
        <v>43</v>
      </c>
      <c r="AG19" s="1" t="s">
        <v>40</v>
      </c>
      <c r="AH19" s="5" t="s">
        <v>236</v>
      </c>
      <c r="AI19" s="4">
        <v>65</v>
      </c>
      <c r="AM19" s="1" t="s">
        <v>200</v>
      </c>
      <c r="AN19" s="1" t="s">
        <v>29</v>
      </c>
      <c r="AO19" s="1" t="s">
        <v>12</v>
      </c>
      <c r="AP19" s="1" t="s">
        <v>13</v>
      </c>
      <c r="AQ19" s="4">
        <v>18</v>
      </c>
      <c r="AR19" s="4">
        <v>12</v>
      </c>
      <c r="AS19" s="1" t="s">
        <v>25</v>
      </c>
      <c r="AT19" s="1" t="s">
        <v>26</v>
      </c>
      <c r="AU19" s="5" t="s">
        <v>201</v>
      </c>
      <c r="AV19" s="4">
        <v>89</v>
      </c>
      <c r="AZ19" s="1" t="s">
        <v>142</v>
      </c>
      <c r="BA19" s="1" t="s">
        <v>29</v>
      </c>
      <c r="BB19" s="1" t="s">
        <v>96</v>
      </c>
      <c r="BC19" s="1" t="s">
        <v>31</v>
      </c>
      <c r="BD19" s="4">
        <v>16</v>
      </c>
      <c r="BE19" s="4">
        <v>12</v>
      </c>
      <c r="BF19" s="1" t="s">
        <v>14</v>
      </c>
      <c r="BG19" s="1" t="s">
        <v>37</v>
      </c>
      <c r="BH19" s="5" t="s">
        <v>143</v>
      </c>
      <c r="BI19" s="4">
        <v>85</v>
      </c>
      <c r="BM19" s="1" t="s">
        <v>235</v>
      </c>
      <c r="BN19" s="1" t="s">
        <v>11</v>
      </c>
      <c r="BO19" s="1" t="s">
        <v>36</v>
      </c>
      <c r="BP19" s="1" t="s">
        <v>31</v>
      </c>
      <c r="BQ19" s="4">
        <v>14</v>
      </c>
      <c r="BR19" s="4">
        <v>12</v>
      </c>
      <c r="BS19" s="1" t="s">
        <v>43</v>
      </c>
      <c r="BT19" s="1" t="s">
        <v>40</v>
      </c>
      <c r="BU19" s="5" t="s">
        <v>236</v>
      </c>
      <c r="BV19" s="4">
        <v>65</v>
      </c>
      <c r="BZ19" s="1" t="s">
        <v>142</v>
      </c>
      <c r="CA19" s="1" t="s">
        <v>29</v>
      </c>
      <c r="CB19" s="1" t="s">
        <v>96</v>
      </c>
      <c r="CC19" s="1" t="s">
        <v>31</v>
      </c>
      <c r="CD19" s="4">
        <v>16</v>
      </c>
      <c r="CE19" s="4">
        <v>12</v>
      </c>
      <c r="CF19" s="1" t="s">
        <v>14</v>
      </c>
      <c r="CG19" s="1" t="s">
        <v>37</v>
      </c>
      <c r="CH19" s="5" t="s">
        <v>143</v>
      </c>
      <c r="CI19" s="4">
        <v>85</v>
      </c>
      <c r="CM19" s="1" t="s">
        <v>138</v>
      </c>
      <c r="CN19" s="1" t="s">
        <v>51</v>
      </c>
      <c r="CO19" s="1" t="s">
        <v>85</v>
      </c>
      <c r="CP19" s="1" t="s">
        <v>13</v>
      </c>
      <c r="CQ19" s="4">
        <v>18</v>
      </c>
      <c r="CR19" s="4">
        <v>11</v>
      </c>
      <c r="CS19" s="1" t="s">
        <v>43</v>
      </c>
      <c r="CT19" s="1" t="s">
        <v>61</v>
      </c>
      <c r="CU19" s="5" t="s">
        <v>139</v>
      </c>
      <c r="CV19" s="4">
        <v>100</v>
      </c>
    </row>
    <row r="20" spans="1:100" x14ac:dyDescent="0.3">
      <c r="A20" s="1" t="s">
        <v>227</v>
      </c>
      <c r="B20" s="1" t="s">
        <v>68</v>
      </c>
      <c r="C20" s="1" t="s">
        <v>58</v>
      </c>
      <c r="D20" s="1" t="s">
        <v>13</v>
      </c>
      <c r="E20" s="4">
        <v>17</v>
      </c>
      <c r="F20" s="4">
        <v>12</v>
      </c>
      <c r="G20" s="1" t="s">
        <v>32</v>
      </c>
      <c r="H20" s="1" t="s">
        <v>26</v>
      </c>
      <c r="I20" s="5" t="s">
        <v>228</v>
      </c>
      <c r="J20" s="4">
        <v>37</v>
      </c>
      <c r="M20" s="1" t="s">
        <v>148</v>
      </c>
      <c r="N20" s="1" t="s">
        <v>51</v>
      </c>
      <c r="O20" s="1" t="s">
        <v>96</v>
      </c>
      <c r="P20" s="1" t="s">
        <v>13</v>
      </c>
      <c r="Q20" s="4">
        <v>19</v>
      </c>
      <c r="R20" s="4">
        <v>11</v>
      </c>
      <c r="S20" s="1" t="s">
        <v>14</v>
      </c>
      <c r="T20" s="1" t="s">
        <v>76</v>
      </c>
      <c r="U20" s="5" t="s">
        <v>149</v>
      </c>
      <c r="V20" s="4">
        <v>83</v>
      </c>
      <c r="Z20" s="1" t="s">
        <v>241</v>
      </c>
      <c r="AA20" s="1" t="s">
        <v>54</v>
      </c>
      <c r="AB20" s="1" t="s">
        <v>85</v>
      </c>
      <c r="AC20" s="1" t="s">
        <v>31</v>
      </c>
      <c r="AD20" s="4">
        <v>15</v>
      </c>
      <c r="AE20" s="4">
        <v>12</v>
      </c>
      <c r="AF20" s="1" t="s">
        <v>14</v>
      </c>
      <c r="AG20" s="1" t="s">
        <v>40</v>
      </c>
      <c r="AH20" s="5" t="s">
        <v>242</v>
      </c>
      <c r="AI20" s="4">
        <v>100</v>
      </c>
      <c r="AM20" s="1" t="s">
        <v>227</v>
      </c>
      <c r="AN20" s="1" t="s">
        <v>68</v>
      </c>
      <c r="AO20" s="1" t="s">
        <v>58</v>
      </c>
      <c r="AP20" s="1" t="s">
        <v>13</v>
      </c>
      <c r="AQ20" s="4">
        <v>17</v>
      </c>
      <c r="AR20" s="4">
        <v>12</v>
      </c>
      <c r="AS20" s="1" t="s">
        <v>32</v>
      </c>
      <c r="AT20" s="1" t="s">
        <v>26</v>
      </c>
      <c r="AU20" s="5" t="s">
        <v>228</v>
      </c>
      <c r="AV20" s="4">
        <v>37</v>
      </c>
      <c r="AZ20" s="1" t="s">
        <v>148</v>
      </c>
      <c r="BA20" s="1" t="s">
        <v>51</v>
      </c>
      <c r="BB20" s="1" t="s">
        <v>96</v>
      </c>
      <c r="BC20" s="1" t="s">
        <v>13</v>
      </c>
      <c r="BD20" s="4">
        <v>19</v>
      </c>
      <c r="BE20" s="4">
        <v>11</v>
      </c>
      <c r="BF20" s="1" t="s">
        <v>14</v>
      </c>
      <c r="BG20" s="1" t="s">
        <v>76</v>
      </c>
      <c r="BH20" s="5" t="s">
        <v>149</v>
      </c>
      <c r="BI20" s="4">
        <v>83</v>
      </c>
      <c r="BM20" s="1" t="s">
        <v>241</v>
      </c>
      <c r="BN20" s="1" t="s">
        <v>54</v>
      </c>
      <c r="BO20" s="1" t="s">
        <v>85</v>
      </c>
      <c r="BP20" s="1" t="s">
        <v>31</v>
      </c>
      <c r="BQ20" s="4">
        <v>15</v>
      </c>
      <c r="BR20" s="4">
        <v>12</v>
      </c>
      <c r="BS20" s="1" t="s">
        <v>14</v>
      </c>
      <c r="BT20" s="1" t="s">
        <v>40</v>
      </c>
      <c r="BU20" s="5" t="s">
        <v>242</v>
      </c>
      <c r="BV20" s="4">
        <v>100</v>
      </c>
      <c r="BZ20" s="1" t="s">
        <v>150</v>
      </c>
      <c r="CA20" s="1" t="s">
        <v>23</v>
      </c>
      <c r="CB20" s="1" t="s">
        <v>55</v>
      </c>
      <c r="CC20" s="1" t="s">
        <v>31</v>
      </c>
      <c r="CD20" s="4">
        <v>17</v>
      </c>
      <c r="CE20" s="4">
        <v>9</v>
      </c>
      <c r="CF20" s="1" t="s">
        <v>25</v>
      </c>
      <c r="CG20" s="1" t="s">
        <v>20</v>
      </c>
      <c r="CH20" s="5" t="s">
        <v>151</v>
      </c>
      <c r="CI20" s="4">
        <v>55</v>
      </c>
      <c r="CM20" s="1" t="s">
        <v>152</v>
      </c>
      <c r="CN20" s="1" t="s">
        <v>23</v>
      </c>
      <c r="CO20" s="1" t="s">
        <v>55</v>
      </c>
      <c r="CP20" s="1" t="s">
        <v>13</v>
      </c>
      <c r="CQ20" s="4">
        <v>17</v>
      </c>
      <c r="CR20" s="4">
        <v>12</v>
      </c>
      <c r="CS20" s="1" t="s">
        <v>32</v>
      </c>
      <c r="CT20" s="1" t="s">
        <v>46</v>
      </c>
      <c r="CU20" s="5" t="s">
        <v>153</v>
      </c>
      <c r="CV20" s="4">
        <v>39</v>
      </c>
    </row>
    <row r="21" spans="1:100" x14ac:dyDescent="0.3">
      <c r="A21" s="1" t="s">
        <v>229</v>
      </c>
      <c r="B21" s="1" t="s">
        <v>68</v>
      </c>
      <c r="C21" s="1" t="s">
        <v>24</v>
      </c>
      <c r="D21" s="1" t="s">
        <v>13</v>
      </c>
      <c r="E21" s="4">
        <v>17</v>
      </c>
      <c r="F21" s="4">
        <v>11</v>
      </c>
      <c r="G21" s="1" t="s">
        <v>43</v>
      </c>
      <c r="H21" s="1" t="s">
        <v>26</v>
      </c>
      <c r="I21" s="5" t="s">
        <v>230</v>
      </c>
      <c r="J21" s="4">
        <v>53</v>
      </c>
      <c r="M21" s="1" t="s">
        <v>160</v>
      </c>
      <c r="N21" s="1" t="s">
        <v>51</v>
      </c>
      <c r="O21" s="1" t="s">
        <v>85</v>
      </c>
      <c r="P21" s="1" t="s">
        <v>31</v>
      </c>
      <c r="Q21" s="4">
        <v>17</v>
      </c>
      <c r="R21" s="4">
        <v>11</v>
      </c>
      <c r="S21" s="1" t="s">
        <v>43</v>
      </c>
      <c r="T21" s="1" t="s">
        <v>37</v>
      </c>
      <c r="U21" s="5" t="s">
        <v>161</v>
      </c>
      <c r="V21" s="4">
        <v>99</v>
      </c>
      <c r="Z21" s="1" t="s">
        <v>245</v>
      </c>
      <c r="AA21" s="1" t="s">
        <v>54</v>
      </c>
      <c r="AB21" s="1" t="s">
        <v>19</v>
      </c>
      <c r="AC21" s="1" t="s">
        <v>31</v>
      </c>
      <c r="AD21" s="4">
        <v>18</v>
      </c>
      <c r="AE21" s="4">
        <v>12</v>
      </c>
      <c r="AF21" s="1" t="s">
        <v>32</v>
      </c>
      <c r="AG21" s="1" t="s">
        <v>26</v>
      </c>
      <c r="AH21" s="5" t="s">
        <v>246</v>
      </c>
      <c r="AI21" s="4">
        <v>74</v>
      </c>
      <c r="AM21" s="1" t="s">
        <v>229</v>
      </c>
      <c r="AN21" s="1" t="s">
        <v>68</v>
      </c>
      <c r="AO21" s="1" t="s">
        <v>24</v>
      </c>
      <c r="AP21" s="1" t="s">
        <v>13</v>
      </c>
      <c r="AQ21" s="4">
        <v>17</v>
      </c>
      <c r="AR21" s="4">
        <v>11</v>
      </c>
      <c r="AS21" s="1" t="s">
        <v>43</v>
      </c>
      <c r="AT21" s="1" t="s">
        <v>26</v>
      </c>
      <c r="AU21" s="5" t="s">
        <v>230</v>
      </c>
      <c r="AV21" s="4">
        <v>53</v>
      </c>
      <c r="AZ21" s="1" t="s">
        <v>160</v>
      </c>
      <c r="BA21" s="1" t="s">
        <v>51</v>
      </c>
      <c r="BB21" s="1" t="s">
        <v>85</v>
      </c>
      <c r="BC21" s="1" t="s">
        <v>31</v>
      </c>
      <c r="BD21" s="4">
        <v>17</v>
      </c>
      <c r="BE21" s="4">
        <v>11</v>
      </c>
      <c r="BF21" s="1" t="s">
        <v>43</v>
      </c>
      <c r="BG21" s="1" t="s">
        <v>37</v>
      </c>
      <c r="BH21" s="5" t="s">
        <v>161</v>
      </c>
      <c r="BI21" s="4">
        <v>99</v>
      </c>
      <c r="BM21" s="1" t="s">
        <v>245</v>
      </c>
      <c r="BN21" s="1" t="s">
        <v>54</v>
      </c>
      <c r="BO21" s="1" t="s">
        <v>19</v>
      </c>
      <c r="BP21" s="1" t="s">
        <v>31</v>
      </c>
      <c r="BQ21" s="4">
        <v>18</v>
      </c>
      <c r="BR21" s="4">
        <v>12</v>
      </c>
      <c r="BS21" s="1" t="s">
        <v>32</v>
      </c>
      <c r="BT21" s="1" t="s">
        <v>26</v>
      </c>
      <c r="BU21" s="5" t="s">
        <v>246</v>
      </c>
      <c r="BV21" s="4">
        <v>74</v>
      </c>
      <c r="BZ21" s="1" t="s">
        <v>152</v>
      </c>
      <c r="CA21" s="1" t="s">
        <v>23</v>
      </c>
      <c r="CB21" s="1" t="s">
        <v>55</v>
      </c>
      <c r="CC21" s="1" t="s">
        <v>13</v>
      </c>
      <c r="CD21" s="4">
        <v>17</v>
      </c>
      <c r="CE21" s="4">
        <v>12</v>
      </c>
      <c r="CF21" s="1" t="s">
        <v>32</v>
      </c>
      <c r="CG21" s="1" t="s">
        <v>46</v>
      </c>
      <c r="CH21" s="5" t="s">
        <v>153</v>
      </c>
      <c r="CI21" s="4">
        <v>39</v>
      </c>
      <c r="CM21" s="1" t="s">
        <v>169</v>
      </c>
      <c r="CN21" s="1" t="s">
        <v>11</v>
      </c>
      <c r="CO21" s="1" t="s">
        <v>30</v>
      </c>
      <c r="CP21" s="1" t="s">
        <v>31</v>
      </c>
      <c r="CQ21" s="4">
        <v>18</v>
      </c>
      <c r="CR21" s="4">
        <v>9</v>
      </c>
      <c r="CS21" s="1" t="s">
        <v>25</v>
      </c>
      <c r="CT21" s="1" t="s">
        <v>46</v>
      </c>
      <c r="CU21" s="5" t="s">
        <v>170</v>
      </c>
      <c r="CV21" s="4">
        <v>60</v>
      </c>
    </row>
    <row r="22" spans="1:100" x14ac:dyDescent="0.3">
      <c r="A22" s="1" t="s">
        <v>245</v>
      </c>
      <c r="B22" s="1" t="s">
        <v>54</v>
      </c>
      <c r="C22" s="1" t="s">
        <v>19</v>
      </c>
      <c r="D22" s="1" t="s">
        <v>31</v>
      </c>
      <c r="E22" s="4">
        <v>18</v>
      </c>
      <c r="F22" s="4">
        <v>12</v>
      </c>
      <c r="G22" s="1" t="s">
        <v>32</v>
      </c>
      <c r="H22" s="1" t="s">
        <v>26</v>
      </c>
      <c r="I22" s="5" t="s">
        <v>246</v>
      </c>
      <c r="J22" s="4">
        <v>74</v>
      </c>
      <c r="M22" s="1" t="s">
        <v>168</v>
      </c>
      <c r="N22" s="1" t="s">
        <v>18</v>
      </c>
      <c r="O22" s="1" t="s">
        <v>79</v>
      </c>
      <c r="P22" s="1" t="s">
        <v>13</v>
      </c>
      <c r="Q22" s="4">
        <v>17</v>
      </c>
      <c r="R22" s="4">
        <v>12</v>
      </c>
      <c r="S22" s="1" t="s">
        <v>25</v>
      </c>
      <c r="T22" s="1" t="s">
        <v>26</v>
      </c>
      <c r="U22" s="5" t="s">
        <v>137</v>
      </c>
      <c r="V22" s="4">
        <v>82</v>
      </c>
      <c r="Z22" s="1" t="s">
        <v>247</v>
      </c>
      <c r="AA22" s="1" t="s">
        <v>29</v>
      </c>
      <c r="AB22" s="1" t="s">
        <v>58</v>
      </c>
      <c r="AC22" s="1" t="s">
        <v>31</v>
      </c>
      <c r="AD22" s="4">
        <v>14</v>
      </c>
      <c r="AE22" s="4">
        <v>12</v>
      </c>
      <c r="AF22" s="1" t="s">
        <v>14</v>
      </c>
      <c r="AG22" s="1" t="s">
        <v>40</v>
      </c>
      <c r="AH22" s="5" t="s">
        <v>248</v>
      </c>
      <c r="AI22" s="4">
        <v>66</v>
      </c>
      <c r="AM22" s="1" t="s">
        <v>245</v>
      </c>
      <c r="AN22" s="1" t="s">
        <v>54</v>
      </c>
      <c r="AO22" s="1" t="s">
        <v>19</v>
      </c>
      <c r="AP22" s="1" t="s">
        <v>31</v>
      </c>
      <c r="AQ22" s="4">
        <v>18</v>
      </c>
      <c r="AR22" s="4">
        <v>12</v>
      </c>
      <c r="AS22" s="1" t="s">
        <v>32</v>
      </c>
      <c r="AT22" s="1" t="s">
        <v>26</v>
      </c>
      <c r="AU22" s="5" t="s">
        <v>246</v>
      </c>
      <c r="AV22" s="4">
        <v>74</v>
      </c>
      <c r="AZ22" s="1" t="s">
        <v>168</v>
      </c>
      <c r="BA22" s="1" t="s">
        <v>18</v>
      </c>
      <c r="BB22" s="1" t="s">
        <v>79</v>
      </c>
      <c r="BC22" s="1" t="s">
        <v>13</v>
      </c>
      <c r="BD22" s="4">
        <v>17</v>
      </c>
      <c r="BE22" s="4">
        <v>12</v>
      </c>
      <c r="BF22" s="1" t="s">
        <v>25</v>
      </c>
      <c r="BG22" s="1" t="s">
        <v>26</v>
      </c>
      <c r="BH22" s="5" t="s">
        <v>137</v>
      </c>
      <c r="BI22" s="4">
        <v>82</v>
      </c>
      <c r="BM22" s="1" t="s">
        <v>247</v>
      </c>
      <c r="BN22" s="1" t="s">
        <v>29</v>
      </c>
      <c r="BO22" s="1" t="s">
        <v>58</v>
      </c>
      <c r="BP22" s="1" t="s">
        <v>31</v>
      </c>
      <c r="BQ22" s="4">
        <v>14</v>
      </c>
      <c r="BR22" s="4">
        <v>12</v>
      </c>
      <c r="BS22" s="1" t="s">
        <v>14</v>
      </c>
      <c r="BT22" s="1" t="s">
        <v>40</v>
      </c>
      <c r="BU22" s="5" t="s">
        <v>248</v>
      </c>
      <c r="BV22" s="4">
        <v>66</v>
      </c>
      <c r="BZ22" s="1" t="s">
        <v>154</v>
      </c>
      <c r="CA22" s="1" t="s">
        <v>51</v>
      </c>
      <c r="CB22" s="1" t="s">
        <v>36</v>
      </c>
      <c r="CC22" s="1" t="s">
        <v>31</v>
      </c>
      <c r="CD22" s="4">
        <v>18</v>
      </c>
      <c r="CE22" s="4">
        <v>12</v>
      </c>
      <c r="CF22" s="1" t="s">
        <v>43</v>
      </c>
      <c r="CG22" s="1" t="s">
        <v>76</v>
      </c>
      <c r="CH22" s="5" t="s">
        <v>155</v>
      </c>
      <c r="CI22" s="4">
        <v>77</v>
      </c>
      <c r="CM22" s="1" t="s">
        <v>171</v>
      </c>
      <c r="CN22" s="1" t="s">
        <v>29</v>
      </c>
      <c r="CO22" s="1" t="s">
        <v>85</v>
      </c>
      <c r="CP22" s="1" t="s">
        <v>13</v>
      </c>
      <c r="CQ22" s="4">
        <v>14</v>
      </c>
      <c r="CR22" s="4">
        <v>10</v>
      </c>
      <c r="CS22" s="1" t="s">
        <v>32</v>
      </c>
      <c r="CT22" s="1" t="s">
        <v>61</v>
      </c>
      <c r="CU22" s="5" t="s">
        <v>172</v>
      </c>
      <c r="CV22" s="4">
        <v>51</v>
      </c>
    </row>
    <row r="23" spans="1:100" x14ac:dyDescent="0.3">
      <c r="A23" s="1" t="s">
        <v>261</v>
      </c>
      <c r="B23" s="1" t="s">
        <v>23</v>
      </c>
      <c r="C23" s="1" t="s">
        <v>36</v>
      </c>
      <c r="D23" s="1" t="s">
        <v>13</v>
      </c>
      <c r="E23" s="4">
        <v>15</v>
      </c>
      <c r="F23" s="4">
        <v>11</v>
      </c>
      <c r="G23" s="1" t="s">
        <v>25</v>
      </c>
      <c r="H23" s="1" t="s">
        <v>26</v>
      </c>
      <c r="I23" s="5" t="s">
        <v>262</v>
      </c>
      <c r="J23" s="4">
        <v>63</v>
      </c>
      <c r="M23" s="1" t="s">
        <v>177</v>
      </c>
      <c r="N23" s="1" t="s">
        <v>29</v>
      </c>
      <c r="O23" s="1" t="s">
        <v>58</v>
      </c>
      <c r="P23" s="1" t="s">
        <v>31</v>
      </c>
      <c r="Q23" s="4">
        <v>19</v>
      </c>
      <c r="R23" s="4">
        <v>12</v>
      </c>
      <c r="S23" s="1" t="s">
        <v>43</v>
      </c>
      <c r="T23" s="1" t="s">
        <v>61</v>
      </c>
      <c r="U23" s="5" t="s">
        <v>178</v>
      </c>
      <c r="V23" s="4">
        <v>99</v>
      </c>
      <c r="Z23" s="1" t="s">
        <v>255</v>
      </c>
      <c r="AA23" s="1" t="s">
        <v>51</v>
      </c>
      <c r="AB23" s="1" t="s">
        <v>79</v>
      </c>
      <c r="AC23" s="1" t="s">
        <v>31</v>
      </c>
      <c r="AD23" s="4">
        <v>20</v>
      </c>
      <c r="AE23" s="4">
        <v>12</v>
      </c>
      <c r="AF23" s="1" t="s">
        <v>43</v>
      </c>
      <c r="AG23" s="1" t="s">
        <v>40</v>
      </c>
      <c r="AH23" s="5" t="s">
        <v>256</v>
      </c>
      <c r="AI23" s="4">
        <v>48</v>
      </c>
      <c r="AM23" s="1" t="s">
        <v>261</v>
      </c>
      <c r="AN23" s="1" t="s">
        <v>23</v>
      </c>
      <c r="AO23" s="1" t="s">
        <v>36</v>
      </c>
      <c r="AP23" s="1" t="s">
        <v>13</v>
      </c>
      <c r="AQ23" s="4">
        <v>15</v>
      </c>
      <c r="AR23" s="4">
        <v>11</v>
      </c>
      <c r="AS23" s="1" t="s">
        <v>25</v>
      </c>
      <c r="AT23" s="1" t="s">
        <v>26</v>
      </c>
      <c r="AU23" s="5" t="s">
        <v>262</v>
      </c>
      <c r="AV23" s="4">
        <v>63</v>
      </c>
      <c r="AZ23" s="1" t="s">
        <v>177</v>
      </c>
      <c r="BA23" s="1" t="s">
        <v>29</v>
      </c>
      <c r="BB23" s="1" t="s">
        <v>58</v>
      </c>
      <c r="BC23" s="1" t="s">
        <v>31</v>
      </c>
      <c r="BD23" s="4">
        <v>19</v>
      </c>
      <c r="BE23" s="4">
        <v>12</v>
      </c>
      <c r="BF23" s="1" t="s">
        <v>43</v>
      </c>
      <c r="BG23" s="1" t="s">
        <v>61</v>
      </c>
      <c r="BH23" s="5" t="s">
        <v>178</v>
      </c>
      <c r="BI23" s="4">
        <v>99</v>
      </c>
      <c r="BM23" s="1" t="s">
        <v>255</v>
      </c>
      <c r="BN23" s="1" t="s">
        <v>51</v>
      </c>
      <c r="BO23" s="1" t="s">
        <v>79</v>
      </c>
      <c r="BP23" s="1" t="s">
        <v>31</v>
      </c>
      <c r="BQ23" s="4">
        <v>20</v>
      </c>
      <c r="BR23" s="4">
        <v>12</v>
      </c>
      <c r="BS23" s="1" t="s">
        <v>43</v>
      </c>
      <c r="BT23" s="1" t="s">
        <v>40</v>
      </c>
      <c r="BU23" s="5" t="s">
        <v>256</v>
      </c>
      <c r="BV23" s="4">
        <v>48</v>
      </c>
      <c r="BZ23" s="1" t="s">
        <v>158</v>
      </c>
      <c r="CA23" s="1" t="s">
        <v>18</v>
      </c>
      <c r="CB23" s="1" t="s">
        <v>19</v>
      </c>
      <c r="CC23" s="1" t="s">
        <v>13</v>
      </c>
      <c r="CD23" s="4">
        <v>16</v>
      </c>
      <c r="CE23" s="4">
        <v>12</v>
      </c>
      <c r="CF23" s="1" t="s">
        <v>43</v>
      </c>
      <c r="CG23" s="1" t="s">
        <v>40</v>
      </c>
      <c r="CH23" s="5" t="s">
        <v>159</v>
      </c>
      <c r="CI23" s="4">
        <v>36</v>
      </c>
      <c r="CM23" s="1" t="s">
        <v>175</v>
      </c>
      <c r="CN23" s="1" t="s">
        <v>35</v>
      </c>
      <c r="CO23" s="1" t="s">
        <v>30</v>
      </c>
      <c r="CP23" s="1" t="s">
        <v>31</v>
      </c>
      <c r="CQ23" s="4">
        <v>20</v>
      </c>
      <c r="CR23" s="4">
        <v>9</v>
      </c>
      <c r="CS23" s="1" t="s">
        <v>14</v>
      </c>
      <c r="CT23" s="1" t="s">
        <v>61</v>
      </c>
      <c r="CU23" s="5" t="s">
        <v>176</v>
      </c>
      <c r="CV23" s="4">
        <v>76</v>
      </c>
    </row>
    <row r="24" spans="1:100" x14ac:dyDescent="0.3">
      <c r="A24" s="1" t="s">
        <v>268</v>
      </c>
      <c r="B24" s="1" t="s">
        <v>68</v>
      </c>
      <c r="C24" s="1" t="s">
        <v>24</v>
      </c>
      <c r="D24" s="1" t="s">
        <v>31</v>
      </c>
      <c r="E24" s="4">
        <v>16</v>
      </c>
      <c r="F24" s="4">
        <v>12</v>
      </c>
      <c r="G24" s="1" t="s">
        <v>43</v>
      </c>
      <c r="H24" s="1" t="s">
        <v>26</v>
      </c>
      <c r="I24" s="5" t="s">
        <v>269</v>
      </c>
      <c r="J24" s="4">
        <v>47</v>
      </c>
      <c r="M24" s="1" t="s">
        <v>181</v>
      </c>
      <c r="N24" s="1" t="s">
        <v>11</v>
      </c>
      <c r="O24" s="1" t="s">
        <v>55</v>
      </c>
      <c r="P24" s="1" t="s">
        <v>31</v>
      </c>
      <c r="Q24" s="4">
        <v>18</v>
      </c>
      <c r="R24" s="4">
        <v>10</v>
      </c>
      <c r="S24" s="1" t="s">
        <v>25</v>
      </c>
      <c r="T24" s="1" t="s">
        <v>46</v>
      </c>
      <c r="U24" s="5" t="s">
        <v>182</v>
      </c>
      <c r="V24" s="4">
        <v>98</v>
      </c>
      <c r="Z24" s="1" t="s">
        <v>268</v>
      </c>
      <c r="AA24" s="1" t="s">
        <v>68</v>
      </c>
      <c r="AB24" s="1" t="s">
        <v>24</v>
      </c>
      <c r="AC24" s="1" t="s">
        <v>31</v>
      </c>
      <c r="AD24" s="4">
        <v>16</v>
      </c>
      <c r="AE24" s="4">
        <v>12</v>
      </c>
      <c r="AF24" s="1" t="s">
        <v>43</v>
      </c>
      <c r="AG24" s="1" t="s">
        <v>26</v>
      </c>
      <c r="AH24" s="5" t="s">
        <v>269</v>
      </c>
      <c r="AI24" s="4">
        <v>47</v>
      </c>
      <c r="AM24" s="1" t="s">
        <v>268</v>
      </c>
      <c r="AN24" s="1" t="s">
        <v>68</v>
      </c>
      <c r="AO24" s="1" t="s">
        <v>24</v>
      </c>
      <c r="AP24" s="1" t="s">
        <v>31</v>
      </c>
      <c r="AQ24" s="4">
        <v>16</v>
      </c>
      <c r="AR24" s="4">
        <v>12</v>
      </c>
      <c r="AS24" s="1" t="s">
        <v>43</v>
      </c>
      <c r="AT24" s="1" t="s">
        <v>26</v>
      </c>
      <c r="AU24" s="5" t="s">
        <v>269</v>
      </c>
      <c r="AV24" s="4">
        <v>47</v>
      </c>
      <c r="AZ24" s="1" t="s">
        <v>181</v>
      </c>
      <c r="BA24" s="1" t="s">
        <v>11</v>
      </c>
      <c r="BB24" s="1" t="s">
        <v>55</v>
      </c>
      <c r="BC24" s="1" t="s">
        <v>31</v>
      </c>
      <c r="BD24" s="4">
        <v>18</v>
      </c>
      <c r="BE24" s="4">
        <v>10</v>
      </c>
      <c r="BF24" s="1" t="s">
        <v>25</v>
      </c>
      <c r="BG24" s="1" t="s">
        <v>46</v>
      </c>
      <c r="BH24" s="5" t="s">
        <v>182</v>
      </c>
      <c r="BI24" s="4">
        <v>98</v>
      </c>
      <c r="BM24" s="1" t="s">
        <v>268</v>
      </c>
      <c r="BN24" s="1" t="s">
        <v>68</v>
      </c>
      <c r="BO24" s="1" t="s">
        <v>24</v>
      </c>
      <c r="BP24" s="1" t="s">
        <v>31</v>
      </c>
      <c r="BQ24" s="4">
        <v>16</v>
      </c>
      <c r="BR24" s="4">
        <v>12</v>
      </c>
      <c r="BS24" s="1" t="s">
        <v>43</v>
      </c>
      <c r="BT24" s="1" t="s">
        <v>26</v>
      </c>
      <c r="BU24" s="5" t="s">
        <v>269</v>
      </c>
      <c r="BV24" s="4">
        <v>47</v>
      </c>
      <c r="BZ24" s="1" t="s">
        <v>160</v>
      </c>
      <c r="CA24" s="1" t="s">
        <v>51</v>
      </c>
      <c r="CB24" s="1" t="s">
        <v>85</v>
      </c>
      <c r="CC24" s="1" t="s">
        <v>31</v>
      </c>
      <c r="CD24" s="4">
        <v>17</v>
      </c>
      <c r="CE24" s="4">
        <v>11</v>
      </c>
      <c r="CF24" s="1" t="s">
        <v>43</v>
      </c>
      <c r="CG24" s="1" t="s">
        <v>37</v>
      </c>
      <c r="CH24" s="5" t="s">
        <v>161</v>
      </c>
      <c r="CI24" s="4">
        <v>99</v>
      </c>
      <c r="CM24" s="1" t="s">
        <v>177</v>
      </c>
      <c r="CN24" s="1" t="s">
        <v>29</v>
      </c>
      <c r="CO24" s="1" t="s">
        <v>58</v>
      </c>
      <c r="CP24" s="1" t="s">
        <v>31</v>
      </c>
      <c r="CQ24" s="4">
        <v>19</v>
      </c>
      <c r="CR24" s="4">
        <v>12</v>
      </c>
      <c r="CS24" s="1" t="s">
        <v>43</v>
      </c>
      <c r="CT24" s="1" t="s">
        <v>61</v>
      </c>
      <c r="CU24" s="5" t="s">
        <v>178</v>
      </c>
      <c r="CV24" s="4">
        <v>99</v>
      </c>
    </row>
    <row r="25" spans="1:100" x14ac:dyDescent="0.3">
      <c r="A25" s="1" t="s">
        <v>270</v>
      </c>
      <c r="B25" s="1" t="s">
        <v>73</v>
      </c>
      <c r="C25" s="1" t="s">
        <v>30</v>
      </c>
      <c r="D25" s="1" t="s">
        <v>31</v>
      </c>
      <c r="E25" s="4">
        <v>15</v>
      </c>
      <c r="F25" s="4">
        <v>9</v>
      </c>
      <c r="G25" s="1" t="s">
        <v>43</v>
      </c>
      <c r="H25" s="1" t="s">
        <v>26</v>
      </c>
      <c r="I25" s="5" t="s">
        <v>271</v>
      </c>
      <c r="J25" s="4">
        <v>76</v>
      </c>
      <c r="M25" s="1" t="s">
        <v>188</v>
      </c>
      <c r="N25" s="1" t="s">
        <v>23</v>
      </c>
      <c r="O25" s="1" t="s">
        <v>55</v>
      </c>
      <c r="P25" s="1" t="s">
        <v>31</v>
      </c>
      <c r="Q25" s="4">
        <v>15</v>
      </c>
      <c r="R25" s="4">
        <v>9</v>
      </c>
      <c r="S25" s="1" t="s">
        <v>43</v>
      </c>
      <c r="T25" s="1" t="s">
        <v>20</v>
      </c>
      <c r="U25" s="5" t="s">
        <v>189</v>
      </c>
      <c r="V25" s="4">
        <v>88</v>
      </c>
      <c r="Z25" s="1" t="s">
        <v>276</v>
      </c>
      <c r="AA25" s="1" t="s">
        <v>84</v>
      </c>
      <c r="AB25" s="1" t="s">
        <v>30</v>
      </c>
      <c r="AC25" s="1" t="s">
        <v>31</v>
      </c>
      <c r="AD25" s="4">
        <v>14</v>
      </c>
      <c r="AE25" s="4">
        <v>12</v>
      </c>
      <c r="AF25" s="1" t="s">
        <v>14</v>
      </c>
      <c r="AG25" s="1" t="s">
        <v>26</v>
      </c>
      <c r="AH25" s="5" t="s">
        <v>277</v>
      </c>
      <c r="AI25" s="4">
        <v>62</v>
      </c>
      <c r="AM25" s="1" t="s">
        <v>270</v>
      </c>
      <c r="AN25" s="1" t="s">
        <v>73</v>
      </c>
      <c r="AO25" s="1" t="s">
        <v>30</v>
      </c>
      <c r="AP25" s="1" t="s">
        <v>31</v>
      </c>
      <c r="AQ25" s="4">
        <v>15</v>
      </c>
      <c r="AR25" s="4">
        <v>9</v>
      </c>
      <c r="AS25" s="1" t="s">
        <v>43</v>
      </c>
      <c r="AT25" s="1" t="s">
        <v>26</v>
      </c>
      <c r="AU25" s="5" t="s">
        <v>271</v>
      </c>
      <c r="AV25" s="4">
        <v>76</v>
      </c>
      <c r="AZ25" s="1" t="s">
        <v>188</v>
      </c>
      <c r="BA25" s="1" t="s">
        <v>23</v>
      </c>
      <c r="BB25" s="1" t="s">
        <v>55</v>
      </c>
      <c r="BC25" s="1" t="s">
        <v>31</v>
      </c>
      <c r="BD25" s="4">
        <v>15</v>
      </c>
      <c r="BE25" s="4">
        <v>9</v>
      </c>
      <c r="BF25" s="1" t="s">
        <v>43</v>
      </c>
      <c r="BG25" s="1" t="s">
        <v>20</v>
      </c>
      <c r="BH25" s="5" t="s">
        <v>189</v>
      </c>
      <c r="BI25" s="4">
        <v>88</v>
      </c>
      <c r="BM25" s="1" t="s">
        <v>276</v>
      </c>
      <c r="BN25" s="1" t="s">
        <v>84</v>
      </c>
      <c r="BO25" s="1" t="s">
        <v>30</v>
      </c>
      <c r="BP25" s="1" t="s">
        <v>31</v>
      </c>
      <c r="BQ25" s="4">
        <v>14</v>
      </c>
      <c r="BR25" s="4">
        <v>12</v>
      </c>
      <c r="BS25" s="1" t="s">
        <v>14</v>
      </c>
      <c r="BT25" s="1" t="s">
        <v>26</v>
      </c>
      <c r="BU25" s="5" t="s">
        <v>277</v>
      </c>
      <c r="BV25" s="4">
        <v>62</v>
      </c>
      <c r="BZ25" s="1" t="s">
        <v>164</v>
      </c>
      <c r="CA25" s="1" t="s">
        <v>23</v>
      </c>
      <c r="CB25" s="1" t="s">
        <v>19</v>
      </c>
      <c r="CC25" s="1" t="s">
        <v>31</v>
      </c>
      <c r="CD25" s="4">
        <v>17</v>
      </c>
      <c r="CE25" s="4">
        <v>9</v>
      </c>
      <c r="CF25" s="1" t="s">
        <v>25</v>
      </c>
      <c r="CG25" s="1" t="s">
        <v>15</v>
      </c>
      <c r="CH25" s="5" t="s">
        <v>165</v>
      </c>
      <c r="CI25" s="4">
        <v>64</v>
      </c>
      <c r="CM25" s="1" t="s">
        <v>181</v>
      </c>
      <c r="CN25" s="1" t="s">
        <v>11</v>
      </c>
      <c r="CO25" s="1" t="s">
        <v>55</v>
      </c>
      <c r="CP25" s="1" t="s">
        <v>31</v>
      </c>
      <c r="CQ25" s="4">
        <v>18</v>
      </c>
      <c r="CR25" s="4">
        <v>10</v>
      </c>
      <c r="CS25" s="1" t="s">
        <v>25</v>
      </c>
      <c r="CT25" s="1" t="s">
        <v>46</v>
      </c>
      <c r="CU25" s="5" t="s">
        <v>182</v>
      </c>
      <c r="CV25" s="4">
        <v>98</v>
      </c>
    </row>
    <row r="26" spans="1:100" x14ac:dyDescent="0.3">
      <c r="A26" s="1" t="s">
        <v>276</v>
      </c>
      <c r="B26" s="1" t="s">
        <v>84</v>
      </c>
      <c r="C26" s="1" t="s">
        <v>30</v>
      </c>
      <c r="D26" s="1" t="s">
        <v>31</v>
      </c>
      <c r="E26" s="4">
        <v>14</v>
      </c>
      <c r="F26" s="4">
        <v>12</v>
      </c>
      <c r="G26" s="1" t="s">
        <v>14</v>
      </c>
      <c r="H26" s="1" t="s">
        <v>26</v>
      </c>
      <c r="I26" s="5" t="s">
        <v>277</v>
      </c>
      <c r="J26" s="4">
        <v>62</v>
      </c>
      <c r="M26" s="1" t="s">
        <v>198</v>
      </c>
      <c r="N26" s="1" t="s">
        <v>11</v>
      </c>
      <c r="O26" s="1" t="s">
        <v>85</v>
      </c>
      <c r="P26" s="1" t="s">
        <v>31</v>
      </c>
      <c r="Q26" s="4">
        <v>14</v>
      </c>
      <c r="R26" s="4">
        <v>10</v>
      </c>
      <c r="S26" s="1" t="s">
        <v>25</v>
      </c>
      <c r="T26" s="1" t="s">
        <v>61</v>
      </c>
      <c r="U26" s="5" t="s">
        <v>199</v>
      </c>
      <c r="V26" s="4">
        <v>97</v>
      </c>
      <c r="Z26" s="1" t="s">
        <v>287</v>
      </c>
      <c r="AA26" s="1" t="s">
        <v>54</v>
      </c>
      <c r="AB26" s="1" t="s">
        <v>24</v>
      </c>
      <c r="AC26" s="1" t="s">
        <v>31</v>
      </c>
      <c r="AD26" s="4">
        <v>14</v>
      </c>
      <c r="AE26" s="4">
        <v>12</v>
      </c>
      <c r="AF26" s="1" t="s">
        <v>32</v>
      </c>
      <c r="AG26" s="1" t="s">
        <v>76</v>
      </c>
      <c r="AH26" s="5" t="s">
        <v>288</v>
      </c>
      <c r="AI26" s="4">
        <v>48</v>
      </c>
      <c r="AM26" s="1" t="s">
        <v>276</v>
      </c>
      <c r="AN26" s="1" t="s">
        <v>84</v>
      </c>
      <c r="AO26" s="1" t="s">
        <v>30</v>
      </c>
      <c r="AP26" s="1" t="s">
        <v>31</v>
      </c>
      <c r="AQ26" s="4">
        <v>14</v>
      </c>
      <c r="AR26" s="4">
        <v>12</v>
      </c>
      <c r="AS26" s="1" t="s">
        <v>14</v>
      </c>
      <c r="AT26" s="1" t="s">
        <v>26</v>
      </c>
      <c r="AU26" s="5" t="s">
        <v>277</v>
      </c>
      <c r="AV26" s="4">
        <v>62</v>
      </c>
      <c r="AZ26" s="1" t="s">
        <v>198</v>
      </c>
      <c r="BA26" s="1" t="s">
        <v>11</v>
      </c>
      <c r="BB26" s="1" t="s">
        <v>85</v>
      </c>
      <c r="BC26" s="1" t="s">
        <v>31</v>
      </c>
      <c r="BD26" s="4">
        <v>14</v>
      </c>
      <c r="BE26" s="4">
        <v>10</v>
      </c>
      <c r="BF26" s="1" t="s">
        <v>25</v>
      </c>
      <c r="BG26" s="1" t="s">
        <v>61</v>
      </c>
      <c r="BH26" s="5" t="s">
        <v>199</v>
      </c>
      <c r="BI26" s="4">
        <v>97</v>
      </c>
      <c r="BM26" s="1" t="s">
        <v>287</v>
      </c>
      <c r="BN26" s="1" t="s">
        <v>54</v>
      </c>
      <c r="BO26" s="1" t="s">
        <v>24</v>
      </c>
      <c r="BP26" s="1" t="s">
        <v>31</v>
      </c>
      <c r="BQ26" s="4">
        <v>14</v>
      </c>
      <c r="BR26" s="4">
        <v>12</v>
      </c>
      <c r="BS26" s="1" t="s">
        <v>32</v>
      </c>
      <c r="BT26" s="1" t="s">
        <v>76</v>
      </c>
      <c r="BU26" s="5" t="s">
        <v>288</v>
      </c>
      <c r="BV26" s="4">
        <v>48</v>
      </c>
      <c r="BZ26" s="1" t="s">
        <v>168</v>
      </c>
      <c r="CA26" s="1" t="s">
        <v>18</v>
      </c>
      <c r="CB26" s="1" t="s">
        <v>79</v>
      </c>
      <c r="CC26" s="1" t="s">
        <v>13</v>
      </c>
      <c r="CD26" s="4">
        <v>17</v>
      </c>
      <c r="CE26" s="4">
        <v>12</v>
      </c>
      <c r="CF26" s="1" t="s">
        <v>25</v>
      </c>
      <c r="CG26" s="1" t="s">
        <v>26</v>
      </c>
      <c r="CH26" s="5" t="s">
        <v>137</v>
      </c>
      <c r="CI26" s="4">
        <v>82</v>
      </c>
      <c r="CM26" s="1" t="s">
        <v>185</v>
      </c>
      <c r="CN26" s="1" t="s">
        <v>35</v>
      </c>
      <c r="CO26" s="1" t="s">
        <v>30</v>
      </c>
      <c r="CP26" s="1" t="s">
        <v>31</v>
      </c>
      <c r="CQ26" s="4">
        <v>14</v>
      </c>
      <c r="CR26" s="4">
        <v>12</v>
      </c>
      <c r="CS26" s="1" t="s">
        <v>43</v>
      </c>
      <c r="CT26" s="1" t="s">
        <v>61</v>
      </c>
      <c r="CU26" s="5" t="s">
        <v>186</v>
      </c>
      <c r="CV26" s="4">
        <v>45</v>
      </c>
    </row>
    <row r="27" spans="1:100" x14ac:dyDescent="0.3">
      <c r="A27" s="1" t="s">
        <v>293</v>
      </c>
      <c r="B27" s="1" t="s">
        <v>73</v>
      </c>
      <c r="C27" s="1" t="s">
        <v>96</v>
      </c>
      <c r="D27" s="1" t="s">
        <v>31</v>
      </c>
      <c r="E27" s="4">
        <v>20</v>
      </c>
      <c r="F27" s="4">
        <v>9</v>
      </c>
      <c r="G27" s="1" t="s">
        <v>43</v>
      </c>
      <c r="H27" s="1" t="s">
        <v>26</v>
      </c>
      <c r="I27" s="5" t="s">
        <v>74</v>
      </c>
      <c r="J27" s="4">
        <v>100</v>
      </c>
      <c r="M27" s="1" t="s">
        <v>200</v>
      </c>
      <c r="N27" s="1" t="s">
        <v>29</v>
      </c>
      <c r="O27" s="1" t="s">
        <v>12</v>
      </c>
      <c r="P27" s="1" t="s">
        <v>13</v>
      </c>
      <c r="Q27" s="4">
        <v>18</v>
      </c>
      <c r="R27" s="4">
        <v>12</v>
      </c>
      <c r="S27" s="1" t="s">
        <v>25</v>
      </c>
      <c r="T27" s="1" t="s">
        <v>26</v>
      </c>
      <c r="U27" s="5" t="s">
        <v>201</v>
      </c>
      <c r="V27" s="4">
        <v>89</v>
      </c>
      <c r="Z27" s="1" t="s">
        <v>304</v>
      </c>
      <c r="AA27" s="1" t="s">
        <v>51</v>
      </c>
      <c r="AB27" s="1" t="s">
        <v>36</v>
      </c>
      <c r="AC27" s="1" t="s">
        <v>31</v>
      </c>
      <c r="AD27" s="4">
        <v>15</v>
      </c>
      <c r="AE27" s="4">
        <v>12</v>
      </c>
      <c r="AF27" s="1" t="s">
        <v>32</v>
      </c>
      <c r="AG27" s="1" t="s">
        <v>46</v>
      </c>
      <c r="AH27" s="5" t="s">
        <v>305</v>
      </c>
      <c r="AI27" s="4">
        <v>77</v>
      </c>
      <c r="AM27" s="1" t="s">
        <v>293</v>
      </c>
      <c r="AN27" s="1" t="s">
        <v>73</v>
      </c>
      <c r="AO27" s="1" t="s">
        <v>96</v>
      </c>
      <c r="AP27" s="1" t="s">
        <v>31</v>
      </c>
      <c r="AQ27" s="4">
        <v>20</v>
      </c>
      <c r="AR27" s="4">
        <v>9</v>
      </c>
      <c r="AS27" s="1" t="s">
        <v>43</v>
      </c>
      <c r="AT27" s="1" t="s">
        <v>26</v>
      </c>
      <c r="AU27" s="5" t="s">
        <v>74</v>
      </c>
      <c r="AV27" s="4">
        <v>100</v>
      </c>
      <c r="AZ27" s="1" t="s">
        <v>200</v>
      </c>
      <c r="BA27" s="1" t="s">
        <v>29</v>
      </c>
      <c r="BB27" s="1" t="s">
        <v>12</v>
      </c>
      <c r="BC27" s="1" t="s">
        <v>13</v>
      </c>
      <c r="BD27" s="4">
        <v>18</v>
      </c>
      <c r="BE27" s="4">
        <v>12</v>
      </c>
      <c r="BF27" s="1" t="s">
        <v>25</v>
      </c>
      <c r="BG27" s="1" t="s">
        <v>26</v>
      </c>
      <c r="BH27" s="5" t="s">
        <v>201</v>
      </c>
      <c r="BI27" s="4">
        <v>89</v>
      </c>
      <c r="BM27" s="1" t="s">
        <v>304</v>
      </c>
      <c r="BN27" s="1" t="s">
        <v>51</v>
      </c>
      <c r="BO27" s="1" t="s">
        <v>36</v>
      </c>
      <c r="BP27" s="1" t="s">
        <v>31</v>
      </c>
      <c r="BQ27" s="4">
        <v>15</v>
      </c>
      <c r="BR27" s="4">
        <v>12</v>
      </c>
      <c r="BS27" s="1" t="s">
        <v>32</v>
      </c>
      <c r="BT27" s="1" t="s">
        <v>46</v>
      </c>
      <c r="BU27" s="5" t="s">
        <v>305</v>
      </c>
      <c r="BV27" s="4">
        <v>77</v>
      </c>
      <c r="BZ27" s="1" t="s">
        <v>169</v>
      </c>
      <c r="CA27" s="1" t="s">
        <v>11</v>
      </c>
      <c r="CB27" s="1" t="s">
        <v>30</v>
      </c>
      <c r="CC27" s="1" t="s">
        <v>31</v>
      </c>
      <c r="CD27" s="4">
        <v>18</v>
      </c>
      <c r="CE27" s="4">
        <v>9</v>
      </c>
      <c r="CF27" s="1" t="s">
        <v>25</v>
      </c>
      <c r="CG27" s="1" t="s">
        <v>46</v>
      </c>
      <c r="CH27" s="5" t="s">
        <v>170</v>
      </c>
      <c r="CI27" s="4">
        <v>60</v>
      </c>
      <c r="CM27" s="1" t="s">
        <v>187</v>
      </c>
      <c r="CN27" s="1" t="s">
        <v>51</v>
      </c>
      <c r="CO27" s="1" t="s">
        <v>12</v>
      </c>
      <c r="CP27" s="1" t="s">
        <v>31</v>
      </c>
      <c r="CQ27" s="4">
        <v>17</v>
      </c>
      <c r="CR27" s="4">
        <v>10</v>
      </c>
      <c r="CS27" s="1" t="s">
        <v>43</v>
      </c>
      <c r="CT27" s="1" t="s">
        <v>46</v>
      </c>
      <c r="CU27" s="5" t="s">
        <v>101</v>
      </c>
      <c r="CV27" s="4">
        <v>66</v>
      </c>
    </row>
    <row r="28" spans="1:100" x14ac:dyDescent="0.3">
      <c r="A28" s="1" t="s">
        <v>298</v>
      </c>
      <c r="B28" s="1" t="s">
        <v>29</v>
      </c>
      <c r="C28" s="1" t="s">
        <v>96</v>
      </c>
      <c r="D28" s="1" t="s">
        <v>31</v>
      </c>
      <c r="E28" s="4">
        <v>20</v>
      </c>
      <c r="F28" s="4">
        <v>10</v>
      </c>
      <c r="G28" s="1" t="s">
        <v>32</v>
      </c>
      <c r="H28" s="1" t="s">
        <v>26</v>
      </c>
      <c r="I28" s="5" t="s">
        <v>299</v>
      </c>
      <c r="J28" s="4">
        <v>56</v>
      </c>
      <c r="M28" s="1" t="s">
        <v>203</v>
      </c>
      <c r="N28" s="1" t="s">
        <v>35</v>
      </c>
      <c r="O28" s="1" t="s">
        <v>96</v>
      </c>
      <c r="P28" s="1" t="s">
        <v>13</v>
      </c>
      <c r="Q28" s="4">
        <v>17</v>
      </c>
      <c r="R28" s="4">
        <v>12</v>
      </c>
      <c r="S28" s="1" t="s">
        <v>25</v>
      </c>
      <c r="T28" s="1" t="s">
        <v>20</v>
      </c>
      <c r="U28" s="5" t="s">
        <v>204</v>
      </c>
      <c r="V28" s="4">
        <v>90</v>
      </c>
      <c r="Z28" s="1" t="s">
        <v>312</v>
      </c>
      <c r="AA28" s="1" t="s">
        <v>29</v>
      </c>
      <c r="AB28" s="1" t="s">
        <v>12</v>
      </c>
      <c r="AC28" s="1" t="s">
        <v>31</v>
      </c>
      <c r="AD28" s="4">
        <v>14</v>
      </c>
      <c r="AE28" s="4">
        <v>12</v>
      </c>
      <c r="AF28" s="1" t="s">
        <v>43</v>
      </c>
      <c r="AG28" s="1" t="s">
        <v>61</v>
      </c>
      <c r="AH28" s="5" t="s">
        <v>313</v>
      </c>
      <c r="AI28" s="4">
        <v>44</v>
      </c>
      <c r="AM28" s="1" t="s">
        <v>298</v>
      </c>
      <c r="AN28" s="1" t="s">
        <v>29</v>
      </c>
      <c r="AO28" s="1" t="s">
        <v>96</v>
      </c>
      <c r="AP28" s="1" t="s">
        <v>31</v>
      </c>
      <c r="AQ28" s="4">
        <v>20</v>
      </c>
      <c r="AR28" s="4">
        <v>10</v>
      </c>
      <c r="AS28" s="1" t="s">
        <v>32</v>
      </c>
      <c r="AT28" s="1" t="s">
        <v>26</v>
      </c>
      <c r="AU28" s="5" t="s">
        <v>299</v>
      </c>
      <c r="AV28" s="4">
        <v>56</v>
      </c>
      <c r="AZ28" s="1" t="s">
        <v>203</v>
      </c>
      <c r="BA28" s="1" t="s">
        <v>35</v>
      </c>
      <c r="BB28" s="1" t="s">
        <v>96</v>
      </c>
      <c r="BC28" s="1" t="s">
        <v>13</v>
      </c>
      <c r="BD28" s="4">
        <v>17</v>
      </c>
      <c r="BE28" s="4">
        <v>12</v>
      </c>
      <c r="BF28" s="1" t="s">
        <v>25</v>
      </c>
      <c r="BG28" s="1" t="s">
        <v>20</v>
      </c>
      <c r="BH28" s="5" t="s">
        <v>204</v>
      </c>
      <c r="BI28" s="4">
        <v>90</v>
      </c>
      <c r="BM28" s="1" t="s">
        <v>312</v>
      </c>
      <c r="BN28" s="1" t="s">
        <v>29</v>
      </c>
      <c r="BO28" s="1" t="s">
        <v>12</v>
      </c>
      <c r="BP28" s="1" t="s">
        <v>31</v>
      </c>
      <c r="BQ28" s="4">
        <v>14</v>
      </c>
      <c r="BR28" s="4">
        <v>12</v>
      </c>
      <c r="BS28" s="1" t="s">
        <v>43</v>
      </c>
      <c r="BT28" s="1" t="s">
        <v>61</v>
      </c>
      <c r="BU28" s="5" t="s">
        <v>313</v>
      </c>
      <c r="BV28" s="4">
        <v>44</v>
      </c>
      <c r="BZ28" s="1" t="s">
        <v>173</v>
      </c>
      <c r="CA28" s="1" t="s">
        <v>54</v>
      </c>
      <c r="CB28" s="1" t="s">
        <v>30</v>
      </c>
      <c r="CC28" s="1" t="s">
        <v>31</v>
      </c>
      <c r="CD28" s="4">
        <v>18</v>
      </c>
      <c r="CE28" s="4">
        <v>9</v>
      </c>
      <c r="CF28" s="1" t="s">
        <v>32</v>
      </c>
      <c r="CG28" s="1" t="s">
        <v>40</v>
      </c>
      <c r="CH28" s="5" t="s">
        <v>174</v>
      </c>
      <c r="CI28" s="4">
        <v>54</v>
      </c>
      <c r="CM28" s="1" t="s">
        <v>192</v>
      </c>
      <c r="CN28" s="1" t="s">
        <v>68</v>
      </c>
      <c r="CO28" s="1" t="s">
        <v>85</v>
      </c>
      <c r="CP28" s="1" t="s">
        <v>13</v>
      </c>
      <c r="CQ28" s="4">
        <v>19</v>
      </c>
      <c r="CR28" s="4">
        <v>11</v>
      </c>
      <c r="CS28" s="1" t="s">
        <v>43</v>
      </c>
      <c r="CT28" s="1" t="s">
        <v>61</v>
      </c>
      <c r="CU28" s="5" t="s">
        <v>193</v>
      </c>
      <c r="CV28" s="4">
        <v>78</v>
      </c>
    </row>
    <row r="29" spans="1:100" x14ac:dyDescent="0.3">
      <c r="A29" s="1" t="s">
        <v>322</v>
      </c>
      <c r="B29" s="1" t="s">
        <v>35</v>
      </c>
      <c r="C29" s="1" t="s">
        <v>12</v>
      </c>
      <c r="D29" s="1" t="s">
        <v>13</v>
      </c>
      <c r="E29" s="4">
        <v>14</v>
      </c>
      <c r="F29" s="4">
        <v>11</v>
      </c>
      <c r="G29" s="1" t="s">
        <v>14</v>
      </c>
      <c r="H29" s="1" t="s">
        <v>26</v>
      </c>
      <c r="I29" s="5" t="s">
        <v>323</v>
      </c>
      <c r="J29" s="4">
        <v>93</v>
      </c>
      <c r="M29" s="1" t="s">
        <v>215</v>
      </c>
      <c r="N29" s="1" t="s">
        <v>84</v>
      </c>
      <c r="O29" s="1" t="s">
        <v>36</v>
      </c>
      <c r="P29" s="1" t="s">
        <v>31</v>
      </c>
      <c r="Q29" s="4">
        <v>19</v>
      </c>
      <c r="R29" s="4">
        <v>12</v>
      </c>
      <c r="S29" s="1" t="s">
        <v>14</v>
      </c>
      <c r="T29" s="1" t="s">
        <v>37</v>
      </c>
      <c r="U29" s="5" t="s">
        <v>216</v>
      </c>
      <c r="V29" s="4">
        <v>84</v>
      </c>
      <c r="Z29" s="1" t="s">
        <v>320</v>
      </c>
      <c r="AA29" s="1" t="s">
        <v>84</v>
      </c>
      <c r="AB29" s="1" t="s">
        <v>55</v>
      </c>
      <c r="AC29" s="1" t="s">
        <v>31</v>
      </c>
      <c r="AD29" s="4">
        <v>16</v>
      </c>
      <c r="AE29" s="4">
        <v>12</v>
      </c>
      <c r="AF29" s="1" t="s">
        <v>32</v>
      </c>
      <c r="AG29" s="1" t="s">
        <v>76</v>
      </c>
      <c r="AH29" s="5" t="s">
        <v>321</v>
      </c>
      <c r="AI29" s="4">
        <v>66</v>
      </c>
      <c r="AM29" s="1" t="s">
        <v>322</v>
      </c>
      <c r="AN29" s="1" t="s">
        <v>35</v>
      </c>
      <c r="AO29" s="1" t="s">
        <v>12</v>
      </c>
      <c r="AP29" s="1" t="s">
        <v>13</v>
      </c>
      <c r="AQ29" s="4">
        <v>14</v>
      </c>
      <c r="AR29" s="4">
        <v>11</v>
      </c>
      <c r="AS29" s="1" t="s">
        <v>14</v>
      </c>
      <c r="AT29" s="1" t="s">
        <v>26</v>
      </c>
      <c r="AU29" s="5" t="s">
        <v>323</v>
      </c>
      <c r="AV29" s="4">
        <v>93</v>
      </c>
      <c r="AZ29" s="1" t="s">
        <v>215</v>
      </c>
      <c r="BA29" s="1" t="s">
        <v>84</v>
      </c>
      <c r="BB29" s="1" t="s">
        <v>36</v>
      </c>
      <c r="BC29" s="1" t="s">
        <v>31</v>
      </c>
      <c r="BD29" s="4">
        <v>19</v>
      </c>
      <c r="BE29" s="4">
        <v>12</v>
      </c>
      <c r="BF29" s="1" t="s">
        <v>14</v>
      </c>
      <c r="BG29" s="1" t="s">
        <v>37</v>
      </c>
      <c r="BH29" s="5" t="s">
        <v>216</v>
      </c>
      <c r="BI29" s="4">
        <v>84</v>
      </c>
      <c r="BM29" s="1" t="s">
        <v>320</v>
      </c>
      <c r="BN29" s="1" t="s">
        <v>84</v>
      </c>
      <c r="BO29" s="1" t="s">
        <v>55</v>
      </c>
      <c r="BP29" s="1" t="s">
        <v>31</v>
      </c>
      <c r="BQ29" s="4">
        <v>16</v>
      </c>
      <c r="BR29" s="4">
        <v>12</v>
      </c>
      <c r="BS29" s="1" t="s">
        <v>32</v>
      </c>
      <c r="BT29" s="1" t="s">
        <v>76</v>
      </c>
      <c r="BU29" s="5" t="s">
        <v>321</v>
      </c>
      <c r="BV29" s="4">
        <v>66</v>
      </c>
      <c r="BZ29" s="1" t="s">
        <v>179</v>
      </c>
      <c r="CA29" s="1" t="s">
        <v>29</v>
      </c>
      <c r="CB29" s="1" t="s">
        <v>58</v>
      </c>
      <c r="CC29" s="1" t="s">
        <v>31</v>
      </c>
      <c r="CD29" s="4">
        <v>16</v>
      </c>
      <c r="CE29" s="4">
        <v>11</v>
      </c>
      <c r="CF29" s="1" t="s">
        <v>25</v>
      </c>
      <c r="CG29" s="1" t="s">
        <v>26</v>
      </c>
      <c r="CH29" s="5" t="s">
        <v>180</v>
      </c>
      <c r="CI29" s="4">
        <v>75</v>
      </c>
      <c r="CM29" s="1" t="s">
        <v>198</v>
      </c>
      <c r="CN29" s="1" t="s">
        <v>11</v>
      </c>
      <c r="CO29" s="1" t="s">
        <v>85</v>
      </c>
      <c r="CP29" s="1" t="s">
        <v>31</v>
      </c>
      <c r="CQ29" s="4">
        <v>14</v>
      </c>
      <c r="CR29" s="4">
        <v>10</v>
      </c>
      <c r="CS29" s="1" t="s">
        <v>25</v>
      </c>
      <c r="CT29" s="1" t="s">
        <v>61</v>
      </c>
      <c r="CU29" s="5" t="s">
        <v>199</v>
      </c>
      <c r="CV29" s="4">
        <v>97</v>
      </c>
    </row>
    <row r="30" spans="1:100" x14ac:dyDescent="0.3">
      <c r="A30" s="1" t="s">
        <v>345</v>
      </c>
      <c r="B30" s="1" t="s">
        <v>29</v>
      </c>
      <c r="C30" s="1" t="s">
        <v>24</v>
      </c>
      <c r="D30" s="1" t="s">
        <v>31</v>
      </c>
      <c r="E30" s="4">
        <v>15</v>
      </c>
      <c r="F30" s="4">
        <v>9</v>
      </c>
      <c r="G30" s="1" t="s">
        <v>14</v>
      </c>
      <c r="H30" s="1" t="s">
        <v>26</v>
      </c>
      <c r="I30" s="5" t="s">
        <v>346</v>
      </c>
      <c r="J30" s="4">
        <v>49</v>
      </c>
      <c r="M30" s="1" t="s">
        <v>223</v>
      </c>
      <c r="N30" s="1" t="s">
        <v>68</v>
      </c>
      <c r="O30" s="1" t="s">
        <v>24</v>
      </c>
      <c r="P30" s="1" t="s">
        <v>13</v>
      </c>
      <c r="Q30" s="4">
        <v>18</v>
      </c>
      <c r="R30" s="4">
        <v>11</v>
      </c>
      <c r="S30" s="1" t="s">
        <v>32</v>
      </c>
      <c r="T30" s="1" t="s">
        <v>40</v>
      </c>
      <c r="U30" s="5" t="s">
        <v>224</v>
      </c>
      <c r="V30" s="4">
        <v>87</v>
      </c>
      <c r="Z30" s="1" t="s">
        <v>336</v>
      </c>
      <c r="AA30" s="1" t="s">
        <v>11</v>
      </c>
      <c r="AB30" s="1" t="s">
        <v>58</v>
      </c>
      <c r="AC30" s="1" t="s">
        <v>31</v>
      </c>
      <c r="AD30" s="4">
        <v>19</v>
      </c>
      <c r="AE30" s="4">
        <v>12</v>
      </c>
      <c r="AF30" s="1" t="s">
        <v>25</v>
      </c>
      <c r="AG30" s="1" t="s">
        <v>61</v>
      </c>
      <c r="AH30" s="5" t="s">
        <v>218</v>
      </c>
      <c r="AI30" s="4">
        <v>68</v>
      </c>
      <c r="AM30" s="1" t="s">
        <v>345</v>
      </c>
      <c r="AN30" s="1" t="s">
        <v>29</v>
      </c>
      <c r="AO30" s="1" t="s">
        <v>24</v>
      </c>
      <c r="AP30" s="1" t="s">
        <v>31</v>
      </c>
      <c r="AQ30" s="4">
        <v>15</v>
      </c>
      <c r="AR30" s="4">
        <v>9</v>
      </c>
      <c r="AS30" s="1" t="s">
        <v>14</v>
      </c>
      <c r="AT30" s="1" t="s">
        <v>26</v>
      </c>
      <c r="AU30" s="5" t="s">
        <v>346</v>
      </c>
      <c r="AV30" s="4">
        <v>49</v>
      </c>
      <c r="AZ30" s="1" t="s">
        <v>223</v>
      </c>
      <c r="BA30" s="1" t="s">
        <v>68</v>
      </c>
      <c r="BB30" s="1" t="s">
        <v>24</v>
      </c>
      <c r="BC30" s="1" t="s">
        <v>13</v>
      </c>
      <c r="BD30" s="4">
        <v>18</v>
      </c>
      <c r="BE30" s="4">
        <v>11</v>
      </c>
      <c r="BF30" s="1" t="s">
        <v>32</v>
      </c>
      <c r="BG30" s="1" t="s">
        <v>40</v>
      </c>
      <c r="BH30" s="5" t="s">
        <v>224</v>
      </c>
      <c r="BI30" s="4">
        <v>87</v>
      </c>
      <c r="BM30" s="1" t="s">
        <v>336</v>
      </c>
      <c r="BN30" s="1" t="s">
        <v>11</v>
      </c>
      <c r="BO30" s="1" t="s">
        <v>58</v>
      </c>
      <c r="BP30" s="1" t="s">
        <v>31</v>
      </c>
      <c r="BQ30" s="4">
        <v>19</v>
      </c>
      <c r="BR30" s="4">
        <v>12</v>
      </c>
      <c r="BS30" s="1" t="s">
        <v>25</v>
      </c>
      <c r="BT30" s="1" t="s">
        <v>61</v>
      </c>
      <c r="BU30" s="5" t="s">
        <v>218</v>
      </c>
      <c r="BV30" s="4">
        <v>68</v>
      </c>
      <c r="BZ30" s="1" t="s">
        <v>181</v>
      </c>
      <c r="CA30" s="1" t="s">
        <v>11</v>
      </c>
      <c r="CB30" s="1" t="s">
        <v>55</v>
      </c>
      <c r="CC30" s="1" t="s">
        <v>31</v>
      </c>
      <c r="CD30" s="4">
        <v>18</v>
      </c>
      <c r="CE30" s="4">
        <v>10</v>
      </c>
      <c r="CF30" s="1" t="s">
        <v>25</v>
      </c>
      <c r="CG30" s="1" t="s">
        <v>46</v>
      </c>
      <c r="CH30" s="5" t="s">
        <v>182</v>
      </c>
      <c r="CI30" s="4">
        <v>98</v>
      </c>
      <c r="CM30" s="1" t="s">
        <v>205</v>
      </c>
      <c r="CN30" s="1" t="s">
        <v>73</v>
      </c>
      <c r="CO30" s="1" t="s">
        <v>24</v>
      </c>
      <c r="CP30" s="1" t="s">
        <v>13</v>
      </c>
      <c r="CQ30" s="4">
        <v>17</v>
      </c>
      <c r="CR30" s="4">
        <v>9</v>
      </c>
      <c r="CS30" s="1" t="s">
        <v>14</v>
      </c>
      <c r="CT30" s="1" t="s">
        <v>46</v>
      </c>
      <c r="CU30" s="5" t="s">
        <v>206</v>
      </c>
      <c r="CV30" s="4">
        <v>59</v>
      </c>
    </row>
    <row r="31" spans="1:100" x14ac:dyDescent="0.3">
      <c r="A31" s="1" t="s">
        <v>347</v>
      </c>
      <c r="B31" s="1" t="s">
        <v>23</v>
      </c>
      <c r="C31" s="1" t="s">
        <v>85</v>
      </c>
      <c r="D31" s="1" t="s">
        <v>31</v>
      </c>
      <c r="E31" s="4">
        <v>15</v>
      </c>
      <c r="F31" s="4">
        <v>11</v>
      </c>
      <c r="G31" s="1" t="s">
        <v>32</v>
      </c>
      <c r="H31" s="1" t="s">
        <v>26</v>
      </c>
      <c r="I31" s="5" t="s">
        <v>348</v>
      </c>
      <c r="J31" s="4">
        <v>37</v>
      </c>
      <c r="M31" s="1" t="s">
        <v>231</v>
      </c>
      <c r="N31" s="1" t="s">
        <v>23</v>
      </c>
      <c r="O31" s="1" t="s">
        <v>24</v>
      </c>
      <c r="P31" s="1" t="s">
        <v>31</v>
      </c>
      <c r="Q31" s="4">
        <v>18</v>
      </c>
      <c r="R31" s="4">
        <v>9</v>
      </c>
      <c r="S31" s="1" t="s">
        <v>25</v>
      </c>
      <c r="T31" s="1" t="s">
        <v>61</v>
      </c>
      <c r="U31" s="5" t="s">
        <v>232</v>
      </c>
      <c r="V31" s="4">
        <v>88</v>
      </c>
      <c r="Z31" s="1" t="s">
        <v>349</v>
      </c>
      <c r="AA31" s="1" t="s">
        <v>35</v>
      </c>
      <c r="AB31" s="1" t="s">
        <v>30</v>
      </c>
      <c r="AC31" s="1" t="s">
        <v>31</v>
      </c>
      <c r="AD31" s="4">
        <v>18</v>
      </c>
      <c r="AE31" s="4">
        <v>12</v>
      </c>
      <c r="AF31" s="1" t="s">
        <v>43</v>
      </c>
      <c r="AG31" s="1" t="s">
        <v>37</v>
      </c>
      <c r="AH31" s="5" t="s">
        <v>350</v>
      </c>
      <c r="AI31" s="4">
        <v>53</v>
      </c>
      <c r="AM31" s="1" t="s">
        <v>347</v>
      </c>
      <c r="AN31" s="1" t="s">
        <v>23</v>
      </c>
      <c r="AO31" s="1" t="s">
        <v>85</v>
      </c>
      <c r="AP31" s="1" t="s">
        <v>31</v>
      </c>
      <c r="AQ31" s="4">
        <v>15</v>
      </c>
      <c r="AR31" s="4">
        <v>11</v>
      </c>
      <c r="AS31" s="1" t="s">
        <v>32</v>
      </c>
      <c r="AT31" s="1" t="s">
        <v>26</v>
      </c>
      <c r="AU31" s="5" t="s">
        <v>348</v>
      </c>
      <c r="AV31" s="4">
        <v>37</v>
      </c>
      <c r="AZ31" s="1" t="s">
        <v>231</v>
      </c>
      <c r="BA31" s="1" t="s">
        <v>23</v>
      </c>
      <c r="BB31" s="1" t="s">
        <v>24</v>
      </c>
      <c r="BC31" s="1" t="s">
        <v>31</v>
      </c>
      <c r="BD31" s="4">
        <v>18</v>
      </c>
      <c r="BE31" s="4">
        <v>9</v>
      </c>
      <c r="BF31" s="1" t="s">
        <v>25</v>
      </c>
      <c r="BG31" s="1" t="s">
        <v>61</v>
      </c>
      <c r="BH31" s="5" t="s">
        <v>232</v>
      </c>
      <c r="BI31" s="4">
        <v>88</v>
      </c>
      <c r="BM31" s="1" t="s">
        <v>349</v>
      </c>
      <c r="BN31" s="1" t="s">
        <v>35</v>
      </c>
      <c r="BO31" s="1" t="s">
        <v>30</v>
      </c>
      <c r="BP31" s="1" t="s">
        <v>31</v>
      </c>
      <c r="BQ31" s="4">
        <v>18</v>
      </c>
      <c r="BR31" s="4">
        <v>12</v>
      </c>
      <c r="BS31" s="1" t="s">
        <v>43</v>
      </c>
      <c r="BT31" s="1" t="s">
        <v>37</v>
      </c>
      <c r="BU31" s="5" t="s">
        <v>350</v>
      </c>
      <c r="BV31" s="4">
        <v>53</v>
      </c>
      <c r="BZ31" s="1" t="s">
        <v>183</v>
      </c>
      <c r="CA31" s="1" t="s">
        <v>11</v>
      </c>
      <c r="CB31" s="1" t="s">
        <v>30</v>
      </c>
      <c r="CC31" s="1" t="s">
        <v>31</v>
      </c>
      <c r="CD31" s="4">
        <v>17</v>
      </c>
      <c r="CE31" s="4">
        <v>12</v>
      </c>
      <c r="CF31" s="1" t="s">
        <v>14</v>
      </c>
      <c r="CG31" s="1" t="s">
        <v>37</v>
      </c>
      <c r="CH31" s="5" t="s">
        <v>184</v>
      </c>
      <c r="CI31" s="4">
        <v>49</v>
      </c>
      <c r="CM31" s="1" t="s">
        <v>207</v>
      </c>
      <c r="CN31" s="1" t="s">
        <v>54</v>
      </c>
      <c r="CO31" s="1" t="s">
        <v>19</v>
      </c>
      <c r="CP31" s="1" t="s">
        <v>31</v>
      </c>
      <c r="CQ31" s="4">
        <v>19</v>
      </c>
      <c r="CR31" s="4">
        <v>9</v>
      </c>
      <c r="CS31" s="1" t="s">
        <v>14</v>
      </c>
      <c r="CT31" s="1" t="s">
        <v>61</v>
      </c>
      <c r="CU31" s="5" t="s">
        <v>208</v>
      </c>
      <c r="CV31" s="4">
        <v>76</v>
      </c>
    </row>
    <row r="32" spans="1:100" x14ac:dyDescent="0.3">
      <c r="A32" s="1" t="s">
        <v>378</v>
      </c>
      <c r="B32" s="1" t="s">
        <v>18</v>
      </c>
      <c r="C32" s="1" t="s">
        <v>55</v>
      </c>
      <c r="D32" s="1" t="s">
        <v>31</v>
      </c>
      <c r="E32" s="4">
        <v>17</v>
      </c>
      <c r="F32" s="4">
        <v>9</v>
      </c>
      <c r="G32" s="1" t="s">
        <v>32</v>
      </c>
      <c r="H32" s="1" t="s">
        <v>26</v>
      </c>
      <c r="I32" s="5" t="s">
        <v>379</v>
      </c>
      <c r="J32" s="4">
        <v>66</v>
      </c>
      <c r="M32" s="1" t="s">
        <v>241</v>
      </c>
      <c r="N32" s="1" t="s">
        <v>54</v>
      </c>
      <c r="O32" s="1" t="s">
        <v>85</v>
      </c>
      <c r="P32" s="1" t="s">
        <v>31</v>
      </c>
      <c r="Q32" s="4">
        <v>15</v>
      </c>
      <c r="R32" s="4">
        <v>12</v>
      </c>
      <c r="S32" s="1" t="s">
        <v>14</v>
      </c>
      <c r="T32" s="1" t="s">
        <v>40</v>
      </c>
      <c r="U32" s="5" t="s">
        <v>242</v>
      </c>
      <c r="V32" s="4">
        <v>100</v>
      </c>
      <c r="Z32" s="1" t="s">
        <v>369</v>
      </c>
      <c r="AA32" s="1" t="s">
        <v>23</v>
      </c>
      <c r="AB32" s="1" t="s">
        <v>24</v>
      </c>
      <c r="AC32" s="1" t="s">
        <v>31</v>
      </c>
      <c r="AD32" s="4">
        <v>17</v>
      </c>
      <c r="AE32" s="4">
        <v>12</v>
      </c>
      <c r="AF32" s="1" t="s">
        <v>43</v>
      </c>
      <c r="AG32" s="1" t="s">
        <v>61</v>
      </c>
      <c r="AH32" s="5" t="s">
        <v>370</v>
      </c>
      <c r="AI32" s="4">
        <v>96</v>
      </c>
      <c r="AM32" s="1" t="s">
        <v>378</v>
      </c>
      <c r="AN32" s="1" t="s">
        <v>18</v>
      </c>
      <c r="AO32" s="1" t="s">
        <v>55</v>
      </c>
      <c r="AP32" s="1" t="s">
        <v>31</v>
      </c>
      <c r="AQ32" s="4">
        <v>17</v>
      </c>
      <c r="AR32" s="4">
        <v>9</v>
      </c>
      <c r="AS32" s="1" t="s">
        <v>32</v>
      </c>
      <c r="AT32" s="1" t="s">
        <v>26</v>
      </c>
      <c r="AU32" s="5" t="s">
        <v>379</v>
      </c>
      <c r="AV32" s="4">
        <v>66</v>
      </c>
      <c r="AZ32" s="1" t="s">
        <v>241</v>
      </c>
      <c r="BA32" s="1" t="s">
        <v>54</v>
      </c>
      <c r="BB32" s="1" t="s">
        <v>85</v>
      </c>
      <c r="BC32" s="1" t="s">
        <v>31</v>
      </c>
      <c r="BD32" s="4">
        <v>15</v>
      </c>
      <c r="BE32" s="4">
        <v>12</v>
      </c>
      <c r="BF32" s="1" t="s">
        <v>14</v>
      </c>
      <c r="BG32" s="1" t="s">
        <v>40</v>
      </c>
      <c r="BH32" s="5" t="s">
        <v>242</v>
      </c>
      <c r="BI32" s="4">
        <v>100</v>
      </c>
      <c r="BM32" s="1" t="s">
        <v>369</v>
      </c>
      <c r="BN32" s="1" t="s">
        <v>23</v>
      </c>
      <c r="BO32" s="1" t="s">
        <v>24</v>
      </c>
      <c r="BP32" s="1" t="s">
        <v>31</v>
      </c>
      <c r="BQ32" s="4">
        <v>17</v>
      </c>
      <c r="BR32" s="4">
        <v>12</v>
      </c>
      <c r="BS32" s="1" t="s">
        <v>43</v>
      </c>
      <c r="BT32" s="1" t="s">
        <v>61</v>
      </c>
      <c r="BU32" s="5" t="s">
        <v>370</v>
      </c>
      <c r="BV32" s="4">
        <v>96</v>
      </c>
      <c r="BZ32" s="1" t="s">
        <v>187</v>
      </c>
      <c r="CA32" s="1" t="s">
        <v>51</v>
      </c>
      <c r="CB32" s="1" t="s">
        <v>12</v>
      </c>
      <c r="CC32" s="1" t="s">
        <v>31</v>
      </c>
      <c r="CD32" s="4">
        <v>17</v>
      </c>
      <c r="CE32" s="4">
        <v>10</v>
      </c>
      <c r="CF32" s="1" t="s">
        <v>43</v>
      </c>
      <c r="CG32" s="1" t="s">
        <v>46</v>
      </c>
      <c r="CH32" s="5" t="s">
        <v>101</v>
      </c>
      <c r="CI32" s="4">
        <v>66</v>
      </c>
      <c r="CM32" s="1" t="s">
        <v>217</v>
      </c>
      <c r="CN32" s="1" t="s">
        <v>84</v>
      </c>
      <c r="CO32" s="1" t="s">
        <v>96</v>
      </c>
      <c r="CP32" s="1" t="s">
        <v>31</v>
      </c>
      <c r="CQ32" s="4">
        <v>17</v>
      </c>
      <c r="CR32" s="4">
        <v>10</v>
      </c>
      <c r="CS32" s="1" t="s">
        <v>43</v>
      </c>
      <c r="CT32" s="1" t="s">
        <v>46</v>
      </c>
      <c r="CU32" s="5" t="s">
        <v>218</v>
      </c>
      <c r="CV32" s="4">
        <v>46</v>
      </c>
    </row>
    <row r="33" spans="1:100" x14ac:dyDescent="0.3">
      <c r="A33" s="1" t="s">
        <v>430</v>
      </c>
      <c r="B33" s="1" t="s">
        <v>54</v>
      </c>
      <c r="C33" s="1" t="s">
        <v>30</v>
      </c>
      <c r="D33" s="1" t="s">
        <v>13</v>
      </c>
      <c r="E33" s="4">
        <v>18</v>
      </c>
      <c r="F33" s="4">
        <v>11</v>
      </c>
      <c r="G33" s="1" t="s">
        <v>25</v>
      </c>
      <c r="H33" s="1" t="s">
        <v>26</v>
      </c>
      <c r="I33" s="5" t="s">
        <v>431</v>
      </c>
      <c r="J33" s="4">
        <v>91</v>
      </c>
      <c r="M33" s="1" t="s">
        <v>249</v>
      </c>
      <c r="N33" s="1" t="s">
        <v>68</v>
      </c>
      <c r="O33" s="1" t="s">
        <v>30</v>
      </c>
      <c r="P33" s="1" t="s">
        <v>31</v>
      </c>
      <c r="Q33" s="4">
        <v>16</v>
      </c>
      <c r="R33" s="4">
        <v>11</v>
      </c>
      <c r="S33" s="1" t="s">
        <v>32</v>
      </c>
      <c r="T33" s="1" t="s">
        <v>20</v>
      </c>
      <c r="U33" s="5" t="s">
        <v>250</v>
      </c>
      <c r="V33" s="4">
        <v>90</v>
      </c>
      <c r="Z33" s="1" t="s">
        <v>384</v>
      </c>
      <c r="AA33" s="1" t="s">
        <v>54</v>
      </c>
      <c r="AB33" s="1" t="s">
        <v>19</v>
      </c>
      <c r="AC33" s="1" t="s">
        <v>31</v>
      </c>
      <c r="AD33" s="4">
        <v>16</v>
      </c>
      <c r="AE33" s="4">
        <v>12</v>
      </c>
      <c r="AF33" s="1" t="s">
        <v>25</v>
      </c>
      <c r="AG33" s="1" t="s">
        <v>20</v>
      </c>
      <c r="AH33" s="5" t="s">
        <v>385</v>
      </c>
      <c r="AI33" s="4">
        <v>39</v>
      </c>
      <c r="AM33" s="1" t="s">
        <v>430</v>
      </c>
      <c r="AN33" s="1" t="s">
        <v>54</v>
      </c>
      <c r="AO33" s="1" t="s">
        <v>30</v>
      </c>
      <c r="AP33" s="1" t="s">
        <v>13</v>
      </c>
      <c r="AQ33" s="4">
        <v>18</v>
      </c>
      <c r="AR33" s="4">
        <v>11</v>
      </c>
      <c r="AS33" s="1" t="s">
        <v>25</v>
      </c>
      <c r="AT33" s="1" t="s">
        <v>26</v>
      </c>
      <c r="AU33" s="5" t="s">
        <v>431</v>
      </c>
      <c r="AV33" s="4">
        <v>91</v>
      </c>
      <c r="AZ33" s="1" t="s">
        <v>249</v>
      </c>
      <c r="BA33" s="1" t="s">
        <v>68</v>
      </c>
      <c r="BB33" s="1" t="s">
        <v>30</v>
      </c>
      <c r="BC33" s="1" t="s">
        <v>31</v>
      </c>
      <c r="BD33" s="4">
        <v>16</v>
      </c>
      <c r="BE33" s="4">
        <v>11</v>
      </c>
      <c r="BF33" s="1" t="s">
        <v>32</v>
      </c>
      <c r="BG33" s="1" t="s">
        <v>20</v>
      </c>
      <c r="BH33" s="5" t="s">
        <v>250</v>
      </c>
      <c r="BI33" s="4">
        <v>90</v>
      </c>
      <c r="BM33" s="1" t="s">
        <v>384</v>
      </c>
      <c r="BN33" s="1" t="s">
        <v>54</v>
      </c>
      <c r="BO33" s="1" t="s">
        <v>19</v>
      </c>
      <c r="BP33" s="1" t="s">
        <v>31</v>
      </c>
      <c r="BQ33" s="4">
        <v>16</v>
      </c>
      <c r="BR33" s="4">
        <v>12</v>
      </c>
      <c r="BS33" s="1" t="s">
        <v>25</v>
      </c>
      <c r="BT33" s="1" t="s">
        <v>20</v>
      </c>
      <c r="BU33" s="5" t="s">
        <v>385</v>
      </c>
      <c r="BV33" s="4">
        <v>39</v>
      </c>
      <c r="BZ33" s="1" t="s">
        <v>196</v>
      </c>
      <c r="CA33" s="1" t="s">
        <v>23</v>
      </c>
      <c r="CB33" s="1" t="s">
        <v>79</v>
      </c>
      <c r="CC33" s="1" t="s">
        <v>13</v>
      </c>
      <c r="CD33" s="4">
        <v>18</v>
      </c>
      <c r="CE33" s="4">
        <v>12</v>
      </c>
      <c r="CF33" s="1" t="s">
        <v>43</v>
      </c>
      <c r="CG33" s="1" t="s">
        <v>76</v>
      </c>
      <c r="CH33" s="5" t="s">
        <v>197</v>
      </c>
      <c r="CI33" s="4">
        <v>67</v>
      </c>
      <c r="CM33" s="1" t="s">
        <v>221</v>
      </c>
      <c r="CN33" s="1" t="s">
        <v>51</v>
      </c>
      <c r="CO33" s="1" t="s">
        <v>55</v>
      </c>
      <c r="CP33" s="1" t="s">
        <v>13</v>
      </c>
      <c r="CQ33" s="4">
        <v>14</v>
      </c>
      <c r="CR33" s="4">
        <v>10</v>
      </c>
      <c r="CS33" s="1" t="s">
        <v>43</v>
      </c>
      <c r="CT33" s="1" t="s">
        <v>61</v>
      </c>
      <c r="CU33" s="5" t="s">
        <v>222</v>
      </c>
      <c r="CV33" s="4">
        <v>72</v>
      </c>
    </row>
    <row r="34" spans="1:100" x14ac:dyDescent="0.3">
      <c r="A34" s="1" t="s">
        <v>435</v>
      </c>
      <c r="B34" s="1" t="s">
        <v>29</v>
      </c>
      <c r="C34" s="1" t="s">
        <v>30</v>
      </c>
      <c r="D34" s="1" t="s">
        <v>31</v>
      </c>
      <c r="E34" s="4">
        <v>20</v>
      </c>
      <c r="F34" s="4">
        <v>12</v>
      </c>
      <c r="G34" s="1" t="s">
        <v>43</v>
      </c>
      <c r="H34" s="1" t="s">
        <v>26</v>
      </c>
      <c r="I34" s="5" t="s">
        <v>436</v>
      </c>
      <c r="J34" s="4">
        <v>36</v>
      </c>
      <c r="M34" s="1" t="s">
        <v>280</v>
      </c>
      <c r="N34" s="1" t="s">
        <v>84</v>
      </c>
      <c r="O34" s="1" t="s">
        <v>58</v>
      </c>
      <c r="P34" s="1" t="s">
        <v>13</v>
      </c>
      <c r="Q34" s="4">
        <v>18</v>
      </c>
      <c r="R34" s="4">
        <v>12</v>
      </c>
      <c r="S34" s="1" t="s">
        <v>32</v>
      </c>
      <c r="T34" s="1" t="s">
        <v>76</v>
      </c>
      <c r="U34" s="5" t="s">
        <v>159</v>
      </c>
      <c r="V34" s="4">
        <v>98</v>
      </c>
      <c r="Z34" s="1" t="s">
        <v>405</v>
      </c>
      <c r="AA34" s="1" t="s">
        <v>18</v>
      </c>
      <c r="AB34" s="1" t="s">
        <v>19</v>
      </c>
      <c r="AC34" s="1" t="s">
        <v>31</v>
      </c>
      <c r="AD34" s="4">
        <v>18</v>
      </c>
      <c r="AE34" s="4">
        <v>12</v>
      </c>
      <c r="AF34" s="1" t="s">
        <v>25</v>
      </c>
      <c r="AG34" s="1" t="s">
        <v>37</v>
      </c>
      <c r="AH34" s="5" t="s">
        <v>406</v>
      </c>
      <c r="AI34" s="4">
        <v>70</v>
      </c>
      <c r="AM34" s="1" t="s">
        <v>435</v>
      </c>
      <c r="AN34" s="1" t="s">
        <v>29</v>
      </c>
      <c r="AO34" s="1" t="s">
        <v>30</v>
      </c>
      <c r="AP34" s="1" t="s">
        <v>31</v>
      </c>
      <c r="AQ34" s="4">
        <v>20</v>
      </c>
      <c r="AR34" s="4">
        <v>12</v>
      </c>
      <c r="AS34" s="1" t="s">
        <v>43</v>
      </c>
      <c r="AT34" s="1" t="s">
        <v>26</v>
      </c>
      <c r="AU34" s="5" t="s">
        <v>436</v>
      </c>
      <c r="AV34" s="4">
        <v>36</v>
      </c>
      <c r="AZ34" s="1" t="s">
        <v>280</v>
      </c>
      <c r="BA34" s="1" t="s">
        <v>84</v>
      </c>
      <c r="BB34" s="1" t="s">
        <v>58</v>
      </c>
      <c r="BC34" s="1" t="s">
        <v>13</v>
      </c>
      <c r="BD34" s="4">
        <v>18</v>
      </c>
      <c r="BE34" s="4">
        <v>12</v>
      </c>
      <c r="BF34" s="1" t="s">
        <v>32</v>
      </c>
      <c r="BG34" s="1" t="s">
        <v>76</v>
      </c>
      <c r="BH34" s="5" t="s">
        <v>159</v>
      </c>
      <c r="BI34" s="4">
        <v>98</v>
      </c>
      <c r="BM34" s="1" t="s">
        <v>405</v>
      </c>
      <c r="BN34" s="1" t="s">
        <v>18</v>
      </c>
      <c r="BO34" s="1" t="s">
        <v>19</v>
      </c>
      <c r="BP34" s="1" t="s">
        <v>31</v>
      </c>
      <c r="BQ34" s="4">
        <v>18</v>
      </c>
      <c r="BR34" s="4">
        <v>12</v>
      </c>
      <c r="BS34" s="1" t="s">
        <v>25</v>
      </c>
      <c r="BT34" s="1" t="s">
        <v>37</v>
      </c>
      <c r="BU34" s="5" t="s">
        <v>406</v>
      </c>
      <c r="BV34" s="4">
        <v>70</v>
      </c>
      <c r="BZ34" s="1" t="s">
        <v>200</v>
      </c>
      <c r="CA34" s="1" t="s">
        <v>29</v>
      </c>
      <c r="CB34" s="1" t="s">
        <v>12</v>
      </c>
      <c r="CC34" s="1" t="s">
        <v>13</v>
      </c>
      <c r="CD34" s="4">
        <v>18</v>
      </c>
      <c r="CE34" s="4">
        <v>12</v>
      </c>
      <c r="CF34" s="1" t="s">
        <v>25</v>
      </c>
      <c r="CG34" s="1" t="s">
        <v>26</v>
      </c>
      <c r="CH34" s="5" t="s">
        <v>201</v>
      </c>
      <c r="CI34" s="4">
        <v>89</v>
      </c>
      <c r="CM34" s="1" t="s">
        <v>231</v>
      </c>
      <c r="CN34" s="1" t="s">
        <v>23</v>
      </c>
      <c r="CO34" s="1" t="s">
        <v>24</v>
      </c>
      <c r="CP34" s="1" t="s">
        <v>31</v>
      </c>
      <c r="CQ34" s="4">
        <v>18</v>
      </c>
      <c r="CR34" s="4">
        <v>9</v>
      </c>
      <c r="CS34" s="1" t="s">
        <v>25</v>
      </c>
      <c r="CT34" s="1" t="s">
        <v>61</v>
      </c>
      <c r="CU34" s="5" t="s">
        <v>232</v>
      </c>
      <c r="CV34" s="4">
        <v>88</v>
      </c>
    </row>
    <row r="35" spans="1:100" x14ac:dyDescent="0.3">
      <c r="A35" s="1" t="s">
        <v>476</v>
      </c>
      <c r="B35" s="1" t="s">
        <v>29</v>
      </c>
      <c r="C35" s="1" t="s">
        <v>55</v>
      </c>
      <c r="D35" s="1" t="s">
        <v>13</v>
      </c>
      <c r="E35" s="4">
        <v>19</v>
      </c>
      <c r="F35" s="4">
        <v>10</v>
      </c>
      <c r="G35" s="1" t="s">
        <v>43</v>
      </c>
      <c r="H35" s="1" t="s">
        <v>26</v>
      </c>
      <c r="I35" s="5" t="s">
        <v>477</v>
      </c>
      <c r="J35" s="4">
        <v>88</v>
      </c>
      <c r="M35" s="1" t="s">
        <v>283</v>
      </c>
      <c r="N35" s="1" t="s">
        <v>68</v>
      </c>
      <c r="O35" s="1" t="s">
        <v>79</v>
      </c>
      <c r="P35" s="1" t="s">
        <v>31</v>
      </c>
      <c r="Q35" s="4">
        <v>16</v>
      </c>
      <c r="R35" s="4">
        <v>11</v>
      </c>
      <c r="S35" s="1" t="s">
        <v>32</v>
      </c>
      <c r="T35" s="1" t="s">
        <v>40</v>
      </c>
      <c r="U35" s="5" t="s">
        <v>284</v>
      </c>
      <c r="V35" s="4">
        <v>95</v>
      </c>
      <c r="Z35" s="1" t="s">
        <v>424</v>
      </c>
      <c r="AA35" s="1" t="s">
        <v>29</v>
      </c>
      <c r="AB35" s="1" t="s">
        <v>36</v>
      </c>
      <c r="AC35" s="1" t="s">
        <v>31</v>
      </c>
      <c r="AD35" s="4">
        <v>16</v>
      </c>
      <c r="AE35" s="4">
        <v>12</v>
      </c>
      <c r="AF35" s="1" t="s">
        <v>32</v>
      </c>
      <c r="AG35" s="1" t="s">
        <v>37</v>
      </c>
      <c r="AH35" s="5" t="s">
        <v>180</v>
      </c>
      <c r="AI35" s="4">
        <v>89</v>
      </c>
      <c r="AM35" s="1" t="s">
        <v>476</v>
      </c>
      <c r="AN35" s="1" t="s">
        <v>29</v>
      </c>
      <c r="AO35" s="1" t="s">
        <v>55</v>
      </c>
      <c r="AP35" s="1" t="s">
        <v>13</v>
      </c>
      <c r="AQ35" s="4">
        <v>19</v>
      </c>
      <c r="AR35" s="4">
        <v>10</v>
      </c>
      <c r="AS35" s="1" t="s">
        <v>43</v>
      </c>
      <c r="AT35" s="1" t="s">
        <v>26</v>
      </c>
      <c r="AU35" s="5" t="s">
        <v>477</v>
      </c>
      <c r="AV35" s="4">
        <v>88</v>
      </c>
      <c r="AZ35" s="1" t="s">
        <v>283</v>
      </c>
      <c r="BA35" s="1" t="s">
        <v>68</v>
      </c>
      <c r="BB35" s="1" t="s">
        <v>79</v>
      </c>
      <c r="BC35" s="1" t="s">
        <v>31</v>
      </c>
      <c r="BD35" s="4">
        <v>16</v>
      </c>
      <c r="BE35" s="4">
        <v>11</v>
      </c>
      <c r="BF35" s="1" t="s">
        <v>32</v>
      </c>
      <c r="BG35" s="1" t="s">
        <v>40</v>
      </c>
      <c r="BH35" s="5" t="s">
        <v>284</v>
      </c>
      <c r="BI35" s="4">
        <v>95</v>
      </c>
      <c r="BM35" s="1" t="s">
        <v>424</v>
      </c>
      <c r="BN35" s="1" t="s">
        <v>29</v>
      </c>
      <c r="BO35" s="1" t="s">
        <v>36</v>
      </c>
      <c r="BP35" s="1" t="s">
        <v>31</v>
      </c>
      <c r="BQ35" s="4">
        <v>16</v>
      </c>
      <c r="BR35" s="4">
        <v>12</v>
      </c>
      <c r="BS35" s="1" t="s">
        <v>32</v>
      </c>
      <c r="BT35" s="1" t="s">
        <v>37</v>
      </c>
      <c r="BU35" s="5" t="s">
        <v>180</v>
      </c>
      <c r="BV35" s="4">
        <v>89</v>
      </c>
      <c r="BZ35" s="1" t="s">
        <v>203</v>
      </c>
      <c r="CA35" s="1" t="s">
        <v>35</v>
      </c>
      <c r="CB35" s="1" t="s">
        <v>96</v>
      </c>
      <c r="CC35" s="1" t="s">
        <v>13</v>
      </c>
      <c r="CD35" s="4">
        <v>17</v>
      </c>
      <c r="CE35" s="4">
        <v>12</v>
      </c>
      <c r="CF35" s="1" t="s">
        <v>25</v>
      </c>
      <c r="CG35" s="1" t="s">
        <v>20</v>
      </c>
      <c r="CH35" s="5" t="s">
        <v>204</v>
      </c>
      <c r="CI35" s="4">
        <v>90</v>
      </c>
      <c r="CM35" s="1" t="s">
        <v>243</v>
      </c>
      <c r="CN35" s="1" t="s">
        <v>23</v>
      </c>
      <c r="CO35" s="1" t="s">
        <v>96</v>
      </c>
      <c r="CP35" s="1" t="s">
        <v>31</v>
      </c>
      <c r="CQ35" s="4">
        <v>15</v>
      </c>
      <c r="CR35" s="4">
        <v>11</v>
      </c>
      <c r="CS35" s="1" t="s">
        <v>25</v>
      </c>
      <c r="CT35" s="1" t="s">
        <v>61</v>
      </c>
      <c r="CU35" s="5" t="s">
        <v>244</v>
      </c>
      <c r="CV35" s="4">
        <v>72</v>
      </c>
    </row>
    <row r="36" spans="1:100" x14ac:dyDescent="0.3">
      <c r="A36" s="1" t="s">
        <v>493</v>
      </c>
      <c r="B36" s="1" t="s">
        <v>51</v>
      </c>
      <c r="C36" s="1" t="s">
        <v>96</v>
      </c>
      <c r="D36" s="1" t="s">
        <v>31</v>
      </c>
      <c r="E36" s="4">
        <v>14</v>
      </c>
      <c r="F36" s="4">
        <v>12</v>
      </c>
      <c r="G36" s="1" t="s">
        <v>14</v>
      </c>
      <c r="H36" s="1" t="s">
        <v>26</v>
      </c>
      <c r="I36" s="5" t="s">
        <v>494</v>
      </c>
      <c r="J36" s="4">
        <v>47</v>
      </c>
      <c r="M36" s="1" t="s">
        <v>291</v>
      </c>
      <c r="N36" s="1" t="s">
        <v>11</v>
      </c>
      <c r="O36" s="1" t="s">
        <v>30</v>
      </c>
      <c r="P36" s="1" t="s">
        <v>31</v>
      </c>
      <c r="Q36" s="4">
        <v>16</v>
      </c>
      <c r="R36" s="4">
        <v>9</v>
      </c>
      <c r="S36" s="1" t="s">
        <v>25</v>
      </c>
      <c r="T36" s="1" t="s">
        <v>61</v>
      </c>
      <c r="U36" s="5" t="s">
        <v>292</v>
      </c>
      <c r="V36" s="4">
        <v>97</v>
      </c>
      <c r="Z36" s="1" t="s">
        <v>426</v>
      </c>
      <c r="AA36" s="1" t="s">
        <v>54</v>
      </c>
      <c r="AB36" s="1" t="s">
        <v>96</v>
      </c>
      <c r="AC36" s="1" t="s">
        <v>31</v>
      </c>
      <c r="AD36" s="4">
        <v>16</v>
      </c>
      <c r="AE36" s="4">
        <v>12</v>
      </c>
      <c r="AF36" s="1" t="s">
        <v>25</v>
      </c>
      <c r="AG36" s="1" t="s">
        <v>20</v>
      </c>
      <c r="AH36" s="5" t="s">
        <v>427</v>
      </c>
      <c r="AI36" s="4">
        <v>82</v>
      </c>
      <c r="AM36" s="1" t="s">
        <v>493</v>
      </c>
      <c r="AN36" s="1" t="s">
        <v>51</v>
      </c>
      <c r="AO36" s="1" t="s">
        <v>96</v>
      </c>
      <c r="AP36" s="1" t="s">
        <v>31</v>
      </c>
      <c r="AQ36" s="4">
        <v>14</v>
      </c>
      <c r="AR36" s="4">
        <v>12</v>
      </c>
      <c r="AS36" s="1" t="s">
        <v>14</v>
      </c>
      <c r="AT36" s="1" t="s">
        <v>26</v>
      </c>
      <c r="AU36" s="5" t="s">
        <v>494</v>
      </c>
      <c r="AV36" s="4">
        <v>47</v>
      </c>
      <c r="AZ36" s="1" t="s">
        <v>291</v>
      </c>
      <c r="BA36" s="1" t="s">
        <v>11</v>
      </c>
      <c r="BB36" s="1" t="s">
        <v>30</v>
      </c>
      <c r="BC36" s="1" t="s">
        <v>31</v>
      </c>
      <c r="BD36" s="4">
        <v>16</v>
      </c>
      <c r="BE36" s="4">
        <v>9</v>
      </c>
      <c r="BF36" s="1" t="s">
        <v>25</v>
      </c>
      <c r="BG36" s="1" t="s">
        <v>61</v>
      </c>
      <c r="BH36" s="5" t="s">
        <v>292</v>
      </c>
      <c r="BI36" s="4">
        <v>97</v>
      </c>
      <c r="BM36" s="1" t="s">
        <v>426</v>
      </c>
      <c r="BN36" s="1" t="s">
        <v>54</v>
      </c>
      <c r="BO36" s="1" t="s">
        <v>96</v>
      </c>
      <c r="BP36" s="1" t="s">
        <v>31</v>
      </c>
      <c r="BQ36" s="4">
        <v>16</v>
      </c>
      <c r="BR36" s="4">
        <v>12</v>
      </c>
      <c r="BS36" s="1" t="s">
        <v>25</v>
      </c>
      <c r="BT36" s="1" t="s">
        <v>20</v>
      </c>
      <c r="BU36" s="5" t="s">
        <v>427</v>
      </c>
      <c r="BV36" s="4">
        <v>82</v>
      </c>
      <c r="BZ36" s="1" t="s">
        <v>205</v>
      </c>
      <c r="CA36" s="1" t="s">
        <v>73</v>
      </c>
      <c r="CB36" s="1" t="s">
        <v>24</v>
      </c>
      <c r="CC36" s="1" t="s">
        <v>13</v>
      </c>
      <c r="CD36" s="4">
        <v>17</v>
      </c>
      <c r="CE36" s="4">
        <v>9</v>
      </c>
      <c r="CF36" s="1" t="s">
        <v>14</v>
      </c>
      <c r="CG36" s="1" t="s">
        <v>46</v>
      </c>
      <c r="CH36" s="5" t="s">
        <v>206</v>
      </c>
      <c r="CI36" s="4">
        <v>59</v>
      </c>
      <c r="CM36" s="1" t="s">
        <v>257</v>
      </c>
      <c r="CN36" s="1" t="s">
        <v>68</v>
      </c>
      <c r="CO36" s="1" t="s">
        <v>79</v>
      </c>
      <c r="CP36" s="1" t="s">
        <v>31</v>
      </c>
      <c r="CQ36" s="4">
        <v>20</v>
      </c>
      <c r="CR36" s="4">
        <v>11</v>
      </c>
      <c r="CS36" s="1" t="s">
        <v>43</v>
      </c>
      <c r="CT36" s="1" t="s">
        <v>46</v>
      </c>
      <c r="CU36" s="5" t="s">
        <v>258</v>
      </c>
      <c r="CV36" s="4">
        <v>52</v>
      </c>
    </row>
    <row r="37" spans="1:100" x14ac:dyDescent="0.3">
      <c r="A37" s="1" t="s">
        <v>497</v>
      </c>
      <c r="B37" s="1" t="s">
        <v>51</v>
      </c>
      <c r="C37" s="1" t="s">
        <v>96</v>
      </c>
      <c r="D37" s="1" t="s">
        <v>13</v>
      </c>
      <c r="E37" s="4">
        <v>16</v>
      </c>
      <c r="F37" s="4">
        <v>9</v>
      </c>
      <c r="G37" s="1" t="s">
        <v>25</v>
      </c>
      <c r="H37" s="1" t="s">
        <v>26</v>
      </c>
      <c r="I37" s="5" t="s">
        <v>498</v>
      </c>
      <c r="J37" s="4">
        <v>42</v>
      </c>
      <c r="M37" s="1" t="s">
        <v>293</v>
      </c>
      <c r="N37" s="1" t="s">
        <v>73</v>
      </c>
      <c r="O37" s="1" t="s">
        <v>96</v>
      </c>
      <c r="P37" s="1" t="s">
        <v>31</v>
      </c>
      <c r="Q37" s="4">
        <v>20</v>
      </c>
      <c r="R37" s="4">
        <v>9</v>
      </c>
      <c r="S37" s="1" t="s">
        <v>43</v>
      </c>
      <c r="T37" s="1" t="s">
        <v>26</v>
      </c>
      <c r="U37" s="5" t="s">
        <v>74</v>
      </c>
      <c r="V37" s="4">
        <v>100</v>
      </c>
      <c r="Z37" s="1" t="s">
        <v>435</v>
      </c>
      <c r="AA37" s="1" t="s">
        <v>29</v>
      </c>
      <c r="AB37" s="1" t="s">
        <v>30</v>
      </c>
      <c r="AC37" s="1" t="s">
        <v>31</v>
      </c>
      <c r="AD37" s="4">
        <v>20</v>
      </c>
      <c r="AE37" s="4">
        <v>12</v>
      </c>
      <c r="AF37" s="1" t="s">
        <v>43</v>
      </c>
      <c r="AG37" s="1" t="s">
        <v>26</v>
      </c>
      <c r="AH37" s="5" t="s">
        <v>436</v>
      </c>
      <c r="AI37" s="4">
        <v>36</v>
      </c>
      <c r="AM37" s="1" t="s">
        <v>497</v>
      </c>
      <c r="AN37" s="1" t="s">
        <v>51</v>
      </c>
      <c r="AO37" s="1" t="s">
        <v>96</v>
      </c>
      <c r="AP37" s="1" t="s">
        <v>13</v>
      </c>
      <c r="AQ37" s="4">
        <v>16</v>
      </c>
      <c r="AR37" s="4">
        <v>9</v>
      </c>
      <c r="AS37" s="1" t="s">
        <v>25</v>
      </c>
      <c r="AT37" s="1" t="s">
        <v>26</v>
      </c>
      <c r="AU37" s="5" t="s">
        <v>498</v>
      </c>
      <c r="AV37" s="4">
        <v>42</v>
      </c>
      <c r="AZ37" s="1" t="s">
        <v>293</v>
      </c>
      <c r="BA37" s="1" t="s">
        <v>73</v>
      </c>
      <c r="BB37" s="1" t="s">
        <v>96</v>
      </c>
      <c r="BC37" s="1" t="s">
        <v>31</v>
      </c>
      <c r="BD37" s="4">
        <v>20</v>
      </c>
      <c r="BE37" s="4">
        <v>9</v>
      </c>
      <c r="BF37" s="1" t="s">
        <v>43</v>
      </c>
      <c r="BG37" s="1" t="s">
        <v>26</v>
      </c>
      <c r="BH37" s="5" t="s">
        <v>74</v>
      </c>
      <c r="BI37" s="4">
        <v>100</v>
      </c>
      <c r="BM37" s="1" t="s">
        <v>435</v>
      </c>
      <c r="BN37" s="1" t="s">
        <v>29</v>
      </c>
      <c r="BO37" s="1" t="s">
        <v>30</v>
      </c>
      <c r="BP37" s="1" t="s">
        <v>31</v>
      </c>
      <c r="BQ37" s="4">
        <v>20</v>
      </c>
      <c r="BR37" s="4">
        <v>12</v>
      </c>
      <c r="BS37" s="1" t="s">
        <v>43</v>
      </c>
      <c r="BT37" s="1" t="s">
        <v>26</v>
      </c>
      <c r="BU37" s="5" t="s">
        <v>436</v>
      </c>
      <c r="BV37" s="4">
        <v>36</v>
      </c>
      <c r="BZ37" s="1" t="s">
        <v>209</v>
      </c>
      <c r="CA37" s="1" t="s">
        <v>29</v>
      </c>
      <c r="CB37" s="1" t="s">
        <v>30</v>
      </c>
      <c r="CC37" s="1" t="s">
        <v>31</v>
      </c>
      <c r="CD37" s="4">
        <v>18</v>
      </c>
      <c r="CE37" s="4">
        <v>11</v>
      </c>
      <c r="CF37" s="1" t="s">
        <v>43</v>
      </c>
      <c r="CG37" s="1" t="s">
        <v>20</v>
      </c>
      <c r="CH37" s="5" t="s">
        <v>210</v>
      </c>
      <c r="CI37" s="4">
        <v>78</v>
      </c>
      <c r="CM37" s="1" t="s">
        <v>259</v>
      </c>
      <c r="CN37" s="1" t="s">
        <v>54</v>
      </c>
      <c r="CO37" s="1" t="s">
        <v>85</v>
      </c>
      <c r="CP37" s="1" t="s">
        <v>13</v>
      </c>
      <c r="CQ37" s="4">
        <v>14</v>
      </c>
      <c r="CR37" s="4">
        <v>11</v>
      </c>
      <c r="CS37" s="1" t="s">
        <v>43</v>
      </c>
      <c r="CT37" s="1" t="s">
        <v>46</v>
      </c>
      <c r="CU37" s="5" t="s">
        <v>260</v>
      </c>
      <c r="CV37" s="4">
        <v>62</v>
      </c>
    </row>
    <row r="38" spans="1:100" x14ac:dyDescent="0.3">
      <c r="A38" s="1" t="s">
        <v>520</v>
      </c>
      <c r="B38" s="1" t="s">
        <v>68</v>
      </c>
      <c r="C38" s="1" t="s">
        <v>12</v>
      </c>
      <c r="D38" s="1" t="s">
        <v>31</v>
      </c>
      <c r="E38" s="4">
        <v>20</v>
      </c>
      <c r="F38" s="4">
        <v>10</v>
      </c>
      <c r="G38" s="1" t="s">
        <v>32</v>
      </c>
      <c r="H38" s="1" t="s">
        <v>26</v>
      </c>
      <c r="I38" s="5" t="s">
        <v>521</v>
      </c>
      <c r="J38" s="4">
        <v>42</v>
      </c>
      <c r="M38" s="1" t="s">
        <v>294</v>
      </c>
      <c r="N38" s="1" t="s">
        <v>35</v>
      </c>
      <c r="O38" s="1" t="s">
        <v>55</v>
      </c>
      <c r="P38" s="1" t="s">
        <v>13</v>
      </c>
      <c r="Q38" s="4">
        <v>20</v>
      </c>
      <c r="R38" s="4">
        <v>9</v>
      </c>
      <c r="S38" s="1" t="s">
        <v>25</v>
      </c>
      <c r="T38" s="1" t="s">
        <v>46</v>
      </c>
      <c r="U38" s="5" t="s">
        <v>295</v>
      </c>
      <c r="V38" s="4">
        <v>99</v>
      </c>
      <c r="Z38" s="1" t="s">
        <v>448</v>
      </c>
      <c r="AA38" s="1" t="s">
        <v>73</v>
      </c>
      <c r="AB38" s="1" t="s">
        <v>36</v>
      </c>
      <c r="AC38" s="1" t="s">
        <v>31</v>
      </c>
      <c r="AD38" s="4">
        <v>19</v>
      </c>
      <c r="AE38" s="4">
        <v>12</v>
      </c>
      <c r="AF38" s="1" t="s">
        <v>14</v>
      </c>
      <c r="AG38" s="1" t="s">
        <v>37</v>
      </c>
      <c r="AH38" s="5" t="s">
        <v>449</v>
      </c>
      <c r="AI38" s="4">
        <v>65</v>
      </c>
      <c r="AM38" s="1" t="s">
        <v>520</v>
      </c>
      <c r="AN38" s="1" t="s">
        <v>68</v>
      </c>
      <c r="AO38" s="1" t="s">
        <v>12</v>
      </c>
      <c r="AP38" s="1" t="s">
        <v>31</v>
      </c>
      <c r="AQ38" s="4">
        <v>20</v>
      </c>
      <c r="AR38" s="4">
        <v>10</v>
      </c>
      <c r="AS38" s="1" t="s">
        <v>32</v>
      </c>
      <c r="AT38" s="1" t="s">
        <v>26</v>
      </c>
      <c r="AU38" s="5" t="s">
        <v>521</v>
      </c>
      <c r="AV38" s="4">
        <v>42</v>
      </c>
      <c r="AZ38" s="1" t="s">
        <v>294</v>
      </c>
      <c r="BA38" s="1" t="s">
        <v>35</v>
      </c>
      <c r="BB38" s="1" t="s">
        <v>55</v>
      </c>
      <c r="BC38" s="1" t="s">
        <v>13</v>
      </c>
      <c r="BD38" s="4">
        <v>20</v>
      </c>
      <c r="BE38" s="4">
        <v>9</v>
      </c>
      <c r="BF38" s="1" t="s">
        <v>25</v>
      </c>
      <c r="BG38" s="1" t="s">
        <v>46</v>
      </c>
      <c r="BH38" s="5" t="s">
        <v>295</v>
      </c>
      <c r="BI38" s="4">
        <v>99</v>
      </c>
      <c r="BM38" s="1" t="s">
        <v>448</v>
      </c>
      <c r="BN38" s="1" t="s">
        <v>73</v>
      </c>
      <c r="BO38" s="1" t="s">
        <v>36</v>
      </c>
      <c r="BP38" s="1" t="s">
        <v>31</v>
      </c>
      <c r="BQ38" s="4">
        <v>19</v>
      </c>
      <c r="BR38" s="4">
        <v>12</v>
      </c>
      <c r="BS38" s="1" t="s">
        <v>14</v>
      </c>
      <c r="BT38" s="1" t="s">
        <v>37</v>
      </c>
      <c r="BU38" s="5" t="s">
        <v>449</v>
      </c>
      <c r="BV38" s="4">
        <v>65</v>
      </c>
      <c r="BZ38" s="1" t="s">
        <v>211</v>
      </c>
      <c r="CA38" s="1" t="s">
        <v>35</v>
      </c>
      <c r="CB38" s="1" t="s">
        <v>19</v>
      </c>
      <c r="CC38" s="1" t="s">
        <v>31</v>
      </c>
      <c r="CD38" s="4">
        <v>16</v>
      </c>
      <c r="CE38" s="4">
        <v>9</v>
      </c>
      <c r="CF38" s="1" t="s">
        <v>14</v>
      </c>
      <c r="CG38" s="1" t="s">
        <v>37</v>
      </c>
      <c r="CH38" s="5" t="s">
        <v>212</v>
      </c>
      <c r="CI38" s="4">
        <v>57</v>
      </c>
      <c r="CM38" s="1" t="s">
        <v>263</v>
      </c>
      <c r="CN38" s="1" t="s">
        <v>29</v>
      </c>
      <c r="CO38" s="1" t="s">
        <v>19</v>
      </c>
      <c r="CP38" s="1" t="s">
        <v>13</v>
      </c>
      <c r="CQ38" s="4">
        <v>15</v>
      </c>
      <c r="CR38" s="4">
        <v>11</v>
      </c>
      <c r="CS38" s="1" t="s">
        <v>25</v>
      </c>
      <c r="CT38" s="1" t="s">
        <v>46</v>
      </c>
      <c r="CU38" s="5" t="s">
        <v>264</v>
      </c>
      <c r="CV38" s="4">
        <v>58</v>
      </c>
    </row>
    <row r="39" spans="1:100" x14ac:dyDescent="0.3">
      <c r="A39" s="1" t="s">
        <v>537</v>
      </c>
      <c r="B39" s="1" t="s">
        <v>68</v>
      </c>
      <c r="C39" s="1" t="s">
        <v>36</v>
      </c>
      <c r="D39" s="1" t="s">
        <v>31</v>
      </c>
      <c r="E39" s="4">
        <v>16</v>
      </c>
      <c r="F39" s="4">
        <v>12</v>
      </c>
      <c r="G39" s="1" t="s">
        <v>25</v>
      </c>
      <c r="H39" s="1" t="s">
        <v>26</v>
      </c>
      <c r="I39" s="5" t="s">
        <v>538</v>
      </c>
      <c r="J39" s="4">
        <v>42</v>
      </c>
      <c r="M39" s="1" t="s">
        <v>296</v>
      </c>
      <c r="N39" s="1" t="s">
        <v>84</v>
      </c>
      <c r="O39" s="1" t="s">
        <v>19</v>
      </c>
      <c r="P39" s="1" t="s">
        <v>31</v>
      </c>
      <c r="Q39" s="4">
        <v>20</v>
      </c>
      <c r="R39" s="4">
        <v>10</v>
      </c>
      <c r="S39" s="1" t="s">
        <v>43</v>
      </c>
      <c r="T39" s="1" t="s">
        <v>20</v>
      </c>
      <c r="U39" s="5" t="s">
        <v>297</v>
      </c>
      <c r="V39" s="4">
        <v>100</v>
      </c>
      <c r="Z39" s="1" t="s">
        <v>450</v>
      </c>
      <c r="AA39" s="1" t="s">
        <v>54</v>
      </c>
      <c r="AB39" s="1" t="s">
        <v>55</v>
      </c>
      <c r="AC39" s="1" t="s">
        <v>31</v>
      </c>
      <c r="AD39" s="4">
        <v>19</v>
      </c>
      <c r="AE39" s="4">
        <v>12</v>
      </c>
      <c r="AF39" s="1" t="s">
        <v>43</v>
      </c>
      <c r="AG39" s="1" t="s">
        <v>20</v>
      </c>
      <c r="AH39" s="5" t="s">
        <v>451</v>
      </c>
      <c r="AI39" s="4">
        <v>58</v>
      </c>
      <c r="AM39" s="1" t="s">
        <v>537</v>
      </c>
      <c r="AN39" s="1" t="s">
        <v>68</v>
      </c>
      <c r="AO39" s="1" t="s">
        <v>36</v>
      </c>
      <c r="AP39" s="1" t="s">
        <v>31</v>
      </c>
      <c r="AQ39" s="4">
        <v>16</v>
      </c>
      <c r="AR39" s="4">
        <v>12</v>
      </c>
      <c r="AS39" s="1" t="s">
        <v>25</v>
      </c>
      <c r="AT39" s="1" t="s">
        <v>26</v>
      </c>
      <c r="AU39" s="5" t="s">
        <v>538</v>
      </c>
      <c r="AV39" s="4">
        <v>42</v>
      </c>
      <c r="AZ39" s="1" t="s">
        <v>296</v>
      </c>
      <c r="BA39" s="1" t="s">
        <v>84</v>
      </c>
      <c r="BB39" s="1" t="s">
        <v>19</v>
      </c>
      <c r="BC39" s="1" t="s">
        <v>31</v>
      </c>
      <c r="BD39" s="4">
        <v>20</v>
      </c>
      <c r="BE39" s="4">
        <v>10</v>
      </c>
      <c r="BF39" s="1" t="s">
        <v>43</v>
      </c>
      <c r="BG39" s="1" t="s">
        <v>20</v>
      </c>
      <c r="BH39" s="5" t="s">
        <v>297</v>
      </c>
      <c r="BI39" s="4">
        <v>100</v>
      </c>
      <c r="BM39" s="1" t="s">
        <v>450</v>
      </c>
      <c r="BN39" s="1" t="s">
        <v>54</v>
      </c>
      <c r="BO39" s="1" t="s">
        <v>55</v>
      </c>
      <c r="BP39" s="1" t="s">
        <v>31</v>
      </c>
      <c r="BQ39" s="4">
        <v>19</v>
      </c>
      <c r="BR39" s="4">
        <v>12</v>
      </c>
      <c r="BS39" s="1" t="s">
        <v>43</v>
      </c>
      <c r="BT39" s="1" t="s">
        <v>20</v>
      </c>
      <c r="BU39" s="5" t="s">
        <v>451</v>
      </c>
      <c r="BV39" s="4">
        <v>58</v>
      </c>
      <c r="BZ39" s="1" t="s">
        <v>213</v>
      </c>
      <c r="CA39" s="1" t="s">
        <v>29</v>
      </c>
      <c r="CB39" s="1" t="s">
        <v>24</v>
      </c>
      <c r="CC39" s="1" t="s">
        <v>31</v>
      </c>
      <c r="CD39" s="4">
        <v>17</v>
      </c>
      <c r="CE39" s="4">
        <v>11</v>
      </c>
      <c r="CF39" s="1" t="s">
        <v>14</v>
      </c>
      <c r="CG39" s="1" t="s">
        <v>76</v>
      </c>
      <c r="CH39" s="5" t="s">
        <v>214</v>
      </c>
      <c r="CI39" s="4">
        <v>74</v>
      </c>
      <c r="CM39" s="1" t="s">
        <v>265</v>
      </c>
      <c r="CN39" s="1" t="s">
        <v>11</v>
      </c>
      <c r="CO39" s="1" t="s">
        <v>85</v>
      </c>
      <c r="CP39" s="1" t="s">
        <v>31</v>
      </c>
      <c r="CQ39" s="4">
        <v>14</v>
      </c>
      <c r="CR39" s="4">
        <v>9</v>
      </c>
      <c r="CS39" s="1" t="s">
        <v>43</v>
      </c>
      <c r="CT39" s="1" t="s">
        <v>61</v>
      </c>
      <c r="CU39" s="5" t="s">
        <v>56</v>
      </c>
      <c r="CV39" s="4">
        <v>41</v>
      </c>
    </row>
    <row r="40" spans="1:100" x14ac:dyDescent="0.3">
      <c r="A40" s="1" t="s">
        <v>550</v>
      </c>
      <c r="B40" s="1" t="s">
        <v>73</v>
      </c>
      <c r="C40" s="1" t="s">
        <v>19</v>
      </c>
      <c r="D40" s="1" t="s">
        <v>13</v>
      </c>
      <c r="E40" s="4">
        <v>14</v>
      </c>
      <c r="F40" s="4">
        <v>11</v>
      </c>
      <c r="G40" s="1" t="s">
        <v>32</v>
      </c>
      <c r="H40" s="1" t="s">
        <v>26</v>
      </c>
      <c r="I40" s="5" t="s">
        <v>551</v>
      </c>
      <c r="J40" s="4">
        <v>90</v>
      </c>
      <c r="M40" s="1" t="s">
        <v>318</v>
      </c>
      <c r="N40" s="1" t="s">
        <v>54</v>
      </c>
      <c r="O40" s="1" t="s">
        <v>96</v>
      </c>
      <c r="P40" s="1" t="s">
        <v>13</v>
      </c>
      <c r="Q40" s="4">
        <v>18</v>
      </c>
      <c r="R40" s="4">
        <v>9</v>
      </c>
      <c r="S40" s="1" t="s">
        <v>32</v>
      </c>
      <c r="T40" s="1" t="s">
        <v>76</v>
      </c>
      <c r="U40" s="5" t="s">
        <v>319</v>
      </c>
      <c r="V40" s="4">
        <v>86</v>
      </c>
      <c r="Z40" s="1" t="s">
        <v>460</v>
      </c>
      <c r="AA40" s="1" t="s">
        <v>51</v>
      </c>
      <c r="AB40" s="1" t="s">
        <v>96</v>
      </c>
      <c r="AC40" s="1" t="s">
        <v>31</v>
      </c>
      <c r="AD40" s="4">
        <v>16</v>
      </c>
      <c r="AE40" s="4">
        <v>12</v>
      </c>
      <c r="AF40" s="1" t="s">
        <v>43</v>
      </c>
      <c r="AG40" s="1" t="s">
        <v>15</v>
      </c>
      <c r="AH40" s="5" t="s">
        <v>461</v>
      </c>
      <c r="AI40" s="4">
        <v>65</v>
      </c>
      <c r="AM40" s="1" t="s">
        <v>550</v>
      </c>
      <c r="AN40" s="1" t="s">
        <v>73</v>
      </c>
      <c r="AO40" s="1" t="s">
        <v>19</v>
      </c>
      <c r="AP40" s="1" t="s">
        <v>13</v>
      </c>
      <c r="AQ40" s="4">
        <v>14</v>
      </c>
      <c r="AR40" s="4">
        <v>11</v>
      </c>
      <c r="AS40" s="1" t="s">
        <v>32</v>
      </c>
      <c r="AT40" s="1" t="s">
        <v>26</v>
      </c>
      <c r="AU40" s="5" t="s">
        <v>551</v>
      </c>
      <c r="AV40" s="4">
        <v>90</v>
      </c>
      <c r="AZ40" s="1" t="s">
        <v>318</v>
      </c>
      <c r="BA40" s="1" t="s">
        <v>54</v>
      </c>
      <c r="BB40" s="1" t="s">
        <v>96</v>
      </c>
      <c r="BC40" s="1" t="s">
        <v>13</v>
      </c>
      <c r="BD40" s="4">
        <v>18</v>
      </c>
      <c r="BE40" s="4">
        <v>9</v>
      </c>
      <c r="BF40" s="1" t="s">
        <v>32</v>
      </c>
      <c r="BG40" s="1" t="s">
        <v>76</v>
      </c>
      <c r="BH40" s="5" t="s">
        <v>319</v>
      </c>
      <c r="BI40" s="4">
        <v>86</v>
      </c>
      <c r="BM40" s="1" t="s">
        <v>460</v>
      </c>
      <c r="BN40" s="1" t="s">
        <v>51</v>
      </c>
      <c r="BO40" s="1" t="s">
        <v>96</v>
      </c>
      <c r="BP40" s="1" t="s">
        <v>31</v>
      </c>
      <c r="BQ40" s="4">
        <v>16</v>
      </c>
      <c r="BR40" s="4">
        <v>12</v>
      </c>
      <c r="BS40" s="1" t="s">
        <v>43</v>
      </c>
      <c r="BT40" s="1" t="s">
        <v>15</v>
      </c>
      <c r="BU40" s="5" t="s">
        <v>461</v>
      </c>
      <c r="BV40" s="4">
        <v>65</v>
      </c>
      <c r="BZ40" s="1" t="s">
        <v>217</v>
      </c>
      <c r="CA40" s="1" t="s">
        <v>84</v>
      </c>
      <c r="CB40" s="1" t="s">
        <v>96</v>
      </c>
      <c r="CC40" s="1" t="s">
        <v>31</v>
      </c>
      <c r="CD40" s="4">
        <v>17</v>
      </c>
      <c r="CE40" s="4">
        <v>10</v>
      </c>
      <c r="CF40" s="1" t="s">
        <v>43</v>
      </c>
      <c r="CG40" s="1" t="s">
        <v>46</v>
      </c>
      <c r="CH40" s="5" t="s">
        <v>218</v>
      </c>
      <c r="CI40" s="4">
        <v>46</v>
      </c>
      <c r="CM40" s="1" t="s">
        <v>274</v>
      </c>
      <c r="CN40" s="1" t="s">
        <v>35</v>
      </c>
      <c r="CO40" s="1" t="s">
        <v>36</v>
      </c>
      <c r="CP40" s="1" t="s">
        <v>13</v>
      </c>
      <c r="CQ40" s="4">
        <v>19</v>
      </c>
      <c r="CR40" s="4">
        <v>9</v>
      </c>
      <c r="CS40" s="1" t="s">
        <v>32</v>
      </c>
      <c r="CT40" s="1" t="s">
        <v>61</v>
      </c>
      <c r="CU40" s="5" t="s">
        <v>275</v>
      </c>
      <c r="CV40" s="4">
        <v>63</v>
      </c>
    </row>
    <row r="41" spans="1:100" x14ac:dyDescent="0.3">
      <c r="A41" s="1" t="s">
        <v>560</v>
      </c>
      <c r="B41" s="1" t="s">
        <v>68</v>
      </c>
      <c r="C41" s="1" t="s">
        <v>85</v>
      </c>
      <c r="D41" s="1" t="s">
        <v>31</v>
      </c>
      <c r="E41" s="4">
        <v>15</v>
      </c>
      <c r="F41" s="4">
        <v>10</v>
      </c>
      <c r="G41" s="1" t="s">
        <v>43</v>
      </c>
      <c r="H41" s="1" t="s">
        <v>26</v>
      </c>
      <c r="I41" s="5" t="s">
        <v>561</v>
      </c>
      <c r="J41" s="4">
        <v>63</v>
      </c>
      <c r="M41" s="1" t="s">
        <v>322</v>
      </c>
      <c r="N41" s="1" t="s">
        <v>35</v>
      </c>
      <c r="O41" s="1" t="s">
        <v>12</v>
      </c>
      <c r="P41" s="1" t="s">
        <v>13</v>
      </c>
      <c r="Q41" s="4">
        <v>14</v>
      </c>
      <c r="R41" s="4">
        <v>11</v>
      </c>
      <c r="S41" s="1" t="s">
        <v>14</v>
      </c>
      <c r="T41" s="1" t="s">
        <v>26</v>
      </c>
      <c r="U41" s="5" t="s">
        <v>323</v>
      </c>
      <c r="V41" s="4">
        <v>93</v>
      </c>
      <c r="Z41" s="1" t="s">
        <v>462</v>
      </c>
      <c r="AA41" s="1" t="s">
        <v>11</v>
      </c>
      <c r="AB41" s="1" t="s">
        <v>24</v>
      </c>
      <c r="AC41" s="1" t="s">
        <v>31</v>
      </c>
      <c r="AD41" s="4">
        <v>19</v>
      </c>
      <c r="AE41" s="4">
        <v>12</v>
      </c>
      <c r="AF41" s="1" t="s">
        <v>43</v>
      </c>
      <c r="AG41" s="1" t="s">
        <v>37</v>
      </c>
      <c r="AH41" s="5" t="s">
        <v>463</v>
      </c>
      <c r="AI41" s="4">
        <v>45</v>
      </c>
      <c r="AM41" s="1" t="s">
        <v>560</v>
      </c>
      <c r="AN41" s="1" t="s">
        <v>68</v>
      </c>
      <c r="AO41" s="1" t="s">
        <v>85</v>
      </c>
      <c r="AP41" s="1" t="s">
        <v>31</v>
      </c>
      <c r="AQ41" s="4">
        <v>15</v>
      </c>
      <c r="AR41" s="4">
        <v>10</v>
      </c>
      <c r="AS41" s="1" t="s">
        <v>43</v>
      </c>
      <c r="AT41" s="1" t="s">
        <v>26</v>
      </c>
      <c r="AU41" s="5" t="s">
        <v>561</v>
      </c>
      <c r="AV41" s="4">
        <v>63</v>
      </c>
      <c r="AZ41" s="1" t="s">
        <v>322</v>
      </c>
      <c r="BA41" s="1" t="s">
        <v>35</v>
      </c>
      <c r="BB41" s="1" t="s">
        <v>12</v>
      </c>
      <c r="BC41" s="1" t="s">
        <v>13</v>
      </c>
      <c r="BD41" s="4">
        <v>14</v>
      </c>
      <c r="BE41" s="4">
        <v>11</v>
      </c>
      <c r="BF41" s="1" t="s">
        <v>14</v>
      </c>
      <c r="BG41" s="1" t="s">
        <v>26</v>
      </c>
      <c r="BH41" s="5" t="s">
        <v>323</v>
      </c>
      <c r="BI41" s="4">
        <v>93</v>
      </c>
      <c r="BM41" s="1" t="s">
        <v>462</v>
      </c>
      <c r="BN41" s="1" t="s">
        <v>11</v>
      </c>
      <c r="BO41" s="1" t="s">
        <v>24</v>
      </c>
      <c r="BP41" s="1" t="s">
        <v>31</v>
      </c>
      <c r="BQ41" s="4">
        <v>19</v>
      </c>
      <c r="BR41" s="4">
        <v>12</v>
      </c>
      <c r="BS41" s="1" t="s">
        <v>43</v>
      </c>
      <c r="BT41" s="1" t="s">
        <v>37</v>
      </c>
      <c r="BU41" s="5" t="s">
        <v>463</v>
      </c>
      <c r="BV41" s="4">
        <v>45</v>
      </c>
      <c r="BZ41" s="1" t="s">
        <v>223</v>
      </c>
      <c r="CA41" s="1" t="s">
        <v>68</v>
      </c>
      <c r="CB41" s="1" t="s">
        <v>24</v>
      </c>
      <c r="CC41" s="1" t="s">
        <v>13</v>
      </c>
      <c r="CD41" s="4">
        <v>18</v>
      </c>
      <c r="CE41" s="4">
        <v>11</v>
      </c>
      <c r="CF41" s="1" t="s">
        <v>32</v>
      </c>
      <c r="CG41" s="1" t="s">
        <v>40</v>
      </c>
      <c r="CH41" s="5" t="s">
        <v>224</v>
      </c>
      <c r="CI41" s="4">
        <v>87</v>
      </c>
      <c r="CM41" s="1" t="s">
        <v>285</v>
      </c>
      <c r="CN41" s="1" t="s">
        <v>18</v>
      </c>
      <c r="CO41" s="1" t="s">
        <v>36</v>
      </c>
      <c r="CP41" s="1" t="s">
        <v>31</v>
      </c>
      <c r="CQ41" s="4">
        <v>14</v>
      </c>
      <c r="CR41" s="4">
        <v>11</v>
      </c>
      <c r="CS41" s="1" t="s">
        <v>25</v>
      </c>
      <c r="CT41" s="1" t="s">
        <v>46</v>
      </c>
      <c r="CU41" s="5" t="s">
        <v>286</v>
      </c>
      <c r="CV41" s="4">
        <v>64</v>
      </c>
    </row>
    <row r="42" spans="1:100" x14ac:dyDescent="0.3">
      <c r="A42" s="1" t="s">
        <v>567</v>
      </c>
      <c r="B42" s="1" t="s">
        <v>54</v>
      </c>
      <c r="C42" s="1" t="s">
        <v>12</v>
      </c>
      <c r="D42" s="1" t="s">
        <v>31</v>
      </c>
      <c r="E42" s="4">
        <v>18</v>
      </c>
      <c r="F42" s="4">
        <v>12</v>
      </c>
      <c r="G42" s="1" t="s">
        <v>25</v>
      </c>
      <c r="H42" s="1" t="s">
        <v>26</v>
      </c>
      <c r="I42" s="5" t="s">
        <v>568</v>
      </c>
      <c r="J42" s="4">
        <v>96</v>
      </c>
      <c r="M42" s="1" t="s">
        <v>329</v>
      </c>
      <c r="N42" s="1" t="s">
        <v>11</v>
      </c>
      <c r="O42" s="1" t="s">
        <v>24</v>
      </c>
      <c r="P42" s="1" t="s">
        <v>31</v>
      </c>
      <c r="Q42" s="4">
        <v>15</v>
      </c>
      <c r="R42" s="4">
        <v>9</v>
      </c>
      <c r="S42" s="1" t="s">
        <v>43</v>
      </c>
      <c r="T42" s="1" t="s">
        <v>61</v>
      </c>
      <c r="U42" s="5" t="s">
        <v>330</v>
      </c>
      <c r="V42" s="4">
        <v>83</v>
      </c>
      <c r="Z42" s="1" t="s">
        <v>485</v>
      </c>
      <c r="AA42" s="1" t="s">
        <v>18</v>
      </c>
      <c r="AB42" s="1" t="s">
        <v>12</v>
      </c>
      <c r="AC42" s="1" t="s">
        <v>31</v>
      </c>
      <c r="AD42" s="4">
        <v>16</v>
      </c>
      <c r="AE42" s="4">
        <v>12</v>
      </c>
      <c r="AF42" s="1" t="s">
        <v>14</v>
      </c>
      <c r="AG42" s="1" t="s">
        <v>76</v>
      </c>
      <c r="AH42" s="5" t="s">
        <v>486</v>
      </c>
      <c r="AI42" s="4">
        <v>70</v>
      </c>
      <c r="AM42" s="1" t="s">
        <v>567</v>
      </c>
      <c r="AN42" s="1" t="s">
        <v>54</v>
      </c>
      <c r="AO42" s="1" t="s">
        <v>12</v>
      </c>
      <c r="AP42" s="1" t="s">
        <v>31</v>
      </c>
      <c r="AQ42" s="4">
        <v>18</v>
      </c>
      <c r="AR42" s="4">
        <v>12</v>
      </c>
      <c r="AS42" s="1" t="s">
        <v>25</v>
      </c>
      <c r="AT42" s="1" t="s">
        <v>26</v>
      </c>
      <c r="AU42" s="5" t="s">
        <v>568</v>
      </c>
      <c r="AV42" s="4">
        <v>96</v>
      </c>
      <c r="AZ42" s="1" t="s">
        <v>329</v>
      </c>
      <c r="BA42" s="1" t="s">
        <v>11</v>
      </c>
      <c r="BB42" s="1" t="s">
        <v>24</v>
      </c>
      <c r="BC42" s="1" t="s">
        <v>31</v>
      </c>
      <c r="BD42" s="4">
        <v>15</v>
      </c>
      <c r="BE42" s="4">
        <v>9</v>
      </c>
      <c r="BF42" s="1" t="s">
        <v>43</v>
      </c>
      <c r="BG42" s="1" t="s">
        <v>61</v>
      </c>
      <c r="BH42" s="5" t="s">
        <v>330</v>
      </c>
      <c r="BI42" s="4">
        <v>83</v>
      </c>
      <c r="BM42" s="1" t="s">
        <v>485</v>
      </c>
      <c r="BN42" s="1" t="s">
        <v>18</v>
      </c>
      <c r="BO42" s="1" t="s">
        <v>12</v>
      </c>
      <c r="BP42" s="1" t="s">
        <v>31</v>
      </c>
      <c r="BQ42" s="4">
        <v>16</v>
      </c>
      <c r="BR42" s="4">
        <v>12</v>
      </c>
      <c r="BS42" s="1" t="s">
        <v>14</v>
      </c>
      <c r="BT42" s="1" t="s">
        <v>76</v>
      </c>
      <c r="BU42" s="5" t="s">
        <v>486</v>
      </c>
      <c r="BV42" s="4">
        <v>70</v>
      </c>
      <c r="BZ42" s="1" t="s">
        <v>227</v>
      </c>
      <c r="CA42" s="1" t="s">
        <v>68</v>
      </c>
      <c r="CB42" s="1" t="s">
        <v>58</v>
      </c>
      <c r="CC42" s="1" t="s">
        <v>13</v>
      </c>
      <c r="CD42" s="4">
        <v>17</v>
      </c>
      <c r="CE42" s="4">
        <v>12</v>
      </c>
      <c r="CF42" s="1" t="s">
        <v>32</v>
      </c>
      <c r="CG42" s="1" t="s">
        <v>26</v>
      </c>
      <c r="CH42" s="5" t="s">
        <v>228</v>
      </c>
      <c r="CI42" s="4">
        <v>37</v>
      </c>
      <c r="CM42" s="1" t="s">
        <v>291</v>
      </c>
      <c r="CN42" s="1" t="s">
        <v>11</v>
      </c>
      <c r="CO42" s="1" t="s">
        <v>30</v>
      </c>
      <c r="CP42" s="1" t="s">
        <v>31</v>
      </c>
      <c r="CQ42" s="4">
        <v>16</v>
      </c>
      <c r="CR42" s="4">
        <v>9</v>
      </c>
      <c r="CS42" s="1" t="s">
        <v>25</v>
      </c>
      <c r="CT42" s="1" t="s">
        <v>61</v>
      </c>
      <c r="CU42" s="5" t="s">
        <v>292</v>
      </c>
      <c r="CV42" s="4">
        <v>97</v>
      </c>
    </row>
    <row r="43" spans="1:100" x14ac:dyDescent="0.3">
      <c r="A43" s="1" t="s">
        <v>571</v>
      </c>
      <c r="B43" s="1" t="s">
        <v>68</v>
      </c>
      <c r="C43" s="1" t="s">
        <v>12</v>
      </c>
      <c r="D43" s="1" t="s">
        <v>13</v>
      </c>
      <c r="E43" s="4">
        <v>16</v>
      </c>
      <c r="F43" s="4">
        <v>10</v>
      </c>
      <c r="G43" s="1" t="s">
        <v>25</v>
      </c>
      <c r="H43" s="1" t="s">
        <v>26</v>
      </c>
      <c r="I43" s="5" t="s">
        <v>434</v>
      </c>
      <c r="J43" s="4">
        <v>63</v>
      </c>
      <c r="M43" s="1" t="s">
        <v>331</v>
      </c>
      <c r="N43" s="1" t="s">
        <v>73</v>
      </c>
      <c r="O43" s="1" t="s">
        <v>30</v>
      </c>
      <c r="P43" s="1" t="s">
        <v>31</v>
      </c>
      <c r="Q43" s="4">
        <v>19</v>
      </c>
      <c r="R43" s="4">
        <v>10</v>
      </c>
      <c r="S43" s="1" t="s">
        <v>43</v>
      </c>
      <c r="T43" s="1" t="s">
        <v>20</v>
      </c>
      <c r="U43" s="5" t="s">
        <v>191</v>
      </c>
      <c r="V43" s="4">
        <v>93</v>
      </c>
      <c r="Z43" s="1" t="s">
        <v>493</v>
      </c>
      <c r="AA43" s="1" t="s">
        <v>51</v>
      </c>
      <c r="AB43" s="1" t="s">
        <v>96</v>
      </c>
      <c r="AC43" s="1" t="s">
        <v>31</v>
      </c>
      <c r="AD43" s="4">
        <v>14</v>
      </c>
      <c r="AE43" s="4">
        <v>12</v>
      </c>
      <c r="AF43" s="1" t="s">
        <v>14</v>
      </c>
      <c r="AG43" s="1" t="s">
        <v>26</v>
      </c>
      <c r="AH43" s="5" t="s">
        <v>494</v>
      </c>
      <c r="AI43" s="4">
        <v>47</v>
      </c>
      <c r="AM43" s="1" t="s">
        <v>571</v>
      </c>
      <c r="AN43" s="1" t="s">
        <v>68</v>
      </c>
      <c r="AO43" s="1" t="s">
        <v>12</v>
      </c>
      <c r="AP43" s="1" t="s">
        <v>13</v>
      </c>
      <c r="AQ43" s="4">
        <v>16</v>
      </c>
      <c r="AR43" s="4">
        <v>10</v>
      </c>
      <c r="AS43" s="1" t="s">
        <v>25</v>
      </c>
      <c r="AT43" s="1" t="s">
        <v>26</v>
      </c>
      <c r="AU43" s="5" t="s">
        <v>434</v>
      </c>
      <c r="AV43" s="4">
        <v>63</v>
      </c>
      <c r="AZ43" s="1" t="s">
        <v>331</v>
      </c>
      <c r="BA43" s="1" t="s">
        <v>73</v>
      </c>
      <c r="BB43" s="1" t="s">
        <v>30</v>
      </c>
      <c r="BC43" s="1" t="s">
        <v>31</v>
      </c>
      <c r="BD43" s="4">
        <v>19</v>
      </c>
      <c r="BE43" s="4">
        <v>10</v>
      </c>
      <c r="BF43" s="1" t="s">
        <v>43</v>
      </c>
      <c r="BG43" s="1" t="s">
        <v>20</v>
      </c>
      <c r="BH43" s="5" t="s">
        <v>191</v>
      </c>
      <c r="BI43" s="4">
        <v>93</v>
      </c>
      <c r="BM43" s="1" t="s">
        <v>493</v>
      </c>
      <c r="BN43" s="1" t="s">
        <v>51</v>
      </c>
      <c r="BO43" s="1" t="s">
        <v>96</v>
      </c>
      <c r="BP43" s="1" t="s">
        <v>31</v>
      </c>
      <c r="BQ43" s="4">
        <v>14</v>
      </c>
      <c r="BR43" s="4">
        <v>12</v>
      </c>
      <c r="BS43" s="1" t="s">
        <v>14</v>
      </c>
      <c r="BT43" s="1" t="s">
        <v>26</v>
      </c>
      <c r="BU43" s="5" t="s">
        <v>494</v>
      </c>
      <c r="BV43" s="4">
        <v>47</v>
      </c>
      <c r="BZ43" s="1" t="s">
        <v>229</v>
      </c>
      <c r="CA43" s="1" t="s">
        <v>68</v>
      </c>
      <c r="CB43" s="1" t="s">
        <v>24</v>
      </c>
      <c r="CC43" s="1" t="s">
        <v>13</v>
      </c>
      <c r="CD43" s="4">
        <v>17</v>
      </c>
      <c r="CE43" s="4">
        <v>11</v>
      </c>
      <c r="CF43" s="1" t="s">
        <v>43</v>
      </c>
      <c r="CG43" s="1" t="s">
        <v>26</v>
      </c>
      <c r="CH43" s="5" t="s">
        <v>230</v>
      </c>
      <c r="CI43" s="4">
        <v>53</v>
      </c>
      <c r="CM43" s="1" t="s">
        <v>294</v>
      </c>
      <c r="CN43" s="1" t="s">
        <v>35</v>
      </c>
      <c r="CO43" s="1" t="s">
        <v>55</v>
      </c>
      <c r="CP43" s="1" t="s">
        <v>13</v>
      </c>
      <c r="CQ43" s="4">
        <v>20</v>
      </c>
      <c r="CR43" s="4">
        <v>9</v>
      </c>
      <c r="CS43" s="1" t="s">
        <v>25</v>
      </c>
      <c r="CT43" s="1" t="s">
        <v>46</v>
      </c>
      <c r="CU43" s="5" t="s">
        <v>295</v>
      </c>
      <c r="CV43" s="4">
        <v>99</v>
      </c>
    </row>
    <row r="44" spans="1:100" x14ac:dyDescent="0.3">
      <c r="A44" s="1" t="s">
        <v>579</v>
      </c>
      <c r="B44" s="1" t="s">
        <v>51</v>
      </c>
      <c r="C44" s="1" t="s">
        <v>55</v>
      </c>
      <c r="D44" s="1" t="s">
        <v>31</v>
      </c>
      <c r="E44" s="4">
        <v>20</v>
      </c>
      <c r="F44" s="4">
        <v>9</v>
      </c>
      <c r="G44" s="1" t="s">
        <v>25</v>
      </c>
      <c r="H44" s="1" t="s">
        <v>26</v>
      </c>
      <c r="I44" s="5" t="s">
        <v>212</v>
      </c>
      <c r="J44" s="4">
        <v>35</v>
      </c>
      <c r="M44" s="1" t="s">
        <v>334</v>
      </c>
      <c r="N44" s="1" t="s">
        <v>73</v>
      </c>
      <c r="O44" s="1" t="s">
        <v>12</v>
      </c>
      <c r="P44" s="1" t="s">
        <v>31</v>
      </c>
      <c r="Q44" s="4">
        <v>18</v>
      </c>
      <c r="R44" s="4">
        <v>11</v>
      </c>
      <c r="S44" s="1" t="s">
        <v>32</v>
      </c>
      <c r="T44" s="1" t="s">
        <v>76</v>
      </c>
      <c r="U44" s="5" t="s">
        <v>335</v>
      </c>
      <c r="V44" s="4">
        <v>97</v>
      </c>
      <c r="Z44" s="1" t="s">
        <v>507</v>
      </c>
      <c r="AA44" s="1" t="s">
        <v>54</v>
      </c>
      <c r="AB44" s="1" t="s">
        <v>12</v>
      </c>
      <c r="AC44" s="1" t="s">
        <v>31</v>
      </c>
      <c r="AD44" s="4">
        <v>16</v>
      </c>
      <c r="AE44" s="4">
        <v>12</v>
      </c>
      <c r="AF44" s="1" t="s">
        <v>43</v>
      </c>
      <c r="AG44" s="1" t="s">
        <v>61</v>
      </c>
      <c r="AH44" s="5" t="s">
        <v>483</v>
      </c>
      <c r="AI44" s="4">
        <v>45</v>
      </c>
      <c r="AM44" s="1" t="s">
        <v>579</v>
      </c>
      <c r="AN44" s="1" t="s">
        <v>51</v>
      </c>
      <c r="AO44" s="1" t="s">
        <v>55</v>
      </c>
      <c r="AP44" s="1" t="s">
        <v>31</v>
      </c>
      <c r="AQ44" s="4">
        <v>20</v>
      </c>
      <c r="AR44" s="4">
        <v>9</v>
      </c>
      <c r="AS44" s="1" t="s">
        <v>25</v>
      </c>
      <c r="AT44" s="1" t="s">
        <v>26</v>
      </c>
      <c r="AU44" s="5" t="s">
        <v>212</v>
      </c>
      <c r="AV44" s="4">
        <v>35</v>
      </c>
      <c r="AZ44" s="1" t="s">
        <v>334</v>
      </c>
      <c r="BA44" s="1" t="s">
        <v>73</v>
      </c>
      <c r="BB44" s="1" t="s">
        <v>12</v>
      </c>
      <c r="BC44" s="1" t="s">
        <v>31</v>
      </c>
      <c r="BD44" s="4">
        <v>18</v>
      </c>
      <c r="BE44" s="4">
        <v>11</v>
      </c>
      <c r="BF44" s="1" t="s">
        <v>32</v>
      </c>
      <c r="BG44" s="1" t="s">
        <v>76</v>
      </c>
      <c r="BH44" s="5" t="s">
        <v>335</v>
      </c>
      <c r="BI44" s="4">
        <v>97</v>
      </c>
      <c r="BM44" s="1" t="s">
        <v>507</v>
      </c>
      <c r="BN44" s="1" t="s">
        <v>54</v>
      </c>
      <c r="BO44" s="1" t="s">
        <v>12</v>
      </c>
      <c r="BP44" s="1" t="s">
        <v>31</v>
      </c>
      <c r="BQ44" s="4">
        <v>16</v>
      </c>
      <c r="BR44" s="4">
        <v>12</v>
      </c>
      <c r="BS44" s="1" t="s">
        <v>43</v>
      </c>
      <c r="BT44" s="1" t="s">
        <v>61</v>
      </c>
      <c r="BU44" s="5" t="s">
        <v>483</v>
      </c>
      <c r="BV44" s="4">
        <v>45</v>
      </c>
      <c r="BZ44" s="1" t="s">
        <v>231</v>
      </c>
      <c r="CA44" s="1" t="s">
        <v>23</v>
      </c>
      <c r="CB44" s="1" t="s">
        <v>24</v>
      </c>
      <c r="CC44" s="1" t="s">
        <v>31</v>
      </c>
      <c r="CD44" s="4">
        <v>18</v>
      </c>
      <c r="CE44" s="4">
        <v>9</v>
      </c>
      <c r="CF44" s="1" t="s">
        <v>25</v>
      </c>
      <c r="CG44" s="1" t="s">
        <v>61</v>
      </c>
      <c r="CH44" s="5" t="s">
        <v>232</v>
      </c>
      <c r="CI44" s="4">
        <v>88</v>
      </c>
      <c r="CM44" s="1" t="s">
        <v>304</v>
      </c>
      <c r="CN44" s="1" t="s">
        <v>51</v>
      </c>
      <c r="CO44" s="1" t="s">
        <v>36</v>
      </c>
      <c r="CP44" s="1" t="s">
        <v>31</v>
      </c>
      <c r="CQ44" s="4">
        <v>15</v>
      </c>
      <c r="CR44" s="4">
        <v>12</v>
      </c>
      <c r="CS44" s="1" t="s">
        <v>32</v>
      </c>
      <c r="CT44" s="1" t="s">
        <v>46</v>
      </c>
      <c r="CU44" s="5" t="s">
        <v>305</v>
      </c>
      <c r="CV44" s="4">
        <v>77</v>
      </c>
    </row>
    <row r="45" spans="1:100" x14ac:dyDescent="0.3">
      <c r="A45" s="1" t="s">
        <v>604</v>
      </c>
      <c r="B45" s="1" t="s">
        <v>51</v>
      </c>
      <c r="C45" s="1" t="s">
        <v>85</v>
      </c>
      <c r="D45" s="1" t="s">
        <v>31</v>
      </c>
      <c r="E45" s="4">
        <v>20</v>
      </c>
      <c r="F45" s="4">
        <v>12</v>
      </c>
      <c r="G45" s="1" t="s">
        <v>25</v>
      </c>
      <c r="H45" s="1" t="s">
        <v>26</v>
      </c>
      <c r="I45" s="5" t="s">
        <v>299</v>
      </c>
      <c r="J45" s="4">
        <v>69</v>
      </c>
      <c r="M45" s="1" t="s">
        <v>341</v>
      </c>
      <c r="N45" s="1" t="s">
        <v>54</v>
      </c>
      <c r="O45" s="1" t="s">
        <v>55</v>
      </c>
      <c r="P45" s="1" t="s">
        <v>13</v>
      </c>
      <c r="Q45" s="4">
        <v>14</v>
      </c>
      <c r="R45" s="4">
        <v>9</v>
      </c>
      <c r="S45" s="1" t="s">
        <v>25</v>
      </c>
      <c r="T45" s="1" t="s">
        <v>37</v>
      </c>
      <c r="U45" s="5" t="s">
        <v>342</v>
      </c>
      <c r="V45" s="4">
        <v>82</v>
      </c>
      <c r="Z45" s="1" t="s">
        <v>513</v>
      </c>
      <c r="AA45" s="1" t="s">
        <v>11</v>
      </c>
      <c r="AB45" s="1" t="s">
        <v>19</v>
      </c>
      <c r="AC45" s="1" t="s">
        <v>31</v>
      </c>
      <c r="AD45" s="4">
        <v>14</v>
      </c>
      <c r="AE45" s="4">
        <v>12</v>
      </c>
      <c r="AF45" s="1" t="s">
        <v>32</v>
      </c>
      <c r="AG45" s="1" t="s">
        <v>15</v>
      </c>
      <c r="AH45" s="5" t="s">
        <v>381</v>
      </c>
      <c r="AI45" s="4">
        <v>65</v>
      </c>
      <c r="AM45" s="1" t="s">
        <v>604</v>
      </c>
      <c r="AN45" s="1" t="s">
        <v>51</v>
      </c>
      <c r="AO45" s="1" t="s">
        <v>85</v>
      </c>
      <c r="AP45" s="1" t="s">
        <v>31</v>
      </c>
      <c r="AQ45" s="4">
        <v>20</v>
      </c>
      <c r="AR45" s="4">
        <v>12</v>
      </c>
      <c r="AS45" s="1" t="s">
        <v>25</v>
      </c>
      <c r="AT45" s="1" t="s">
        <v>26</v>
      </c>
      <c r="AU45" s="5" t="s">
        <v>299</v>
      </c>
      <c r="AV45" s="4">
        <v>69</v>
      </c>
      <c r="AZ45" s="1" t="s">
        <v>341</v>
      </c>
      <c r="BA45" s="1" t="s">
        <v>54</v>
      </c>
      <c r="BB45" s="1" t="s">
        <v>55</v>
      </c>
      <c r="BC45" s="1" t="s">
        <v>13</v>
      </c>
      <c r="BD45" s="4">
        <v>14</v>
      </c>
      <c r="BE45" s="4">
        <v>9</v>
      </c>
      <c r="BF45" s="1" t="s">
        <v>25</v>
      </c>
      <c r="BG45" s="1" t="s">
        <v>37</v>
      </c>
      <c r="BH45" s="5" t="s">
        <v>342</v>
      </c>
      <c r="BI45" s="4">
        <v>82</v>
      </c>
      <c r="BM45" s="1" t="s">
        <v>513</v>
      </c>
      <c r="BN45" s="1" t="s">
        <v>11</v>
      </c>
      <c r="BO45" s="1" t="s">
        <v>19</v>
      </c>
      <c r="BP45" s="1" t="s">
        <v>31</v>
      </c>
      <c r="BQ45" s="4">
        <v>14</v>
      </c>
      <c r="BR45" s="4">
        <v>12</v>
      </c>
      <c r="BS45" s="1" t="s">
        <v>32</v>
      </c>
      <c r="BT45" s="1" t="s">
        <v>15</v>
      </c>
      <c r="BU45" s="5" t="s">
        <v>381</v>
      </c>
      <c r="BV45" s="4">
        <v>65</v>
      </c>
      <c r="BZ45" s="1" t="s">
        <v>237</v>
      </c>
      <c r="CA45" s="1" t="s">
        <v>23</v>
      </c>
      <c r="CB45" s="1" t="s">
        <v>24</v>
      </c>
      <c r="CC45" s="1" t="s">
        <v>31</v>
      </c>
      <c r="CD45" s="4">
        <v>16</v>
      </c>
      <c r="CE45" s="4">
        <v>10</v>
      </c>
      <c r="CF45" s="1" t="s">
        <v>43</v>
      </c>
      <c r="CG45" s="1" t="s">
        <v>20</v>
      </c>
      <c r="CH45" s="5" t="s">
        <v>238</v>
      </c>
      <c r="CI45" s="4">
        <v>71</v>
      </c>
      <c r="CM45" s="1" t="s">
        <v>306</v>
      </c>
      <c r="CN45" s="1" t="s">
        <v>23</v>
      </c>
      <c r="CO45" s="1" t="s">
        <v>19</v>
      </c>
      <c r="CP45" s="1" t="s">
        <v>31</v>
      </c>
      <c r="CQ45" s="4">
        <v>16</v>
      </c>
      <c r="CR45" s="4">
        <v>10</v>
      </c>
      <c r="CS45" s="1" t="s">
        <v>43</v>
      </c>
      <c r="CT45" s="1" t="s">
        <v>61</v>
      </c>
      <c r="CU45" s="5" t="s">
        <v>307</v>
      </c>
      <c r="CV45" s="4">
        <v>47</v>
      </c>
    </row>
    <row r="46" spans="1:100" x14ac:dyDescent="0.3">
      <c r="A46" s="1" t="s">
        <v>611</v>
      </c>
      <c r="B46" s="1" t="s">
        <v>18</v>
      </c>
      <c r="C46" s="1" t="s">
        <v>24</v>
      </c>
      <c r="D46" s="1" t="s">
        <v>31</v>
      </c>
      <c r="E46" s="4">
        <v>19</v>
      </c>
      <c r="F46" s="4">
        <v>12</v>
      </c>
      <c r="G46" s="1" t="s">
        <v>43</v>
      </c>
      <c r="H46" s="1" t="s">
        <v>26</v>
      </c>
      <c r="I46" s="5" t="s">
        <v>612</v>
      </c>
      <c r="J46" s="4">
        <v>82</v>
      </c>
      <c r="M46" s="1" t="s">
        <v>367</v>
      </c>
      <c r="N46" s="1" t="s">
        <v>35</v>
      </c>
      <c r="O46" s="1" t="s">
        <v>12</v>
      </c>
      <c r="P46" s="1" t="s">
        <v>31</v>
      </c>
      <c r="Q46" s="4">
        <v>15</v>
      </c>
      <c r="R46" s="4">
        <v>10</v>
      </c>
      <c r="S46" s="1" t="s">
        <v>32</v>
      </c>
      <c r="T46" s="1" t="s">
        <v>20</v>
      </c>
      <c r="U46" s="5" t="s">
        <v>368</v>
      </c>
      <c r="V46" s="4">
        <v>99</v>
      </c>
      <c r="Z46" s="1" t="s">
        <v>529</v>
      </c>
      <c r="AA46" s="1" t="s">
        <v>84</v>
      </c>
      <c r="AB46" s="1" t="s">
        <v>24</v>
      </c>
      <c r="AC46" s="1" t="s">
        <v>31</v>
      </c>
      <c r="AD46" s="4">
        <v>20</v>
      </c>
      <c r="AE46" s="4">
        <v>12</v>
      </c>
      <c r="AF46" s="1" t="s">
        <v>25</v>
      </c>
      <c r="AG46" s="1" t="s">
        <v>76</v>
      </c>
      <c r="AH46" s="5" t="s">
        <v>186</v>
      </c>
      <c r="AI46" s="4">
        <v>51</v>
      </c>
      <c r="AM46" s="1" t="s">
        <v>611</v>
      </c>
      <c r="AN46" s="1" t="s">
        <v>18</v>
      </c>
      <c r="AO46" s="1" t="s">
        <v>24</v>
      </c>
      <c r="AP46" s="1" t="s">
        <v>31</v>
      </c>
      <c r="AQ46" s="4">
        <v>19</v>
      </c>
      <c r="AR46" s="4">
        <v>12</v>
      </c>
      <c r="AS46" s="1" t="s">
        <v>43</v>
      </c>
      <c r="AT46" s="1" t="s">
        <v>26</v>
      </c>
      <c r="AU46" s="5" t="s">
        <v>612</v>
      </c>
      <c r="AV46" s="4">
        <v>82</v>
      </c>
      <c r="AZ46" s="1" t="s">
        <v>367</v>
      </c>
      <c r="BA46" s="1" t="s">
        <v>35</v>
      </c>
      <c r="BB46" s="1" t="s">
        <v>12</v>
      </c>
      <c r="BC46" s="1" t="s">
        <v>31</v>
      </c>
      <c r="BD46" s="4">
        <v>15</v>
      </c>
      <c r="BE46" s="4">
        <v>10</v>
      </c>
      <c r="BF46" s="1" t="s">
        <v>32</v>
      </c>
      <c r="BG46" s="1" t="s">
        <v>20</v>
      </c>
      <c r="BH46" s="5" t="s">
        <v>368</v>
      </c>
      <c r="BI46" s="4">
        <v>99</v>
      </c>
      <c r="BM46" s="1" t="s">
        <v>529</v>
      </c>
      <c r="BN46" s="1" t="s">
        <v>84</v>
      </c>
      <c r="BO46" s="1" t="s">
        <v>24</v>
      </c>
      <c r="BP46" s="1" t="s">
        <v>31</v>
      </c>
      <c r="BQ46" s="4">
        <v>20</v>
      </c>
      <c r="BR46" s="4">
        <v>12</v>
      </c>
      <c r="BS46" s="1" t="s">
        <v>25</v>
      </c>
      <c r="BT46" s="1" t="s">
        <v>76</v>
      </c>
      <c r="BU46" s="5" t="s">
        <v>186</v>
      </c>
      <c r="BV46" s="4">
        <v>51</v>
      </c>
      <c r="BZ46" s="1" t="s">
        <v>239</v>
      </c>
      <c r="CA46" s="1" t="s">
        <v>68</v>
      </c>
      <c r="CB46" s="1" t="s">
        <v>58</v>
      </c>
      <c r="CC46" s="1" t="s">
        <v>13</v>
      </c>
      <c r="CD46" s="4">
        <v>18</v>
      </c>
      <c r="CE46" s="4">
        <v>11</v>
      </c>
      <c r="CF46" s="1" t="s">
        <v>25</v>
      </c>
      <c r="CG46" s="1" t="s">
        <v>15</v>
      </c>
      <c r="CH46" s="5" t="s">
        <v>240</v>
      </c>
      <c r="CI46" s="4">
        <v>48</v>
      </c>
      <c r="CM46" s="1" t="s">
        <v>310</v>
      </c>
      <c r="CN46" s="1" t="s">
        <v>29</v>
      </c>
      <c r="CO46" s="1" t="s">
        <v>96</v>
      </c>
      <c r="CP46" s="1" t="s">
        <v>31</v>
      </c>
      <c r="CQ46" s="4">
        <v>16</v>
      </c>
      <c r="CR46" s="4">
        <v>9</v>
      </c>
      <c r="CS46" s="1" t="s">
        <v>32</v>
      </c>
      <c r="CT46" s="1" t="s">
        <v>46</v>
      </c>
      <c r="CU46" s="5" t="s">
        <v>311</v>
      </c>
      <c r="CV46" s="4">
        <v>67</v>
      </c>
    </row>
    <row r="47" spans="1:100" x14ac:dyDescent="0.3">
      <c r="A47" s="1" t="s">
        <v>713</v>
      </c>
      <c r="B47" s="1" t="s">
        <v>29</v>
      </c>
      <c r="C47" s="1" t="s">
        <v>24</v>
      </c>
      <c r="D47" s="1" t="s">
        <v>31</v>
      </c>
      <c r="E47" s="4">
        <v>16</v>
      </c>
      <c r="F47" s="4">
        <v>12</v>
      </c>
      <c r="G47" s="1" t="s">
        <v>32</v>
      </c>
      <c r="H47" s="1" t="s">
        <v>26</v>
      </c>
      <c r="I47" s="5" t="s">
        <v>714</v>
      </c>
      <c r="J47" s="4">
        <v>57</v>
      </c>
      <c r="M47" s="1" t="s">
        <v>369</v>
      </c>
      <c r="N47" s="1" t="s">
        <v>23</v>
      </c>
      <c r="O47" s="1" t="s">
        <v>24</v>
      </c>
      <c r="P47" s="1" t="s">
        <v>31</v>
      </c>
      <c r="Q47" s="4">
        <v>17</v>
      </c>
      <c r="R47" s="4">
        <v>12</v>
      </c>
      <c r="S47" s="1" t="s">
        <v>43</v>
      </c>
      <c r="T47" s="1" t="s">
        <v>61</v>
      </c>
      <c r="U47" s="5" t="s">
        <v>370</v>
      </c>
      <c r="V47" s="4">
        <v>96</v>
      </c>
      <c r="Z47" s="1" t="s">
        <v>537</v>
      </c>
      <c r="AA47" s="1" t="s">
        <v>68</v>
      </c>
      <c r="AB47" s="1" t="s">
        <v>36</v>
      </c>
      <c r="AC47" s="1" t="s">
        <v>31</v>
      </c>
      <c r="AD47" s="4">
        <v>16</v>
      </c>
      <c r="AE47" s="4">
        <v>12</v>
      </c>
      <c r="AF47" s="1" t="s">
        <v>25</v>
      </c>
      <c r="AG47" s="1" t="s">
        <v>26</v>
      </c>
      <c r="AH47" s="5" t="s">
        <v>538</v>
      </c>
      <c r="AI47" s="4">
        <v>42</v>
      </c>
      <c r="AM47" s="1" t="s">
        <v>713</v>
      </c>
      <c r="AN47" s="1" t="s">
        <v>29</v>
      </c>
      <c r="AO47" s="1" t="s">
        <v>24</v>
      </c>
      <c r="AP47" s="1" t="s">
        <v>31</v>
      </c>
      <c r="AQ47" s="4">
        <v>16</v>
      </c>
      <c r="AR47" s="4">
        <v>12</v>
      </c>
      <c r="AS47" s="1" t="s">
        <v>32</v>
      </c>
      <c r="AT47" s="1" t="s">
        <v>26</v>
      </c>
      <c r="AU47" s="5" t="s">
        <v>714</v>
      </c>
      <c r="AV47" s="4">
        <v>57</v>
      </c>
      <c r="AZ47" s="1" t="s">
        <v>369</v>
      </c>
      <c r="BA47" s="1" t="s">
        <v>23</v>
      </c>
      <c r="BB47" s="1" t="s">
        <v>24</v>
      </c>
      <c r="BC47" s="1" t="s">
        <v>31</v>
      </c>
      <c r="BD47" s="4">
        <v>17</v>
      </c>
      <c r="BE47" s="4">
        <v>12</v>
      </c>
      <c r="BF47" s="1" t="s">
        <v>43</v>
      </c>
      <c r="BG47" s="1" t="s">
        <v>61</v>
      </c>
      <c r="BH47" s="5" t="s">
        <v>370</v>
      </c>
      <c r="BI47" s="4">
        <v>96</v>
      </c>
      <c r="BM47" s="1" t="s">
        <v>537</v>
      </c>
      <c r="BN47" s="1" t="s">
        <v>68</v>
      </c>
      <c r="BO47" s="1" t="s">
        <v>36</v>
      </c>
      <c r="BP47" s="1" t="s">
        <v>31</v>
      </c>
      <c r="BQ47" s="4">
        <v>16</v>
      </c>
      <c r="BR47" s="4">
        <v>12</v>
      </c>
      <c r="BS47" s="1" t="s">
        <v>25</v>
      </c>
      <c r="BT47" s="1" t="s">
        <v>26</v>
      </c>
      <c r="BU47" s="5" t="s">
        <v>538</v>
      </c>
      <c r="BV47" s="4">
        <v>42</v>
      </c>
      <c r="BZ47" s="1" t="s">
        <v>245</v>
      </c>
      <c r="CA47" s="1" t="s">
        <v>54</v>
      </c>
      <c r="CB47" s="1" t="s">
        <v>19</v>
      </c>
      <c r="CC47" s="1" t="s">
        <v>31</v>
      </c>
      <c r="CD47" s="4">
        <v>18</v>
      </c>
      <c r="CE47" s="4">
        <v>12</v>
      </c>
      <c r="CF47" s="1" t="s">
        <v>32</v>
      </c>
      <c r="CG47" s="1" t="s">
        <v>26</v>
      </c>
      <c r="CH47" s="5" t="s">
        <v>246</v>
      </c>
      <c r="CI47" s="4">
        <v>74</v>
      </c>
      <c r="CM47" s="1" t="s">
        <v>312</v>
      </c>
      <c r="CN47" s="1" t="s">
        <v>29</v>
      </c>
      <c r="CO47" s="1" t="s">
        <v>12</v>
      </c>
      <c r="CP47" s="1" t="s">
        <v>31</v>
      </c>
      <c r="CQ47" s="4">
        <v>14</v>
      </c>
      <c r="CR47" s="4">
        <v>12</v>
      </c>
      <c r="CS47" s="1" t="s">
        <v>43</v>
      </c>
      <c r="CT47" s="1" t="s">
        <v>61</v>
      </c>
      <c r="CU47" s="5" t="s">
        <v>313</v>
      </c>
      <c r="CV47" s="4">
        <v>44</v>
      </c>
    </row>
    <row r="48" spans="1:100" x14ac:dyDescent="0.3">
      <c r="A48" s="1" t="s">
        <v>721</v>
      </c>
      <c r="B48" s="1" t="s">
        <v>23</v>
      </c>
      <c r="C48" s="1" t="s">
        <v>19</v>
      </c>
      <c r="D48" s="1" t="s">
        <v>31</v>
      </c>
      <c r="E48" s="4">
        <v>18</v>
      </c>
      <c r="F48" s="4">
        <v>10</v>
      </c>
      <c r="G48" s="1" t="s">
        <v>14</v>
      </c>
      <c r="H48" s="1" t="s">
        <v>26</v>
      </c>
      <c r="I48" s="5" t="s">
        <v>722</v>
      </c>
      <c r="J48" s="4">
        <v>43</v>
      </c>
      <c r="M48" s="1" t="s">
        <v>371</v>
      </c>
      <c r="N48" s="1" t="s">
        <v>35</v>
      </c>
      <c r="O48" s="1" t="s">
        <v>58</v>
      </c>
      <c r="P48" s="1" t="s">
        <v>31</v>
      </c>
      <c r="Q48" s="4">
        <v>19</v>
      </c>
      <c r="R48" s="4">
        <v>9</v>
      </c>
      <c r="S48" s="1" t="s">
        <v>14</v>
      </c>
      <c r="T48" s="1" t="s">
        <v>20</v>
      </c>
      <c r="U48" s="5" t="s">
        <v>372</v>
      </c>
      <c r="V48" s="4">
        <v>87</v>
      </c>
      <c r="Z48" s="1" t="s">
        <v>539</v>
      </c>
      <c r="AA48" s="1" t="s">
        <v>73</v>
      </c>
      <c r="AB48" s="1" t="s">
        <v>36</v>
      </c>
      <c r="AC48" s="1" t="s">
        <v>31</v>
      </c>
      <c r="AD48" s="4">
        <v>14</v>
      </c>
      <c r="AE48" s="4">
        <v>12</v>
      </c>
      <c r="AF48" s="1" t="s">
        <v>43</v>
      </c>
      <c r="AG48" s="1" t="s">
        <v>61</v>
      </c>
      <c r="AH48" s="5" t="s">
        <v>387</v>
      </c>
      <c r="AI48" s="4">
        <v>37</v>
      </c>
      <c r="AM48" s="1" t="s">
        <v>721</v>
      </c>
      <c r="AN48" s="1" t="s">
        <v>23</v>
      </c>
      <c r="AO48" s="1" t="s">
        <v>19</v>
      </c>
      <c r="AP48" s="1" t="s">
        <v>31</v>
      </c>
      <c r="AQ48" s="4">
        <v>18</v>
      </c>
      <c r="AR48" s="4">
        <v>10</v>
      </c>
      <c r="AS48" s="1" t="s">
        <v>14</v>
      </c>
      <c r="AT48" s="1" t="s">
        <v>26</v>
      </c>
      <c r="AU48" s="5" t="s">
        <v>722</v>
      </c>
      <c r="AV48" s="4">
        <v>43</v>
      </c>
      <c r="AZ48" s="1" t="s">
        <v>371</v>
      </c>
      <c r="BA48" s="1" t="s">
        <v>35</v>
      </c>
      <c r="BB48" s="1" t="s">
        <v>58</v>
      </c>
      <c r="BC48" s="1" t="s">
        <v>31</v>
      </c>
      <c r="BD48" s="4">
        <v>19</v>
      </c>
      <c r="BE48" s="4">
        <v>9</v>
      </c>
      <c r="BF48" s="1" t="s">
        <v>14</v>
      </c>
      <c r="BG48" s="1" t="s">
        <v>20</v>
      </c>
      <c r="BH48" s="5" t="s">
        <v>372</v>
      </c>
      <c r="BI48" s="4">
        <v>87</v>
      </c>
      <c r="BM48" s="1" t="s">
        <v>539</v>
      </c>
      <c r="BN48" s="1" t="s">
        <v>73</v>
      </c>
      <c r="BO48" s="1" t="s">
        <v>36</v>
      </c>
      <c r="BP48" s="1" t="s">
        <v>31</v>
      </c>
      <c r="BQ48" s="4">
        <v>14</v>
      </c>
      <c r="BR48" s="4">
        <v>12</v>
      </c>
      <c r="BS48" s="1" t="s">
        <v>43</v>
      </c>
      <c r="BT48" s="1" t="s">
        <v>61</v>
      </c>
      <c r="BU48" s="5" t="s">
        <v>387</v>
      </c>
      <c r="BV48" s="4">
        <v>37</v>
      </c>
      <c r="BZ48" s="1" t="s">
        <v>249</v>
      </c>
      <c r="CA48" s="1" t="s">
        <v>68</v>
      </c>
      <c r="CB48" s="1" t="s">
        <v>30</v>
      </c>
      <c r="CC48" s="1" t="s">
        <v>31</v>
      </c>
      <c r="CD48" s="4">
        <v>16</v>
      </c>
      <c r="CE48" s="4">
        <v>11</v>
      </c>
      <c r="CF48" s="1" t="s">
        <v>32</v>
      </c>
      <c r="CG48" s="1" t="s">
        <v>20</v>
      </c>
      <c r="CH48" s="5" t="s">
        <v>250</v>
      </c>
      <c r="CI48" s="4">
        <v>90</v>
      </c>
      <c r="CM48" s="1" t="s">
        <v>314</v>
      </c>
      <c r="CN48" s="1" t="s">
        <v>68</v>
      </c>
      <c r="CO48" s="1" t="s">
        <v>79</v>
      </c>
      <c r="CP48" s="1" t="s">
        <v>13</v>
      </c>
      <c r="CQ48" s="4">
        <v>15</v>
      </c>
      <c r="CR48" s="4">
        <v>11</v>
      </c>
      <c r="CS48" s="1" t="s">
        <v>14</v>
      </c>
      <c r="CT48" s="1" t="s">
        <v>46</v>
      </c>
      <c r="CU48" s="5" t="s">
        <v>315</v>
      </c>
      <c r="CV48" s="4">
        <v>35</v>
      </c>
    </row>
    <row r="49" spans="1:100" x14ac:dyDescent="0.3">
      <c r="A49" s="1" t="s">
        <v>735</v>
      </c>
      <c r="B49" s="1" t="s">
        <v>68</v>
      </c>
      <c r="C49" s="1" t="s">
        <v>24</v>
      </c>
      <c r="D49" s="1" t="s">
        <v>31</v>
      </c>
      <c r="E49" s="4">
        <v>16</v>
      </c>
      <c r="F49" s="4">
        <v>12</v>
      </c>
      <c r="G49" s="1" t="s">
        <v>43</v>
      </c>
      <c r="H49" s="1" t="s">
        <v>26</v>
      </c>
      <c r="I49" s="5" t="s">
        <v>736</v>
      </c>
      <c r="J49" s="4">
        <v>85</v>
      </c>
      <c r="M49" s="1" t="s">
        <v>388</v>
      </c>
      <c r="N49" s="1" t="s">
        <v>73</v>
      </c>
      <c r="O49" s="1" t="s">
        <v>12</v>
      </c>
      <c r="P49" s="1" t="s">
        <v>31</v>
      </c>
      <c r="Q49" s="4">
        <v>19</v>
      </c>
      <c r="R49" s="4">
        <v>11</v>
      </c>
      <c r="S49" s="1" t="s">
        <v>43</v>
      </c>
      <c r="T49" s="1" t="s">
        <v>61</v>
      </c>
      <c r="U49" s="5" t="s">
        <v>214</v>
      </c>
      <c r="V49" s="4">
        <v>88</v>
      </c>
      <c r="Z49" s="1" t="s">
        <v>542</v>
      </c>
      <c r="AA49" s="1" t="s">
        <v>84</v>
      </c>
      <c r="AB49" s="1" t="s">
        <v>55</v>
      </c>
      <c r="AC49" s="1" t="s">
        <v>31</v>
      </c>
      <c r="AD49" s="4">
        <v>18</v>
      </c>
      <c r="AE49" s="4">
        <v>12</v>
      </c>
      <c r="AF49" s="1" t="s">
        <v>32</v>
      </c>
      <c r="AG49" s="1" t="s">
        <v>40</v>
      </c>
      <c r="AH49" s="5" t="s">
        <v>543</v>
      </c>
      <c r="AI49" s="4">
        <v>51</v>
      </c>
      <c r="AM49" s="1" t="s">
        <v>735</v>
      </c>
      <c r="AN49" s="1" t="s">
        <v>68</v>
      </c>
      <c r="AO49" s="1" t="s">
        <v>24</v>
      </c>
      <c r="AP49" s="1" t="s">
        <v>31</v>
      </c>
      <c r="AQ49" s="4">
        <v>16</v>
      </c>
      <c r="AR49" s="4">
        <v>12</v>
      </c>
      <c r="AS49" s="1" t="s">
        <v>43</v>
      </c>
      <c r="AT49" s="1" t="s">
        <v>26</v>
      </c>
      <c r="AU49" s="5" t="s">
        <v>736</v>
      </c>
      <c r="AV49" s="4">
        <v>85</v>
      </c>
      <c r="AZ49" s="1" t="s">
        <v>388</v>
      </c>
      <c r="BA49" s="1" t="s">
        <v>73</v>
      </c>
      <c r="BB49" s="1" t="s">
        <v>12</v>
      </c>
      <c r="BC49" s="1" t="s">
        <v>31</v>
      </c>
      <c r="BD49" s="4">
        <v>19</v>
      </c>
      <c r="BE49" s="4">
        <v>11</v>
      </c>
      <c r="BF49" s="1" t="s">
        <v>43</v>
      </c>
      <c r="BG49" s="1" t="s">
        <v>61</v>
      </c>
      <c r="BH49" s="5" t="s">
        <v>214</v>
      </c>
      <c r="BI49" s="4">
        <v>88</v>
      </c>
      <c r="BM49" s="1" t="s">
        <v>542</v>
      </c>
      <c r="BN49" s="1" t="s">
        <v>84</v>
      </c>
      <c r="BO49" s="1" t="s">
        <v>55</v>
      </c>
      <c r="BP49" s="1" t="s">
        <v>31</v>
      </c>
      <c r="BQ49" s="4">
        <v>18</v>
      </c>
      <c r="BR49" s="4">
        <v>12</v>
      </c>
      <c r="BS49" s="1" t="s">
        <v>32</v>
      </c>
      <c r="BT49" s="1" t="s">
        <v>40</v>
      </c>
      <c r="BU49" s="5" t="s">
        <v>543</v>
      </c>
      <c r="BV49" s="4">
        <v>51</v>
      </c>
      <c r="BZ49" s="1" t="s">
        <v>251</v>
      </c>
      <c r="CA49" s="1" t="s">
        <v>23</v>
      </c>
      <c r="CB49" s="1" t="s">
        <v>24</v>
      </c>
      <c r="CC49" s="1" t="s">
        <v>13</v>
      </c>
      <c r="CD49" s="4">
        <v>16</v>
      </c>
      <c r="CE49" s="4">
        <v>12</v>
      </c>
      <c r="CF49" s="1" t="s">
        <v>43</v>
      </c>
      <c r="CG49" s="1" t="s">
        <v>40</v>
      </c>
      <c r="CH49" s="5" t="s">
        <v>252</v>
      </c>
      <c r="CI49" s="4">
        <v>50</v>
      </c>
      <c r="CM49" s="1" t="s">
        <v>324</v>
      </c>
      <c r="CN49" s="1" t="s">
        <v>23</v>
      </c>
      <c r="CO49" s="1" t="s">
        <v>85</v>
      </c>
      <c r="CP49" s="1" t="s">
        <v>31</v>
      </c>
      <c r="CQ49" s="4">
        <v>16</v>
      </c>
      <c r="CR49" s="4">
        <v>9</v>
      </c>
      <c r="CS49" s="1" t="s">
        <v>32</v>
      </c>
      <c r="CT49" s="1" t="s">
        <v>61</v>
      </c>
      <c r="CU49" s="5" t="s">
        <v>325</v>
      </c>
      <c r="CV49" s="4">
        <v>54</v>
      </c>
    </row>
    <row r="50" spans="1:100" x14ac:dyDescent="0.3">
      <c r="A50" s="1" t="s">
        <v>743</v>
      </c>
      <c r="B50" s="1" t="s">
        <v>84</v>
      </c>
      <c r="C50" s="1" t="s">
        <v>19</v>
      </c>
      <c r="D50" s="1" t="s">
        <v>13</v>
      </c>
      <c r="E50" s="4">
        <v>15</v>
      </c>
      <c r="F50" s="4">
        <v>10</v>
      </c>
      <c r="G50" s="1" t="s">
        <v>43</v>
      </c>
      <c r="H50" s="1" t="s">
        <v>26</v>
      </c>
      <c r="I50" s="5" t="s">
        <v>744</v>
      </c>
      <c r="J50" s="4">
        <v>60</v>
      </c>
      <c r="M50" s="1" t="s">
        <v>393</v>
      </c>
      <c r="N50" s="1" t="s">
        <v>68</v>
      </c>
      <c r="O50" s="1" t="s">
        <v>85</v>
      </c>
      <c r="P50" s="1" t="s">
        <v>13</v>
      </c>
      <c r="Q50" s="4">
        <v>15</v>
      </c>
      <c r="R50" s="4">
        <v>10</v>
      </c>
      <c r="S50" s="1" t="s">
        <v>32</v>
      </c>
      <c r="T50" s="1" t="s">
        <v>37</v>
      </c>
      <c r="U50" s="5" t="s">
        <v>394</v>
      </c>
      <c r="V50" s="4">
        <v>89</v>
      </c>
      <c r="Z50" s="1" t="s">
        <v>562</v>
      </c>
      <c r="AA50" s="1" t="s">
        <v>29</v>
      </c>
      <c r="AB50" s="1" t="s">
        <v>79</v>
      </c>
      <c r="AC50" s="1" t="s">
        <v>31</v>
      </c>
      <c r="AD50" s="4">
        <v>15</v>
      </c>
      <c r="AE50" s="4">
        <v>12</v>
      </c>
      <c r="AF50" s="1" t="s">
        <v>32</v>
      </c>
      <c r="AG50" s="1" t="s">
        <v>46</v>
      </c>
      <c r="AH50" s="5" t="s">
        <v>121</v>
      </c>
      <c r="AI50" s="4">
        <v>53</v>
      </c>
      <c r="AM50" s="1" t="s">
        <v>743</v>
      </c>
      <c r="AN50" s="1" t="s">
        <v>84</v>
      </c>
      <c r="AO50" s="1" t="s">
        <v>19</v>
      </c>
      <c r="AP50" s="1" t="s">
        <v>13</v>
      </c>
      <c r="AQ50" s="4">
        <v>15</v>
      </c>
      <c r="AR50" s="4">
        <v>10</v>
      </c>
      <c r="AS50" s="1" t="s">
        <v>43</v>
      </c>
      <c r="AT50" s="1" t="s">
        <v>26</v>
      </c>
      <c r="AU50" s="5" t="s">
        <v>744</v>
      </c>
      <c r="AV50" s="4">
        <v>60</v>
      </c>
      <c r="AZ50" s="1" t="s">
        <v>393</v>
      </c>
      <c r="BA50" s="1" t="s">
        <v>68</v>
      </c>
      <c r="BB50" s="1" t="s">
        <v>85</v>
      </c>
      <c r="BC50" s="1" t="s">
        <v>13</v>
      </c>
      <c r="BD50" s="4">
        <v>15</v>
      </c>
      <c r="BE50" s="4">
        <v>10</v>
      </c>
      <c r="BF50" s="1" t="s">
        <v>32</v>
      </c>
      <c r="BG50" s="1" t="s">
        <v>37</v>
      </c>
      <c r="BH50" s="5" t="s">
        <v>394</v>
      </c>
      <c r="BI50" s="4">
        <v>89</v>
      </c>
      <c r="BM50" s="1" t="s">
        <v>562</v>
      </c>
      <c r="BN50" s="1" t="s">
        <v>29</v>
      </c>
      <c r="BO50" s="1" t="s">
        <v>79</v>
      </c>
      <c r="BP50" s="1" t="s">
        <v>31</v>
      </c>
      <c r="BQ50" s="4">
        <v>15</v>
      </c>
      <c r="BR50" s="4">
        <v>12</v>
      </c>
      <c r="BS50" s="1" t="s">
        <v>32</v>
      </c>
      <c r="BT50" s="1" t="s">
        <v>46</v>
      </c>
      <c r="BU50" s="5" t="s">
        <v>121</v>
      </c>
      <c r="BV50" s="4">
        <v>53</v>
      </c>
      <c r="BZ50" s="1" t="s">
        <v>268</v>
      </c>
      <c r="CA50" s="1" t="s">
        <v>68</v>
      </c>
      <c r="CB50" s="1" t="s">
        <v>24</v>
      </c>
      <c r="CC50" s="1" t="s">
        <v>31</v>
      </c>
      <c r="CD50" s="4">
        <v>16</v>
      </c>
      <c r="CE50" s="4">
        <v>12</v>
      </c>
      <c r="CF50" s="1" t="s">
        <v>43</v>
      </c>
      <c r="CG50" s="1" t="s">
        <v>26</v>
      </c>
      <c r="CH50" s="5" t="s">
        <v>269</v>
      </c>
      <c r="CI50" s="4">
        <v>47</v>
      </c>
      <c r="CM50" s="1" t="s">
        <v>327</v>
      </c>
      <c r="CN50" s="1" t="s">
        <v>73</v>
      </c>
      <c r="CO50" s="1" t="s">
        <v>96</v>
      </c>
      <c r="CP50" s="1" t="s">
        <v>13</v>
      </c>
      <c r="CQ50" s="4">
        <v>20</v>
      </c>
      <c r="CR50" s="4">
        <v>9</v>
      </c>
      <c r="CS50" s="1" t="s">
        <v>32</v>
      </c>
      <c r="CT50" s="1" t="s">
        <v>61</v>
      </c>
      <c r="CU50" s="5" t="s">
        <v>328</v>
      </c>
      <c r="CV50" s="4">
        <v>40</v>
      </c>
    </row>
    <row r="51" spans="1:100" x14ac:dyDescent="0.3">
      <c r="A51" s="1" t="s">
        <v>747</v>
      </c>
      <c r="B51" s="1" t="s">
        <v>51</v>
      </c>
      <c r="C51" s="1" t="s">
        <v>96</v>
      </c>
      <c r="D51" s="1" t="s">
        <v>13</v>
      </c>
      <c r="E51" s="4">
        <v>17</v>
      </c>
      <c r="F51" s="4">
        <v>12</v>
      </c>
      <c r="G51" s="1" t="s">
        <v>14</v>
      </c>
      <c r="H51" s="1" t="s">
        <v>26</v>
      </c>
      <c r="I51" s="5" t="s">
        <v>748</v>
      </c>
      <c r="J51" s="4">
        <v>67</v>
      </c>
      <c r="M51" s="1" t="s">
        <v>397</v>
      </c>
      <c r="N51" s="1" t="s">
        <v>23</v>
      </c>
      <c r="O51" s="1" t="s">
        <v>12</v>
      </c>
      <c r="P51" s="1" t="s">
        <v>13</v>
      </c>
      <c r="Q51" s="4">
        <v>20</v>
      </c>
      <c r="R51" s="4">
        <v>9</v>
      </c>
      <c r="S51" s="1" t="s">
        <v>25</v>
      </c>
      <c r="T51" s="1" t="s">
        <v>46</v>
      </c>
      <c r="U51" s="5" t="s">
        <v>398</v>
      </c>
      <c r="V51" s="4">
        <v>91</v>
      </c>
      <c r="Z51" s="1" t="s">
        <v>567</v>
      </c>
      <c r="AA51" s="1" t="s">
        <v>54</v>
      </c>
      <c r="AB51" s="1" t="s">
        <v>12</v>
      </c>
      <c r="AC51" s="1" t="s">
        <v>31</v>
      </c>
      <c r="AD51" s="4">
        <v>18</v>
      </c>
      <c r="AE51" s="4">
        <v>12</v>
      </c>
      <c r="AF51" s="1" t="s">
        <v>25</v>
      </c>
      <c r="AG51" s="1" t="s">
        <v>26</v>
      </c>
      <c r="AH51" s="5" t="s">
        <v>568</v>
      </c>
      <c r="AI51" s="4">
        <v>96</v>
      </c>
      <c r="AM51" s="1" t="s">
        <v>747</v>
      </c>
      <c r="AN51" s="1" t="s">
        <v>51</v>
      </c>
      <c r="AO51" s="1" t="s">
        <v>96</v>
      </c>
      <c r="AP51" s="1" t="s">
        <v>13</v>
      </c>
      <c r="AQ51" s="4">
        <v>17</v>
      </c>
      <c r="AR51" s="4">
        <v>12</v>
      </c>
      <c r="AS51" s="1" t="s">
        <v>14</v>
      </c>
      <c r="AT51" s="1" t="s">
        <v>26</v>
      </c>
      <c r="AU51" s="5" t="s">
        <v>748</v>
      </c>
      <c r="AV51" s="4">
        <v>67</v>
      </c>
      <c r="AZ51" s="1" t="s">
        <v>397</v>
      </c>
      <c r="BA51" s="1" t="s">
        <v>23</v>
      </c>
      <c r="BB51" s="1" t="s">
        <v>12</v>
      </c>
      <c r="BC51" s="1" t="s">
        <v>13</v>
      </c>
      <c r="BD51" s="4">
        <v>20</v>
      </c>
      <c r="BE51" s="4">
        <v>9</v>
      </c>
      <c r="BF51" s="1" t="s">
        <v>25</v>
      </c>
      <c r="BG51" s="1" t="s">
        <v>46</v>
      </c>
      <c r="BH51" s="5" t="s">
        <v>398</v>
      </c>
      <c r="BI51" s="4">
        <v>91</v>
      </c>
      <c r="BM51" s="1" t="s">
        <v>567</v>
      </c>
      <c r="BN51" s="1" t="s">
        <v>54</v>
      </c>
      <c r="BO51" s="1" t="s">
        <v>12</v>
      </c>
      <c r="BP51" s="1" t="s">
        <v>31</v>
      </c>
      <c r="BQ51" s="4">
        <v>18</v>
      </c>
      <c r="BR51" s="4">
        <v>12</v>
      </c>
      <c r="BS51" s="1" t="s">
        <v>25</v>
      </c>
      <c r="BT51" s="1" t="s">
        <v>26</v>
      </c>
      <c r="BU51" s="5" t="s">
        <v>568</v>
      </c>
      <c r="BV51" s="4">
        <v>96</v>
      </c>
      <c r="BZ51" s="1" t="s">
        <v>280</v>
      </c>
      <c r="CA51" s="1" t="s">
        <v>84</v>
      </c>
      <c r="CB51" s="1" t="s">
        <v>58</v>
      </c>
      <c r="CC51" s="1" t="s">
        <v>13</v>
      </c>
      <c r="CD51" s="4">
        <v>18</v>
      </c>
      <c r="CE51" s="4">
        <v>12</v>
      </c>
      <c r="CF51" s="1" t="s">
        <v>32</v>
      </c>
      <c r="CG51" s="1" t="s">
        <v>76</v>
      </c>
      <c r="CH51" s="5" t="s">
        <v>159</v>
      </c>
      <c r="CI51" s="4">
        <v>98</v>
      </c>
      <c r="CM51" s="1" t="s">
        <v>329</v>
      </c>
      <c r="CN51" s="1" t="s">
        <v>11</v>
      </c>
      <c r="CO51" s="1" t="s">
        <v>24</v>
      </c>
      <c r="CP51" s="1" t="s">
        <v>31</v>
      </c>
      <c r="CQ51" s="4">
        <v>15</v>
      </c>
      <c r="CR51" s="4">
        <v>9</v>
      </c>
      <c r="CS51" s="1" t="s">
        <v>43</v>
      </c>
      <c r="CT51" s="1" t="s">
        <v>61</v>
      </c>
      <c r="CU51" s="5" t="s">
        <v>330</v>
      </c>
      <c r="CV51" s="4">
        <v>83</v>
      </c>
    </row>
    <row r="52" spans="1:100" x14ac:dyDescent="0.3">
      <c r="A52" s="1" t="s">
        <v>817</v>
      </c>
      <c r="B52" s="1" t="s">
        <v>51</v>
      </c>
      <c r="C52" s="1" t="s">
        <v>55</v>
      </c>
      <c r="D52" s="1" t="s">
        <v>31</v>
      </c>
      <c r="E52" s="4">
        <v>19</v>
      </c>
      <c r="F52" s="4">
        <v>11</v>
      </c>
      <c r="G52" s="1" t="s">
        <v>14</v>
      </c>
      <c r="H52" s="1" t="s">
        <v>26</v>
      </c>
      <c r="I52" s="5" t="s">
        <v>818</v>
      </c>
      <c r="J52" s="4">
        <v>56</v>
      </c>
      <c r="M52" s="1" t="s">
        <v>401</v>
      </c>
      <c r="N52" s="1" t="s">
        <v>11</v>
      </c>
      <c r="O52" s="1" t="s">
        <v>79</v>
      </c>
      <c r="P52" s="1" t="s">
        <v>31</v>
      </c>
      <c r="Q52" s="4">
        <v>15</v>
      </c>
      <c r="R52" s="4">
        <v>11</v>
      </c>
      <c r="S52" s="1" t="s">
        <v>43</v>
      </c>
      <c r="T52" s="1" t="s">
        <v>40</v>
      </c>
      <c r="U52" s="5" t="s">
        <v>402</v>
      </c>
      <c r="V52" s="4">
        <v>84</v>
      </c>
      <c r="Z52" s="1" t="s">
        <v>604</v>
      </c>
      <c r="AA52" s="1" t="s">
        <v>51</v>
      </c>
      <c r="AB52" s="1" t="s">
        <v>85</v>
      </c>
      <c r="AC52" s="1" t="s">
        <v>31</v>
      </c>
      <c r="AD52" s="4">
        <v>20</v>
      </c>
      <c r="AE52" s="4">
        <v>12</v>
      </c>
      <c r="AF52" s="1" t="s">
        <v>25</v>
      </c>
      <c r="AG52" s="1" t="s">
        <v>26</v>
      </c>
      <c r="AH52" s="5" t="s">
        <v>299</v>
      </c>
      <c r="AI52" s="4">
        <v>69</v>
      </c>
      <c r="AM52" s="1" t="s">
        <v>817</v>
      </c>
      <c r="AN52" s="1" t="s">
        <v>51</v>
      </c>
      <c r="AO52" s="1" t="s">
        <v>55</v>
      </c>
      <c r="AP52" s="1" t="s">
        <v>31</v>
      </c>
      <c r="AQ52" s="4">
        <v>19</v>
      </c>
      <c r="AR52" s="4">
        <v>11</v>
      </c>
      <c r="AS52" s="1" t="s">
        <v>14</v>
      </c>
      <c r="AT52" s="1" t="s">
        <v>26</v>
      </c>
      <c r="AU52" s="5" t="s">
        <v>818</v>
      </c>
      <c r="AV52" s="4">
        <v>56</v>
      </c>
      <c r="AZ52" s="1" t="s">
        <v>401</v>
      </c>
      <c r="BA52" s="1" t="s">
        <v>11</v>
      </c>
      <c r="BB52" s="1" t="s">
        <v>79</v>
      </c>
      <c r="BC52" s="1" t="s">
        <v>31</v>
      </c>
      <c r="BD52" s="4">
        <v>15</v>
      </c>
      <c r="BE52" s="4">
        <v>11</v>
      </c>
      <c r="BF52" s="1" t="s">
        <v>43</v>
      </c>
      <c r="BG52" s="1" t="s">
        <v>40</v>
      </c>
      <c r="BH52" s="5" t="s">
        <v>402</v>
      </c>
      <c r="BI52" s="4">
        <v>84</v>
      </c>
      <c r="BM52" s="1" t="s">
        <v>604</v>
      </c>
      <c r="BN52" s="1" t="s">
        <v>51</v>
      </c>
      <c r="BO52" s="1" t="s">
        <v>85</v>
      </c>
      <c r="BP52" s="1" t="s">
        <v>31</v>
      </c>
      <c r="BQ52" s="4">
        <v>20</v>
      </c>
      <c r="BR52" s="4">
        <v>12</v>
      </c>
      <c r="BS52" s="1" t="s">
        <v>25</v>
      </c>
      <c r="BT52" s="1" t="s">
        <v>26</v>
      </c>
      <c r="BU52" s="5" t="s">
        <v>299</v>
      </c>
      <c r="BV52" s="4">
        <v>69</v>
      </c>
      <c r="BZ52" s="1" t="s">
        <v>283</v>
      </c>
      <c r="CA52" s="1" t="s">
        <v>68</v>
      </c>
      <c r="CB52" s="1" t="s">
        <v>79</v>
      </c>
      <c r="CC52" s="1" t="s">
        <v>31</v>
      </c>
      <c r="CD52" s="4">
        <v>16</v>
      </c>
      <c r="CE52" s="4">
        <v>11</v>
      </c>
      <c r="CF52" s="1" t="s">
        <v>32</v>
      </c>
      <c r="CG52" s="1" t="s">
        <v>40</v>
      </c>
      <c r="CH52" s="5" t="s">
        <v>284</v>
      </c>
      <c r="CI52" s="4">
        <v>95</v>
      </c>
      <c r="CM52" s="1" t="s">
        <v>336</v>
      </c>
      <c r="CN52" s="1" t="s">
        <v>11</v>
      </c>
      <c r="CO52" s="1" t="s">
        <v>58</v>
      </c>
      <c r="CP52" s="1" t="s">
        <v>31</v>
      </c>
      <c r="CQ52" s="4">
        <v>19</v>
      </c>
      <c r="CR52" s="4">
        <v>12</v>
      </c>
      <c r="CS52" s="1" t="s">
        <v>25</v>
      </c>
      <c r="CT52" s="1" t="s">
        <v>61</v>
      </c>
      <c r="CU52" s="5" t="s">
        <v>218</v>
      </c>
      <c r="CV52" s="4">
        <v>68</v>
      </c>
    </row>
    <row r="53" spans="1:100" x14ac:dyDescent="0.3">
      <c r="A53" s="1" t="s">
        <v>821</v>
      </c>
      <c r="B53" s="1" t="s">
        <v>18</v>
      </c>
      <c r="C53" s="1" t="s">
        <v>79</v>
      </c>
      <c r="D53" s="1" t="s">
        <v>13</v>
      </c>
      <c r="E53" s="4">
        <v>20</v>
      </c>
      <c r="F53" s="4">
        <v>12</v>
      </c>
      <c r="G53" s="1" t="s">
        <v>32</v>
      </c>
      <c r="H53" s="1" t="s">
        <v>26</v>
      </c>
      <c r="I53" s="5" t="s">
        <v>822</v>
      </c>
      <c r="J53" s="4">
        <v>52</v>
      </c>
      <c r="M53" s="1" t="s">
        <v>407</v>
      </c>
      <c r="N53" s="1" t="s">
        <v>29</v>
      </c>
      <c r="O53" s="1" t="s">
        <v>12</v>
      </c>
      <c r="P53" s="1" t="s">
        <v>31</v>
      </c>
      <c r="Q53" s="4">
        <v>16</v>
      </c>
      <c r="R53" s="4">
        <v>10</v>
      </c>
      <c r="S53" s="1" t="s">
        <v>14</v>
      </c>
      <c r="T53" s="1" t="s">
        <v>40</v>
      </c>
      <c r="U53" s="5" t="s">
        <v>71</v>
      </c>
      <c r="V53" s="4">
        <v>100</v>
      </c>
      <c r="Z53" s="1" t="s">
        <v>611</v>
      </c>
      <c r="AA53" s="1" t="s">
        <v>18</v>
      </c>
      <c r="AB53" s="1" t="s">
        <v>24</v>
      </c>
      <c r="AC53" s="1" t="s">
        <v>31</v>
      </c>
      <c r="AD53" s="4">
        <v>19</v>
      </c>
      <c r="AE53" s="4">
        <v>12</v>
      </c>
      <c r="AF53" s="1" t="s">
        <v>43</v>
      </c>
      <c r="AG53" s="1" t="s">
        <v>26</v>
      </c>
      <c r="AH53" s="5" t="s">
        <v>612</v>
      </c>
      <c r="AI53" s="4">
        <v>82</v>
      </c>
      <c r="AM53" s="1" t="s">
        <v>821</v>
      </c>
      <c r="AN53" s="1" t="s">
        <v>18</v>
      </c>
      <c r="AO53" s="1" t="s">
        <v>79</v>
      </c>
      <c r="AP53" s="1" t="s">
        <v>13</v>
      </c>
      <c r="AQ53" s="4">
        <v>20</v>
      </c>
      <c r="AR53" s="4">
        <v>12</v>
      </c>
      <c r="AS53" s="1" t="s">
        <v>32</v>
      </c>
      <c r="AT53" s="1" t="s">
        <v>26</v>
      </c>
      <c r="AU53" s="5" t="s">
        <v>822</v>
      </c>
      <c r="AV53" s="4">
        <v>52</v>
      </c>
      <c r="AZ53" s="1" t="s">
        <v>407</v>
      </c>
      <c r="BA53" s="1" t="s">
        <v>29</v>
      </c>
      <c r="BB53" s="1" t="s">
        <v>12</v>
      </c>
      <c r="BC53" s="1" t="s">
        <v>31</v>
      </c>
      <c r="BD53" s="4">
        <v>16</v>
      </c>
      <c r="BE53" s="4">
        <v>10</v>
      </c>
      <c r="BF53" s="1" t="s">
        <v>14</v>
      </c>
      <c r="BG53" s="1" t="s">
        <v>40</v>
      </c>
      <c r="BH53" s="5" t="s">
        <v>71</v>
      </c>
      <c r="BI53" s="4">
        <v>100</v>
      </c>
      <c r="BM53" s="1" t="s">
        <v>611</v>
      </c>
      <c r="BN53" s="1" t="s">
        <v>18</v>
      </c>
      <c r="BO53" s="1" t="s">
        <v>24</v>
      </c>
      <c r="BP53" s="1" t="s">
        <v>31</v>
      </c>
      <c r="BQ53" s="4">
        <v>19</v>
      </c>
      <c r="BR53" s="4">
        <v>12</v>
      </c>
      <c r="BS53" s="1" t="s">
        <v>43</v>
      </c>
      <c r="BT53" s="1" t="s">
        <v>26</v>
      </c>
      <c r="BU53" s="5" t="s">
        <v>612</v>
      </c>
      <c r="BV53" s="4">
        <v>82</v>
      </c>
      <c r="BZ53" s="1" t="s">
        <v>289</v>
      </c>
      <c r="CA53" s="1" t="s">
        <v>23</v>
      </c>
      <c r="CB53" s="1" t="s">
        <v>79</v>
      </c>
      <c r="CC53" s="1" t="s">
        <v>31</v>
      </c>
      <c r="CD53" s="4">
        <v>17</v>
      </c>
      <c r="CE53" s="4">
        <v>9</v>
      </c>
      <c r="CF53" s="1" t="s">
        <v>25</v>
      </c>
      <c r="CG53" s="1" t="s">
        <v>37</v>
      </c>
      <c r="CH53" s="5" t="s">
        <v>290</v>
      </c>
      <c r="CI53" s="4">
        <v>62</v>
      </c>
      <c r="CM53" s="1" t="s">
        <v>337</v>
      </c>
      <c r="CN53" s="1" t="s">
        <v>23</v>
      </c>
      <c r="CO53" s="1" t="s">
        <v>30</v>
      </c>
      <c r="CP53" s="1" t="s">
        <v>31</v>
      </c>
      <c r="CQ53" s="4">
        <v>19</v>
      </c>
      <c r="CR53" s="4">
        <v>9</v>
      </c>
      <c r="CS53" s="1" t="s">
        <v>32</v>
      </c>
      <c r="CT53" s="1" t="s">
        <v>61</v>
      </c>
      <c r="CU53" s="5" t="s">
        <v>338</v>
      </c>
      <c r="CV53" s="4">
        <v>51</v>
      </c>
    </row>
    <row r="54" spans="1:100" x14ac:dyDescent="0.3">
      <c r="A54" s="1" t="s">
        <v>850</v>
      </c>
      <c r="B54" s="1" t="s">
        <v>51</v>
      </c>
      <c r="C54" s="1" t="s">
        <v>96</v>
      </c>
      <c r="D54" s="1" t="s">
        <v>13</v>
      </c>
      <c r="E54" s="4">
        <v>14</v>
      </c>
      <c r="F54" s="4">
        <v>9</v>
      </c>
      <c r="G54" s="1" t="s">
        <v>25</v>
      </c>
      <c r="H54" s="1" t="s">
        <v>26</v>
      </c>
      <c r="I54" s="5" t="s">
        <v>851</v>
      </c>
      <c r="J54" s="4">
        <v>90</v>
      </c>
      <c r="M54" s="1" t="s">
        <v>412</v>
      </c>
      <c r="N54" s="1" t="s">
        <v>73</v>
      </c>
      <c r="O54" s="1" t="s">
        <v>55</v>
      </c>
      <c r="P54" s="1" t="s">
        <v>13</v>
      </c>
      <c r="Q54" s="4">
        <v>16</v>
      </c>
      <c r="R54" s="4">
        <v>12</v>
      </c>
      <c r="S54" s="1" t="s">
        <v>32</v>
      </c>
      <c r="T54" s="1" t="s">
        <v>46</v>
      </c>
      <c r="U54" s="5" t="s">
        <v>413</v>
      </c>
      <c r="V54" s="4">
        <v>85</v>
      </c>
      <c r="Z54" s="1" t="s">
        <v>620</v>
      </c>
      <c r="AA54" s="1" t="s">
        <v>84</v>
      </c>
      <c r="AB54" s="1" t="s">
        <v>24</v>
      </c>
      <c r="AC54" s="1" t="s">
        <v>31</v>
      </c>
      <c r="AD54" s="4">
        <v>19</v>
      </c>
      <c r="AE54" s="4">
        <v>12</v>
      </c>
      <c r="AF54" s="1" t="s">
        <v>14</v>
      </c>
      <c r="AG54" s="1" t="s">
        <v>61</v>
      </c>
      <c r="AH54" s="5" t="s">
        <v>621</v>
      </c>
      <c r="AI54" s="4">
        <v>77</v>
      </c>
      <c r="AM54" s="1" t="s">
        <v>850</v>
      </c>
      <c r="AN54" s="1" t="s">
        <v>51</v>
      </c>
      <c r="AO54" s="1" t="s">
        <v>96</v>
      </c>
      <c r="AP54" s="1" t="s">
        <v>13</v>
      </c>
      <c r="AQ54" s="4">
        <v>14</v>
      </c>
      <c r="AR54" s="4">
        <v>9</v>
      </c>
      <c r="AS54" s="1" t="s">
        <v>25</v>
      </c>
      <c r="AT54" s="1" t="s">
        <v>26</v>
      </c>
      <c r="AU54" s="5" t="s">
        <v>851</v>
      </c>
      <c r="AV54" s="4">
        <v>90</v>
      </c>
      <c r="AZ54" s="1" t="s">
        <v>412</v>
      </c>
      <c r="BA54" s="1" t="s">
        <v>73</v>
      </c>
      <c r="BB54" s="1" t="s">
        <v>55</v>
      </c>
      <c r="BC54" s="1" t="s">
        <v>13</v>
      </c>
      <c r="BD54" s="4">
        <v>16</v>
      </c>
      <c r="BE54" s="4">
        <v>12</v>
      </c>
      <c r="BF54" s="1" t="s">
        <v>32</v>
      </c>
      <c r="BG54" s="1" t="s">
        <v>46</v>
      </c>
      <c r="BH54" s="5" t="s">
        <v>413</v>
      </c>
      <c r="BI54" s="4">
        <v>85</v>
      </c>
      <c r="BM54" s="1" t="s">
        <v>620</v>
      </c>
      <c r="BN54" s="1" t="s">
        <v>84</v>
      </c>
      <c r="BO54" s="1" t="s">
        <v>24</v>
      </c>
      <c r="BP54" s="1" t="s">
        <v>31</v>
      </c>
      <c r="BQ54" s="4">
        <v>19</v>
      </c>
      <c r="BR54" s="4">
        <v>12</v>
      </c>
      <c r="BS54" s="1" t="s">
        <v>14</v>
      </c>
      <c r="BT54" s="1" t="s">
        <v>61</v>
      </c>
      <c r="BU54" s="5" t="s">
        <v>621</v>
      </c>
      <c r="BV54" s="4">
        <v>77</v>
      </c>
      <c r="BZ54" s="1" t="s">
        <v>291</v>
      </c>
      <c r="CA54" s="1" t="s">
        <v>11</v>
      </c>
      <c r="CB54" s="1" t="s">
        <v>30</v>
      </c>
      <c r="CC54" s="1" t="s">
        <v>31</v>
      </c>
      <c r="CD54" s="4">
        <v>16</v>
      </c>
      <c r="CE54" s="4">
        <v>9</v>
      </c>
      <c r="CF54" s="1" t="s">
        <v>25</v>
      </c>
      <c r="CG54" s="1" t="s">
        <v>61</v>
      </c>
      <c r="CH54" s="5" t="s">
        <v>292</v>
      </c>
      <c r="CI54" s="4">
        <v>97</v>
      </c>
      <c r="CM54" s="1" t="s">
        <v>353</v>
      </c>
      <c r="CN54" s="1" t="s">
        <v>51</v>
      </c>
      <c r="CO54" s="1" t="s">
        <v>55</v>
      </c>
      <c r="CP54" s="1" t="s">
        <v>31</v>
      </c>
      <c r="CQ54" s="4">
        <v>20</v>
      </c>
      <c r="CR54" s="4">
        <v>9</v>
      </c>
      <c r="CS54" s="1" t="s">
        <v>25</v>
      </c>
      <c r="CT54" s="1" t="s">
        <v>46</v>
      </c>
      <c r="CU54" s="5" t="s">
        <v>354</v>
      </c>
      <c r="CV54" s="4">
        <v>53</v>
      </c>
    </row>
    <row r="55" spans="1:100" x14ac:dyDescent="0.3">
      <c r="A55" s="1" t="s">
        <v>858</v>
      </c>
      <c r="B55" s="1" t="s">
        <v>35</v>
      </c>
      <c r="C55" s="1" t="s">
        <v>12</v>
      </c>
      <c r="D55" s="1" t="s">
        <v>31</v>
      </c>
      <c r="E55" s="4">
        <v>19</v>
      </c>
      <c r="F55" s="4">
        <v>9</v>
      </c>
      <c r="G55" s="1" t="s">
        <v>43</v>
      </c>
      <c r="H55" s="1" t="s">
        <v>26</v>
      </c>
      <c r="I55" s="5" t="s">
        <v>859</v>
      </c>
      <c r="J55" s="4">
        <v>88</v>
      </c>
      <c r="M55" s="1" t="s">
        <v>422</v>
      </c>
      <c r="N55" s="1" t="s">
        <v>73</v>
      </c>
      <c r="O55" s="1" t="s">
        <v>96</v>
      </c>
      <c r="P55" s="1" t="s">
        <v>13</v>
      </c>
      <c r="Q55" s="4">
        <v>14</v>
      </c>
      <c r="R55" s="4">
        <v>10</v>
      </c>
      <c r="S55" s="1" t="s">
        <v>25</v>
      </c>
      <c r="T55" s="1" t="s">
        <v>15</v>
      </c>
      <c r="U55" s="5" t="s">
        <v>423</v>
      </c>
      <c r="V55" s="4">
        <v>99</v>
      </c>
      <c r="Z55" s="1" t="s">
        <v>622</v>
      </c>
      <c r="AA55" s="1" t="s">
        <v>23</v>
      </c>
      <c r="AB55" s="1" t="s">
        <v>96</v>
      </c>
      <c r="AC55" s="1" t="s">
        <v>31</v>
      </c>
      <c r="AD55" s="4">
        <v>17</v>
      </c>
      <c r="AE55" s="4">
        <v>12</v>
      </c>
      <c r="AF55" s="1" t="s">
        <v>43</v>
      </c>
      <c r="AG55" s="1" t="s">
        <v>46</v>
      </c>
      <c r="AH55" s="5" t="s">
        <v>170</v>
      </c>
      <c r="AI55" s="4">
        <v>62</v>
      </c>
      <c r="AM55" s="1" t="s">
        <v>858</v>
      </c>
      <c r="AN55" s="1" t="s">
        <v>35</v>
      </c>
      <c r="AO55" s="1" t="s">
        <v>12</v>
      </c>
      <c r="AP55" s="1" t="s">
        <v>31</v>
      </c>
      <c r="AQ55" s="4">
        <v>19</v>
      </c>
      <c r="AR55" s="4">
        <v>9</v>
      </c>
      <c r="AS55" s="1" t="s">
        <v>43</v>
      </c>
      <c r="AT55" s="1" t="s">
        <v>26</v>
      </c>
      <c r="AU55" s="5" t="s">
        <v>859</v>
      </c>
      <c r="AV55" s="4">
        <v>88</v>
      </c>
      <c r="AZ55" s="1" t="s">
        <v>422</v>
      </c>
      <c r="BA55" s="1" t="s">
        <v>73</v>
      </c>
      <c r="BB55" s="1" t="s">
        <v>96</v>
      </c>
      <c r="BC55" s="1" t="s">
        <v>13</v>
      </c>
      <c r="BD55" s="4">
        <v>14</v>
      </c>
      <c r="BE55" s="4">
        <v>10</v>
      </c>
      <c r="BF55" s="1" t="s">
        <v>25</v>
      </c>
      <c r="BG55" s="1" t="s">
        <v>15</v>
      </c>
      <c r="BH55" s="5" t="s">
        <v>423</v>
      </c>
      <c r="BI55" s="4">
        <v>99</v>
      </c>
      <c r="BM55" s="1" t="s">
        <v>622</v>
      </c>
      <c r="BN55" s="1" t="s">
        <v>23</v>
      </c>
      <c r="BO55" s="1" t="s">
        <v>96</v>
      </c>
      <c r="BP55" s="1" t="s">
        <v>31</v>
      </c>
      <c r="BQ55" s="4">
        <v>17</v>
      </c>
      <c r="BR55" s="4">
        <v>12</v>
      </c>
      <c r="BS55" s="1" t="s">
        <v>43</v>
      </c>
      <c r="BT55" s="1" t="s">
        <v>46</v>
      </c>
      <c r="BU55" s="5" t="s">
        <v>170</v>
      </c>
      <c r="BV55" s="4">
        <v>62</v>
      </c>
      <c r="BZ55" s="1" t="s">
        <v>300</v>
      </c>
      <c r="CA55" s="1" t="s">
        <v>11</v>
      </c>
      <c r="CB55" s="1" t="s">
        <v>79</v>
      </c>
      <c r="CC55" s="1" t="s">
        <v>31</v>
      </c>
      <c r="CD55" s="4">
        <v>18</v>
      </c>
      <c r="CE55" s="4">
        <v>9</v>
      </c>
      <c r="CF55" s="1" t="s">
        <v>14</v>
      </c>
      <c r="CG55" s="1" t="s">
        <v>20</v>
      </c>
      <c r="CH55" s="5" t="s">
        <v>301</v>
      </c>
      <c r="CI55" s="4">
        <v>66</v>
      </c>
      <c r="CM55" s="1" t="s">
        <v>369</v>
      </c>
      <c r="CN55" s="1" t="s">
        <v>23</v>
      </c>
      <c r="CO55" s="1" t="s">
        <v>24</v>
      </c>
      <c r="CP55" s="1" t="s">
        <v>31</v>
      </c>
      <c r="CQ55" s="4">
        <v>17</v>
      </c>
      <c r="CR55" s="4">
        <v>12</v>
      </c>
      <c r="CS55" s="1" t="s">
        <v>43</v>
      </c>
      <c r="CT55" s="1" t="s">
        <v>61</v>
      </c>
      <c r="CU55" s="5" t="s">
        <v>370</v>
      </c>
      <c r="CV55" s="4">
        <v>96</v>
      </c>
    </row>
    <row r="56" spans="1:100" x14ac:dyDescent="0.3">
      <c r="A56" s="1" t="s">
        <v>869</v>
      </c>
      <c r="B56" s="1" t="s">
        <v>73</v>
      </c>
      <c r="C56" s="1" t="s">
        <v>96</v>
      </c>
      <c r="D56" s="1" t="s">
        <v>31</v>
      </c>
      <c r="E56" s="4">
        <v>17</v>
      </c>
      <c r="F56" s="4">
        <v>9</v>
      </c>
      <c r="G56" s="1" t="s">
        <v>43</v>
      </c>
      <c r="H56" s="1" t="s">
        <v>26</v>
      </c>
      <c r="I56" s="5" t="s">
        <v>870</v>
      </c>
      <c r="J56" s="4">
        <v>53</v>
      </c>
      <c r="M56" s="1" t="s">
        <v>424</v>
      </c>
      <c r="N56" s="1" t="s">
        <v>29</v>
      </c>
      <c r="O56" s="1" t="s">
        <v>36</v>
      </c>
      <c r="P56" s="1" t="s">
        <v>31</v>
      </c>
      <c r="Q56" s="4">
        <v>16</v>
      </c>
      <c r="R56" s="4">
        <v>12</v>
      </c>
      <c r="S56" s="1" t="s">
        <v>32</v>
      </c>
      <c r="T56" s="1" t="s">
        <v>37</v>
      </c>
      <c r="U56" s="5" t="s">
        <v>180</v>
      </c>
      <c r="V56" s="4">
        <v>89</v>
      </c>
      <c r="Z56" s="1" t="s">
        <v>625</v>
      </c>
      <c r="AA56" s="1" t="s">
        <v>68</v>
      </c>
      <c r="AB56" s="1" t="s">
        <v>96</v>
      </c>
      <c r="AC56" s="1" t="s">
        <v>31</v>
      </c>
      <c r="AD56" s="4">
        <v>19</v>
      </c>
      <c r="AE56" s="4">
        <v>12</v>
      </c>
      <c r="AF56" s="1" t="s">
        <v>32</v>
      </c>
      <c r="AG56" s="1" t="s">
        <v>15</v>
      </c>
      <c r="AH56" s="5" t="s">
        <v>626</v>
      </c>
      <c r="AI56" s="4">
        <v>86</v>
      </c>
      <c r="AM56" s="1" t="s">
        <v>869</v>
      </c>
      <c r="AN56" s="1" t="s">
        <v>73</v>
      </c>
      <c r="AO56" s="1" t="s">
        <v>96</v>
      </c>
      <c r="AP56" s="1" t="s">
        <v>31</v>
      </c>
      <c r="AQ56" s="4">
        <v>17</v>
      </c>
      <c r="AR56" s="4">
        <v>9</v>
      </c>
      <c r="AS56" s="1" t="s">
        <v>43</v>
      </c>
      <c r="AT56" s="1" t="s">
        <v>26</v>
      </c>
      <c r="AU56" s="5" t="s">
        <v>870</v>
      </c>
      <c r="AV56" s="4">
        <v>53</v>
      </c>
      <c r="AZ56" s="1" t="s">
        <v>424</v>
      </c>
      <c r="BA56" s="1" t="s">
        <v>29</v>
      </c>
      <c r="BB56" s="1" t="s">
        <v>36</v>
      </c>
      <c r="BC56" s="1" t="s">
        <v>31</v>
      </c>
      <c r="BD56" s="4">
        <v>16</v>
      </c>
      <c r="BE56" s="4">
        <v>12</v>
      </c>
      <c r="BF56" s="1" t="s">
        <v>32</v>
      </c>
      <c r="BG56" s="1" t="s">
        <v>37</v>
      </c>
      <c r="BH56" s="5" t="s">
        <v>180</v>
      </c>
      <c r="BI56" s="4">
        <v>89</v>
      </c>
      <c r="BM56" s="1" t="s">
        <v>625</v>
      </c>
      <c r="BN56" s="1" t="s">
        <v>68</v>
      </c>
      <c r="BO56" s="1" t="s">
        <v>96</v>
      </c>
      <c r="BP56" s="1" t="s">
        <v>31</v>
      </c>
      <c r="BQ56" s="4">
        <v>19</v>
      </c>
      <c r="BR56" s="4">
        <v>12</v>
      </c>
      <c r="BS56" s="1" t="s">
        <v>32</v>
      </c>
      <c r="BT56" s="1" t="s">
        <v>15</v>
      </c>
      <c r="BU56" s="5" t="s">
        <v>626</v>
      </c>
      <c r="BV56" s="4">
        <v>86</v>
      </c>
      <c r="BZ56" s="1" t="s">
        <v>306</v>
      </c>
      <c r="CA56" s="1" t="s">
        <v>23</v>
      </c>
      <c r="CB56" s="1" t="s">
        <v>19</v>
      </c>
      <c r="CC56" s="1" t="s">
        <v>31</v>
      </c>
      <c r="CD56" s="4">
        <v>16</v>
      </c>
      <c r="CE56" s="4">
        <v>10</v>
      </c>
      <c r="CF56" s="1" t="s">
        <v>43</v>
      </c>
      <c r="CG56" s="1" t="s">
        <v>61</v>
      </c>
      <c r="CH56" s="5" t="s">
        <v>307</v>
      </c>
      <c r="CI56" s="4">
        <v>47</v>
      </c>
      <c r="CM56" s="1" t="s">
        <v>373</v>
      </c>
      <c r="CN56" s="1" t="s">
        <v>51</v>
      </c>
      <c r="CO56" s="1" t="s">
        <v>19</v>
      </c>
      <c r="CP56" s="1" t="s">
        <v>13</v>
      </c>
      <c r="CQ56" s="4">
        <v>15</v>
      </c>
      <c r="CR56" s="4">
        <v>11</v>
      </c>
      <c r="CS56" s="1" t="s">
        <v>14</v>
      </c>
      <c r="CT56" s="1" t="s">
        <v>61</v>
      </c>
      <c r="CU56" s="5" t="s">
        <v>374</v>
      </c>
      <c r="CV56" s="4">
        <v>78</v>
      </c>
    </row>
    <row r="57" spans="1:100" x14ac:dyDescent="0.3">
      <c r="A57" s="1" t="s">
        <v>876</v>
      </c>
      <c r="B57" s="1" t="s">
        <v>18</v>
      </c>
      <c r="C57" s="1" t="s">
        <v>24</v>
      </c>
      <c r="D57" s="1" t="s">
        <v>31</v>
      </c>
      <c r="E57" s="4">
        <v>16</v>
      </c>
      <c r="F57" s="4">
        <v>9</v>
      </c>
      <c r="G57" s="1" t="s">
        <v>43</v>
      </c>
      <c r="H57" s="1" t="s">
        <v>26</v>
      </c>
      <c r="I57" s="5" t="s">
        <v>515</v>
      </c>
      <c r="J57" s="4">
        <v>48</v>
      </c>
      <c r="M57" s="1" t="s">
        <v>426</v>
      </c>
      <c r="N57" s="1" t="s">
        <v>54</v>
      </c>
      <c r="O57" s="1" t="s">
        <v>96</v>
      </c>
      <c r="P57" s="1" t="s">
        <v>31</v>
      </c>
      <c r="Q57" s="4">
        <v>16</v>
      </c>
      <c r="R57" s="4">
        <v>12</v>
      </c>
      <c r="S57" s="1" t="s">
        <v>25</v>
      </c>
      <c r="T57" s="1" t="s">
        <v>20</v>
      </c>
      <c r="U57" s="5" t="s">
        <v>427</v>
      </c>
      <c r="V57" s="4">
        <v>82</v>
      </c>
      <c r="Z57" s="1" t="s">
        <v>638</v>
      </c>
      <c r="AA57" s="1" t="s">
        <v>54</v>
      </c>
      <c r="AB57" s="1" t="s">
        <v>12</v>
      </c>
      <c r="AC57" s="1" t="s">
        <v>31</v>
      </c>
      <c r="AD57" s="4">
        <v>15</v>
      </c>
      <c r="AE57" s="4">
        <v>12</v>
      </c>
      <c r="AF57" s="1" t="s">
        <v>43</v>
      </c>
      <c r="AG57" s="1" t="s">
        <v>76</v>
      </c>
      <c r="AH57" s="5" t="s">
        <v>639</v>
      </c>
      <c r="AI57" s="4">
        <v>51</v>
      </c>
      <c r="AM57" s="1" t="s">
        <v>876</v>
      </c>
      <c r="AN57" s="1" t="s">
        <v>18</v>
      </c>
      <c r="AO57" s="1" t="s">
        <v>24</v>
      </c>
      <c r="AP57" s="1" t="s">
        <v>31</v>
      </c>
      <c r="AQ57" s="4">
        <v>16</v>
      </c>
      <c r="AR57" s="4">
        <v>9</v>
      </c>
      <c r="AS57" s="1" t="s">
        <v>43</v>
      </c>
      <c r="AT57" s="1" t="s">
        <v>26</v>
      </c>
      <c r="AU57" s="5" t="s">
        <v>515</v>
      </c>
      <c r="AV57" s="4">
        <v>48</v>
      </c>
      <c r="AZ57" s="1" t="s">
        <v>426</v>
      </c>
      <c r="BA57" s="1" t="s">
        <v>54</v>
      </c>
      <c r="BB57" s="1" t="s">
        <v>96</v>
      </c>
      <c r="BC57" s="1" t="s">
        <v>31</v>
      </c>
      <c r="BD57" s="4">
        <v>16</v>
      </c>
      <c r="BE57" s="4">
        <v>12</v>
      </c>
      <c r="BF57" s="1" t="s">
        <v>25</v>
      </c>
      <c r="BG57" s="1" t="s">
        <v>20</v>
      </c>
      <c r="BH57" s="5" t="s">
        <v>427</v>
      </c>
      <c r="BI57" s="4">
        <v>82</v>
      </c>
      <c r="BM57" s="1" t="s">
        <v>638</v>
      </c>
      <c r="BN57" s="1" t="s">
        <v>54</v>
      </c>
      <c r="BO57" s="1" t="s">
        <v>12</v>
      </c>
      <c r="BP57" s="1" t="s">
        <v>31</v>
      </c>
      <c r="BQ57" s="4">
        <v>15</v>
      </c>
      <c r="BR57" s="4">
        <v>12</v>
      </c>
      <c r="BS57" s="1" t="s">
        <v>43</v>
      </c>
      <c r="BT57" s="1" t="s">
        <v>76</v>
      </c>
      <c r="BU57" s="5" t="s">
        <v>639</v>
      </c>
      <c r="BV57" s="4">
        <v>51</v>
      </c>
      <c r="BZ57" s="1" t="s">
        <v>308</v>
      </c>
      <c r="CA57" s="1" t="s">
        <v>23</v>
      </c>
      <c r="CB57" s="1" t="s">
        <v>36</v>
      </c>
      <c r="CC57" s="1" t="s">
        <v>13</v>
      </c>
      <c r="CD57" s="4">
        <v>18</v>
      </c>
      <c r="CE57" s="4">
        <v>10</v>
      </c>
      <c r="CF57" s="1" t="s">
        <v>43</v>
      </c>
      <c r="CG57" s="1" t="s">
        <v>40</v>
      </c>
      <c r="CH57" s="5" t="s">
        <v>309</v>
      </c>
      <c r="CI57" s="4">
        <v>57</v>
      </c>
      <c r="CM57" s="1" t="s">
        <v>380</v>
      </c>
      <c r="CN57" s="1" t="s">
        <v>11</v>
      </c>
      <c r="CO57" s="1" t="s">
        <v>24</v>
      </c>
      <c r="CP57" s="1" t="s">
        <v>31</v>
      </c>
      <c r="CQ57" s="4">
        <v>18</v>
      </c>
      <c r="CR57" s="4">
        <v>11</v>
      </c>
      <c r="CS57" s="1" t="s">
        <v>32</v>
      </c>
      <c r="CT57" s="1" t="s">
        <v>61</v>
      </c>
      <c r="CU57" s="5" t="s">
        <v>381</v>
      </c>
      <c r="CV57" s="4">
        <v>67</v>
      </c>
    </row>
    <row r="58" spans="1:100" x14ac:dyDescent="0.3">
      <c r="A58" s="1" t="s">
        <v>877</v>
      </c>
      <c r="B58" s="1" t="s">
        <v>73</v>
      </c>
      <c r="C58" s="1" t="s">
        <v>85</v>
      </c>
      <c r="D58" s="1" t="s">
        <v>13</v>
      </c>
      <c r="E58" s="4">
        <v>19</v>
      </c>
      <c r="F58" s="4">
        <v>10</v>
      </c>
      <c r="G58" s="1" t="s">
        <v>25</v>
      </c>
      <c r="H58" s="1" t="s">
        <v>26</v>
      </c>
      <c r="I58" s="5" t="s">
        <v>878</v>
      </c>
      <c r="J58" s="4">
        <v>81</v>
      </c>
      <c r="M58" s="1" t="s">
        <v>428</v>
      </c>
      <c r="N58" s="1" t="s">
        <v>54</v>
      </c>
      <c r="O58" s="1" t="s">
        <v>55</v>
      </c>
      <c r="P58" s="1" t="s">
        <v>13</v>
      </c>
      <c r="Q58" s="4">
        <v>16</v>
      </c>
      <c r="R58" s="4">
        <v>11</v>
      </c>
      <c r="S58" s="1" t="s">
        <v>25</v>
      </c>
      <c r="T58" s="1" t="s">
        <v>15</v>
      </c>
      <c r="U58" s="5" t="s">
        <v>429</v>
      </c>
      <c r="V58" s="4">
        <v>86</v>
      </c>
      <c r="Z58" s="1" t="s">
        <v>646</v>
      </c>
      <c r="AA58" s="1" t="s">
        <v>84</v>
      </c>
      <c r="AB58" s="1" t="s">
        <v>12</v>
      </c>
      <c r="AC58" s="1" t="s">
        <v>31</v>
      </c>
      <c r="AD58" s="4">
        <v>17</v>
      </c>
      <c r="AE58" s="4">
        <v>12</v>
      </c>
      <c r="AF58" s="1" t="s">
        <v>25</v>
      </c>
      <c r="AG58" s="1" t="s">
        <v>76</v>
      </c>
      <c r="AH58" s="5" t="s">
        <v>647</v>
      </c>
      <c r="AI58" s="4">
        <v>83</v>
      </c>
      <c r="AM58" s="1" t="s">
        <v>877</v>
      </c>
      <c r="AN58" s="1" t="s">
        <v>73</v>
      </c>
      <c r="AO58" s="1" t="s">
        <v>85</v>
      </c>
      <c r="AP58" s="1" t="s">
        <v>13</v>
      </c>
      <c r="AQ58" s="4">
        <v>19</v>
      </c>
      <c r="AR58" s="4">
        <v>10</v>
      </c>
      <c r="AS58" s="1" t="s">
        <v>25</v>
      </c>
      <c r="AT58" s="1" t="s">
        <v>26</v>
      </c>
      <c r="AU58" s="5" t="s">
        <v>878</v>
      </c>
      <c r="AV58" s="4">
        <v>81</v>
      </c>
      <c r="AZ58" s="1" t="s">
        <v>428</v>
      </c>
      <c r="BA58" s="1" t="s">
        <v>54</v>
      </c>
      <c r="BB58" s="1" t="s">
        <v>55</v>
      </c>
      <c r="BC58" s="1" t="s">
        <v>13</v>
      </c>
      <c r="BD58" s="4">
        <v>16</v>
      </c>
      <c r="BE58" s="4">
        <v>11</v>
      </c>
      <c r="BF58" s="1" t="s">
        <v>25</v>
      </c>
      <c r="BG58" s="1" t="s">
        <v>15</v>
      </c>
      <c r="BH58" s="5" t="s">
        <v>429</v>
      </c>
      <c r="BI58" s="4">
        <v>86</v>
      </c>
      <c r="BM58" s="1" t="s">
        <v>646</v>
      </c>
      <c r="BN58" s="1" t="s">
        <v>84</v>
      </c>
      <c r="BO58" s="1" t="s">
        <v>12</v>
      </c>
      <c r="BP58" s="1" t="s">
        <v>31</v>
      </c>
      <c r="BQ58" s="4">
        <v>17</v>
      </c>
      <c r="BR58" s="4">
        <v>12</v>
      </c>
      <c r="BS58" s="1" t="s">
        <v>25</v>
      </c>
      <c r="BT58" s="1" t="s">
        <v>76</v>
      </c>
      <c r="BU58" s="5" t="s">
        <v>647</v>
      </c>
      <c r="BV58" s="4">
        <v>83</v>
      </c>
      <c r="BZ58" s="1" t="s">
        <v>310</v>
      </c>
      <c r="CA58" s="1" t="s">
        <v>29</v>
      </c>
      <c r="CB58" s="1" t="s">
        <v>96</v>
      </c>
      <c r="CC58" s="1" t="s">
        <v>31</v>
      </c>
      <c r="CD58" s="4">
        <v>16</v>
      </c>
      <c r="CE58" s="4">
        <v>9</v>
      </c>
      <c r="CF58" s="1" t="s">
        <v>32</v>
      </c>
      <c r="CG58" s="1" t="s">
        <v>46</v>
      </c>
      <c r="CH58" s="5" t="s">
        <v>311</v>
      </c>
      <c r="CI58" s="4">
        <v>67</v>
      </c>
      <c r="CM58" s="1" t="s">
        <v>382</v>
      </c>
      <c r="CN58" s="1" t="s">
        <v>51</v>
      </c>
      <c r="CO58" s="1" t="s">
        <v>85</v>
      </c>
      <c r="CP58" s="1" t="s">
        <v>13</v>
      </c>
      <c r="CQ58" s="4">
        <v>16</v>
      </c>
      <c r="CR58" s="4">
        <v>10</v>
      </c>
      <c r="CS58" s="1" t="s">
        <v>43</v>
      </c>
      <c r="CT58" s="1" t="s">
        <v>61</v>
      </c>
      <c r="CU58" s="5" t="s">
        <v>383</v>
      </c>
      <c r="CV58" s="4">
        <v>72</v>
      </c>
    </row>
    <row r="59" spans="1:100" x14ac:dyDescent="0.3">
      <c r="A59" s="1" t="s">
        <v>894</v>
      </c>
      <c r="B59" s="1" t="s">
        <v>23</v>
      </c>
      <c r="C59" s="1" t="s">
        <v>79</v>
      </c>
      <c r="D59" s="1" t="s">
        <v>31</v>
      </c>
      <c r="E59" s="4">
        <v>20</v>
      </c>
      <c r="F59" s="4">
        <v>9</v>
      </c>
      <c r="G59" s="1" t="s">
        <v>14</v>
      </c>
      <c r="H59" s="1" t="s">
        <v>26</v>
      </c>
      <c r="I59" s="5" t="s">
        <v>895</v>
      </c>
      <c r="J59" s="4">
        <v>36</v>
      </c>
      <c r="M59" s="1" t="s">
        <v>430</v>
      </c>
      <c r="N59" s="1" t="s">
        <v>54</v>
      </c>
      <c r="O59" s="1" t="s">
        <v>30</v>
      </c>
      <c r="P59" s="1" t="s">
        <v>13</v>
      </c>
      <c r="Q59" s="4">
        <v>18</v>
      </c>
      <c r="R59" s="4">
        <v>11</v>
      </c>
      <c r="S59" s="1" t="s">
        <v>25</v>
      </c>
      <c r="T59" s="1" t="s">
        <v>26</v>
      </c>
      <c r="U59" s="5" t="s">
        <v>431</v>
      </c>
      <c r="V59" s="4">
        <v>91</v>
      </c>
      <c r="Z59" s="1" t="s">
        <v>654</v>
      </c>
      <c r="AA59" s="1" t="s">
        <v>18</v>
      </c>
      <c r="AB59" s="1" t="s">
        <v>24</v>
      </c>
      <c r="AC59" s="1" t="s">
        <v>31</v>
      </c>
      <c r="AD59" s="4">
        <v>14</v>
      </c>
      <c r="AE59" s="4">
        <v>12</v>
      </c>
      <c r="AF59" s="1" t="s">
        <v>14</v>
      </c>
      <c r="AG59" s="1" t="s">
        <v>46</v>
      </c>
      <c r="AH59" s="5" t="s">
        <v>655</v>
      </c>
      <c r="AI59" s="4">
        <v>42</v>
      </c>
      <c r="AM59" s="1" t="s">
        <v>894</v>
      </c>
      <c r="AN59" s="1" t="s">
        <v>23</v>
      </c>
      <c r="AO59" s="1" t="s">
        <v>79</v>
      </c>
      <c r="AP59" s="1" t="s">
        <v>31</v>
      </c>
      <c r="AQ59" s="4">
        <v>20</v>
      </c>
      <c r="AR59" s="4">
        <v>9</v>
      </c>
      <c r="AS59" s="1" t="s">
        <v>14</v>
      </c>
      <c r="AT59" s="1" t="s">
        <v>26</v>
      </c>
      <c r="AU59" s="5" t="s">
        <v>895</v>
      </c>
      <c r="AV59" s="4">
        <v>36</v>
      </c>
      <c r="AZ59" s="1" t="s">
        <v>430</v>
      </c>
      <c r="BA59" s="1" t="s">
        <v>54</v>
      </c>
      <c r="BB59" s="1" t="s">
        <v>30</v>
      </c>
      <c r="BC59" s="1" t="s">
        <v>13</v>
      </c>
      <c r="BD59" s="4">
        <v>18</v>
      </c>
      <c r="BE59" s="4">
        <v>11</v>
      </c>
      <c r="BF59" s="1" t="s">
        <v>25</v>
      </c>
      <c r="BG59" s="1" t="s">
        <v>26</v>
      </c>
      <c r="BH59" s="5" t="s">
        <v>431</v>
      </c>
      <c r="BI59" s="4">
        <v>91</v>
      </c>
      <c r="BM59" s="1" t="s">
        <v>654</v>
      </c>
      <c r="BN59" s="1" t="s">
        <v>18</v>
      </c>
      <c r="BO59" s="1" t="s">
        <v>24</v>
      </c>
      <c r="BP59" s="1" t="s">
        <v>31</v>
      </c>
      <c r="BQ59" s="4">
        <v>14</v>
      </c>
      <c r="BR59" s="4">
        <v>12</v>
      </c>
      <c r="BS59" s="1" t="s">
        <v>14</v>
      </c>
      <c r="BT59" s="1" t="s">
        <v>46</v>
      </c>
      <c r="BU59" s="5" t="s">
        <v>655</v>
      </c>
      <c r="BV59" s="4">
        <v>42</v>
      </c>
      <c r="BZ59" s="1" t="s">
        <v>318</v>
      </c>
      <c r="CA59" s="1" t="s">
        <v>54</v>
      </c>
      <c r="CB59" s="1" t="s">
        <v>96</v>
      </c>
      <c r="CC59" s="1" t="s">
        <v>13</v>
      </c>
      <c r="CD59" s="4">
        <v>18</v>
      </c>
      <c r="CE59" s="4">
        <v>9</v>
      </c>
      <c r="CF59" s="1" t="s">
        <v>32</v>
      </c>
      <c r="CG59" s="1" t="s">
        <v>76</v>
      </c>
      <c r="CH59" s="5" t="s">
        <v>319</v>
      </c>
      <c r="CI59" s="4">
        <v>86</v>
      </c>
      <c r="CM59" s="1" t="s">
        <v>386</v>
      </c>
      <c r="CN59" s="1" t="s">
        <v>68</v>
      </c>
      <c r="CO59" s="1" t="s">
        <v>96</v>
      </c>
      <c r="CP59" s="1" t="s">
        <v>13</v>
      </c>
      <c r="CQ59" s="4">
        <v>18</v>
      </c>
      <c r="CR59" s="4">
        <v>9</v>
      </c>
      <c r="CS59" s="1" t="s">
        <v>25</v>
      </c>
      <c r="CT59" s="1" t="s">
        <v>46</v>
      </c>
      <c r="CU59" s="5" t="s">
        <v>387</v>
      </c>
      <c r="CV59" s="4">
        <v>74</v>
      </c>
    </row>
    <row r="60" spans="1:100" x14ac:dyDescent="0.3">
      <c r="A60" s="1" t="s">
        <v>896</v>
      </c>
      <c r="B60" s="1" t="s">
        <v>11</v>
      </c>
      <c r="C60" s="1" t="s">
        <v>36</v>
      </c>
      <c r="D60" s="1" t="s">
        <v>13</v>
      </c>
      <c r="E60" s="4">
        <v>15</v>
      </c>
      <c r="F60" s="4">
        <v>11</v>
      </c>
      <c r="G60" s="1" t="s">
        <v>14</v>
      </c>
      <c r="H60" s="1" t="s">
        <v>26</v>
      </c>
      <c r="I60" s="5" t="s">
        <v>897</v>
      </c>
      <c r="J60" s="4">
        <v>95</v>
      </c>
      <c r="M60" s="1" t="s">
        <v>439</v>
      </c>
      <c r="N60" s="1" t="s">
        <v>11</v>
      </c>
      <c r="O60" s="1" t="s">
        <v>12</v>
      </c>
      <c r="P60" s="1" t="s">
        <v>13</v>
      </c>
      <c r="Q60" s="4">
        <v>15</v>
      </c>
      <c r="R60" s="4">
        <v>9</v>
      </c>
      <c r="S60" s="1" t="s">
        <v>25</v>
      </c>
      <c r="T60" s="1" t="s">
        <v>15</v>
      </c>
      <c r="U60" s="5" t="s">
        <v>440</v>
      </c>
      <c r="V60" s="4">
        <v>90</v>
      </c>
      <c r="Z60" s="1" t="s">
        <v>667</v>
      </c>
      <c r="AA60" s="1" t="s">
        <v>35</v>
      </c>
      <c r="AB60" s="1" t="s">
        <v>12</v>
      </c>
      <c r="AC60" s="1" t="s">
        <v>31</v>
      </c>
      <c r="AD60" s="4">
        <v>15</v>
      </c>
      <c r="AE60" s="4">
        <v>12</v>
      </c>
      <c r="AF60" s="1" t="s">
        <v>14</v>
      </c>
      <c r="AG60" s="1" t="s">
        <v>46</v>
      </c>
      <c r="AH60" s="5" t="s">
        <v>668</v>
      </c>
      <c r="AI60" s="4">
        <v>82</v>
      </c>
      <c r="AM60" s="1" t="s">
        <v>896</v>
      </c>
      <c r="AN60" s="1" t="s">
        <v>11</v>
      </c>
      <c r="AO60" s="1" t="s">
        <v>36</v>
      </c>
      <c r="AP60" s="1" t="s">
        <v>13</v>
      </c>
      <c r="AQ60" s="4">
        <v>15</v>
      </c>
      <c r="AR60" s="4">
        <v>11</v>
      </c>
      <c r="AS60" s="1" t="s">
        <v>14</v>
      </c>
      <c r="AT60" s="1" t="s">
        <v>26</v>
      </c>
      <c r="AU60" s="5" t="s">
        <v>897</v>
      </c>
      <c r="AV60" s="4">
        <v>95</v>
      </c>
      <c r="AZ60" s="1" t="s">
        <v>439</v>
      </c>
      <c r="BA60" s="1" t="s">
        <v>11</v>
      </c>
      <c r="BB60" s="1" t="s">
        <v>12</v>
      </c>
      <c r="BC60" s="1" t="s">
        <v>13</v>
      </c>
      <c r="BD60" s="4">
        <v>15</v>
      </c>
      <c r="BE60" s="4">
        <v>9</v>
      </c>
      <c r="BF60" s="1" t="s">
        <v>25</v>
      </c>
      <c r="BG60" s="1" t="s">
        <v>15</v>
      </c>
      <c r="BH60" s="5" t="s">
        <v>440</v>
      </c>
      <c r="BI60" s="4">
        <v>90</v>
      </c>
      <c r="BM60" s="1" t="s">
        <v>667</v>
      </c>
      <c r="BN60" s="1" t="s">
        <v>35</v>
      </c>
      <c r="BO60" s="1" t="s">
        <v>12</v>
      </c>
      <c r="BP60" s="1" t="s">
        <v>31</v>
      </c>
      <c r="BQ60" s="4">
        <v>15</v>
      </c>
      <c r="BR60" s="4">
        <v>12</v>
      </c>
      <c r="BS60" s="1" t="s">
        <v>14</v>
      </c>
      <c r="BT60" s="1" t="s">
        <v>46</v>
      </c>
      <c r="BU60" s="5" t="s">
        <v>668</v>
      </c>
      <c r="BV60" s="4">
        <v>82</v>
      </c>
      <c r="BZ60" s="1" t="s">
        <v>320</v>
      </c>
      <c r="CA60" s="1" t="s">
        <v>84</v>
      </c>
      <c r="CB60" s="1" t="s">
        <v>55</v>
      </c>
      <c r="CC60" s="1" t="s">
        <v>31</v>
      </c>
      <c r="CD60" s="4">
        <v>16</v>
      </c>
      <c r="CE60" s="4">
        <v>12</v>
      </c>
      <c r="CF60" s="1" t="s">
        <v>32</v>
      </c>
      <c r="CG60" s="1" t="s">
        <v>76</v>
      </c>
      <c r="CH60" s="5" t="s">
        <v>321</v>
      </c>
      <c r="CI60" s="4">
        <v>66</v>
      </c>
      <c r="CM60" s="1" t="s">
        <v>388</v>
      </c>
      <c r="CN60" s="1" t="s">
        <v>73</v>
      </c>
      <c r="CO60" s="1" t="s">
        <v>12</v>
      </c>
      <c r="CP60" s="1" t="s">
        <v>31</v>
      </c>
      <c r="CQ60" s="4">
        <v>19</v>
      </c>
      <c r="CR60" s="4">
        <v>11</v>
      </c>
      <c r="CS60" s="1" t="s">
        <v>43</v>
      </c>
      <c r="CT60" s="1" t="s">
        <v>61</v>
      </c>
      <c r="CU60" s="5" t="s">
        <v>214</v>
      </c>
      <c r="CV60" s="4">
        <v>88</v>
      </c>
    </row>
    <row r="61" spans="1:100" x14ac:dyDescent="0.3">
      <c r="A61" s="1" t="s">
        <v>917</v>
      </c>
      <c r="B61" s="1" t="s">
        <v>11</v>
      </c>
      <c r="C61" s="1" t="s">
        <v>96</v>
      </c>
      <c r="D61" s="1" t="s">
        <v>31</v>
      </c>
      <c r="E61" s="4">
        <v>19</v>
      </c>
      <c r="F61" s="4">
        <v>11</v>
      </c>
      <c r="G61" s="1" t="s">
        <v>43</v>
      </c>
      <c r="H61" s="1" t="s">
        <v>26</v>
      </c>
      <c r="I61" s="5" t="s">
        <v>918</v>
      </c>
      <c r="J61" s="4">
        <v>87</v>
      </c>
      <c r="M61" s="1" t="s">
        <v>441</v>
      </c>
      <c r="N61" s="1" t="s">
        <v>35</v>
      </c>
      <c r="O61" s="1" t="s">
        <v>12</v>
      </c>
      <c r="P61" s="1" t="s">
        <v>13</v>
      </c>
      <c r="Q61" s="4">
        <v>17</v>
      </c>
      <c r="R61" s="4">
        <v>10</v>
      </c>
      <c r="S61" s="1" t="s">
        <v>32</v>
      </c>
      <c r="T61" s="1" t="s">
        <v>15</v>
      </c>
      <c r="U61" s="5" t="s">
        <v>442</v>
      </c>
      <c r="V61" s="4">
        <v>91</v>
      </c>
      <c r="Z61" s="1" t="s">
        <v>683</v>
      </c>
      <c r="AA61" s="1" t="s">
        <v>84</v>
      </c>
      <c r="AB61" s="1" t="s">
        <v>55</v>
      </c>
      <c r="AC61" s="1" t="s">
        <v>31</v>
      </c>
      <c r="AD61" s="4">
        <v>16</v>
      </c>
      <c r="AE61" s="4">
        <v>12</v>
      </c>
      <c r="AF61" s="1" t="s">
        <v>14</v>
      </c>
      <c r="AG61" s="1" t="s">
        <v>76</v>
      </c>
      <c r="AH61" s="5" t="s">
        <v>125</v>
      </c>
      <c r="AI61" s="4">
        <v>60</v>
      </c>
      <c r="AM61" s="1" t="s">
        <v>917</v>
      </c>
      <c r="AN61" s="1" t="s">
        <v>11</v>
      </c>
      <c r="AO61" s="1" t="s">
        <v>96</v>
      </c>
      <c r="AP61" s="1" t="s">
        <v>31</v>
      </c>
      <c r="AQ61" s="4">
        <v>19</v>
      </c>
      <c r="AR61" s="4">
        <v>11</v>
      </c>
      <c r="AS61" s="1" t="s">
        <v>43</v>
      </c>
      <c r="AT61" s="1" t="s">
        <v>26</v>
      </c>
      <c r="AU61" s="5" t="s">
        <v>918</v>
      </c>
      <c r="AV61" s="4">
        <v>87</v>
      </c>
      <c r="AZ61" s="1" t="s">
        <v>441</v>
      </c>
      <c r="BA61" s="1" t="s">
        <v>35</v>
      </c>
      <c r="BB61" s="1" t="s">
        <v>12</v>
      </c>
      <c r="BC61" s="1" t="s">
        <v>13</v>
      </c>
      <c r="BD61" s="4">
        <v>17</v>
      </c>
      <c r="BE61" s="4">
        <v>10</v>
      </c>
      <c r="BF61" s="1" t="s">
        <v>32</v>
      </c>
      <c r="BG61" s="1" t="s">
        <v>15</v>
      </c>
      <c r="BH61" s="5" t="s">
        <v>442</v>
      </c>
      <c r="BI61" s="4">
        <v>91</v>
      </c>
      <c r="BM61" s="1" t="s">
        <v>683</v>
      </c>
      <c r="BN61" s="1" t="s">
        <v>84</v>
      </c>
      <c r="BO61" s="1" t="s">
        <v>55</v>
      </c>
      <c r="BP61" s="1" t="s">
        <v>31</v>
      </c>
      <c r="BQ61" s="4">
        <v>16</v>
      </c>
      <c r="BR61" s="4">
        <v>12</v>
      </c>
      <c r="BS61" s="1" t="s">
        <v>14</v>
      </c>
      <c r="BT61" s="1" t="s">
        <v>76</v>
      </c>
      <c r="BU61" s="5" t="s">
        <v>125</v>
      </c>
      <c r="BV61" s="4">
        <v>60</v>
      </c>
      <c r="BZ61" s="1" t="s">
        <v>324</v>
      </c>
      <c r="CA61" s="1" t="s">
        <v>23</v>
      </c>
      <c r="CB61" s="1" t="s">
        <v>85</v>
      </c>
      <c r="CC61" s="1" t="s">
        <v>31</v>
      </c>
      <c r="CD61" s="4">
        <v>16</v>
      </c>
      <c r="CE61" s="4">
        <v>9</v>
      </c>
      <c r="CF61" s="1" t="s">
        <v>32</v>
      </c>
      <c r="CG61" s="1" t="s">
        <v>61</v>
      </c>
      <c r="CH61" s="5" t="s">
        <v>325</v>
      </c>
      <c r="CI61" s="4">
        <v>54</v>
      </c>
      <c r="CM61" s="1" t="s">
        <v>391</v>
      </c>
      <c r="CN61" s="1" t="s">
        <v>68</v>
      </c>
      <c r="CO61" s="1" t="s">
        <v>19</v>
      </c>
      <c r="CP61" s="1" t="s">
        <v>13</v>
      </c>
      <c r="CQ61" s="4">
        <v>19</v>
      </c>
      <c r="CR61" s="4">
        <v>12</v>
      </c>
      <c r="CS61" s="1" t="s">
        <v>25</v>
      </c>
      <c r="CT61" s="1" t="s">
        <v>46</v>
      </c>
      <c r="CU61" s="5" t="s">
        <v>392</v>
      </c>
      <c r="CV61" s="4">
        <v>46</v>
      </c>
    </row>
    <row r="62" spans="1:100" x14ac:dyDescent="0.3">
      <c r="A62" s="1" t="s">
        <v>929</v>
      </c>
      <c r="B62" s="1" t="s">
        <v>35</v>
      </c>
      <c r="C62" s="1" t="s">
        <v>30</v>
      </c>
      <c r="D62" s="1" t="s">
        <v>13</v>
      </c>
      <c r="E62" s="4">
        <v>15</v>
      </c>
      <c r="F62" s="4">
        <v>12</v>
      </c>
      <c r="G62" s="1" t="s">
        <v>32</v>
      </c>
      <c r="H62" s="1" t="s">
        <v>26</v>
      </c>
      <c r="I62" s="5" t="s">
        <v>262</v>
      </c>
      <c r="J62" s="4">
        <v>55</v>
      </c>
      <c r="M62" s="1" t="s">
        <v>445</v>
      </c>
      <c r="N62" s="1" t="s">
        <v>54</v>
      </c>
      <c r="O62" s="1" t="s">
        <v>96</v>
      </c>
      <c r="P62" s="1" t="s">
        <v>13</v>
      </c>
      <c r="Q62" s="4">
        <v>20</v>
      </c>
      <c r="R62" s="4">
        <v>10</v>
      </c>
      <c r="S62" s="1" t="s">
        <v>32</v>
      </c>
      <c r="T62" s="1" t="s">
        <v>46</v>
      </c>
      <c r="U62" s="5" t="s">
        <v>182</v>
      </c>
      <c r="V62" s="4">
        <v>85</v>
      </c>
      <c r="Z62" s="1" t="s">
        <v>703</v>
      </c>
      <c r="AA62" s="1" t="s">
        <v>73</v>
      </c>
      <c r="AB62" s="1" t="s">
        <v>30</v>
      </c>
      <c r="AC62" s="1" t="s">
        <v>31</v>
      </c>
      <c r="AD62" s="4">
        <v>17</v>
      </c>
      <c r="AE62" s="4">
        <v>12</v>
      </c>
      <c r="AF62" s="1" t="s">
        <v>32</v>
      </c>
      <c r="AG62" s="1" t="s">
        <v>40</v>
      </c>
      <c r="AH62" s="5" t="s">
        <v>704</v>
      </c>
      <c r="AI62" s="4">
        <v>93</v>
      </c>
      <c r="AM62" s="1" t="s">
        <v>929</v>
      </c>
      <c r="AN62" s="1" t="s">
        <v>35</v>
      </c>
      <c r="AO62" s="1" t="s">
        <v>30</v>
      </c>
      <c r="AP62" s="1" t="s">
        <v>13</v>
      </c>
      <c r="AQ62" s="4">
        <v>15</v>
      </c>
      <c r="AR62" s="4">
        <v>12</v>
      </c>
      <c r="AS62" s="1" t="s">
        <v>32</v>
      </c>
      <c r="AT62" s="1" t="s">
        <v>26</v>
      </c>
      <c r="AU62" s="5" t="s">
        <v>262</v>
      </c>
      <c r="AV62" s="4">
        <v>55</v>
      </c>
      <c r="AZ62" s="1" t="s">
        <v>445</v>
      </c>
      <c r="BA62" s="1" t="s">
        <v>54</v>
      </c>
      <c r="BB62" s="1" t="s">
        <v>96</v>
      </c>
      <c r="BC62" s="1" t="s">
        <v>13</v>
      </c>
      <c r="BD62" s="4">
        <v>20</v>
      </c>
      <c r="BE62" s="4">
        <v>10</v>
      </c>
      <c r="BF62" s="1" t="s">
        <v>32</v>
      </c>
      <c r="BG62" s="1" t="s">
        <v>46</v>
      </c>
      <c r="BH62" s="5" t="s">
        <v>182</v>
      </c>
      <c r="BI62" s="4">
        <v>85</v>
      </c>
      <c r="BM62" s="1" t="s">
        <v>703</v>
      </c>
      <c r="BN62" s="1" t="s">
        <v>73</v>
      </c>
      <c r="BO62" s="1" t="s">
        <v>30</v>
      </c>
      <c r="BP62" s="1" t="s">
        <v>31</v>
      </c>
      <c r="BQ62" s="4">
        <v>17</v>
      </c>
      <c r="BR62" s="4">
        <v>12</v>
      </c>
      <c r="BS62" s="1" t="s">
        <v>32</v>
      </c>
      <c r="BT62" s="1" t="s">
        <v>40</v>
      </c>
      <c r="BU62" s="5" t="s">
        <v>704</v>
      </c>
      <c r="BV62" s="4">
        <v>93</v>
      </c>
      <c r="BZ62" s="1" t="s">
        <v>332</v>
      </c>
      <c r="CA62" s="1" t="s">
        <v>29</v>
      </c>
      <c r="CB62" s="1" t="s">
        <v>12</v>
      </c>
      <c r="CC62" s="1" t="s">
        <v>31</v>
      </c>
      <c r="CD62" s="4">
        <v>16</v>
      </c>
      <c r="CE62" s="4">
        <v>11</v>
      </c>
      <c r="CF62" s="1" t="s">
        <v>32</v>
      </c>
      <c r="CG62" s="1" t="s">
        <v>76</v>
      </c>
      <c r="CH62" s="5" t="s">
        <v>333</v>
      </c>
      <c r="CI62" s="4">
        <v>42</v>
      </c>
      <c r="CM62" s="1" t="s">
        <v>397</v>
      </c>
      <c r="CN62" s="1" t="s">
        <v>23</v>
      </c>
      <c r="CO62" s="1" t="s">
        <v>12</v>
      </c>
      <c r="CP62" s="1" t="s">
        <v>13</v>
      </c>
      <c r="CQ62" s="4">
        <v>20</v>
      </c>
      <c r="CR62" s="4">
        <v>9</v>
      </c>
      <c r="CS62" s="1" t="s">
        <v>25</v>
      </c>
      <c r="CT62" s="1" t="s">
        <v>46</v>
      </c>
      <c r="CU62" s="5" t="s">
        <v>398</v>
      </c>
      <c r="CV62" s="4">
        <v>91</v>
      </c>
    </row>
    <row r="63" spans="1:100" x14ac:dyDescent="0.3">
      <c r="A63" s="1" t="s">
        <v>938</v>
      </c>
      <c r="B63" s="1" t="s">
        <v>18</v>
      </c>
      <c r="C63" s="1" t="s">
        <v>58</v>
      </c>
      <c r="D63" s="1" t="s">
        <v>13</v>
      </c>
      <c r="E63" s="4">
        <v>16</v>
      </c>
      <c r="F63" s="4">
        <v>12</v>
      </c>
      <c r="G63" s="1" t="s">
        <v>25</v>
      </c>
      <c r="H63" s="1" t="s">
        <v>26</v>
      </c>
      <c r="I63" s="5" t="s">
        <v>939</v>
      </c>
      <c r="J63" s="4">
        <v>41</v>
      </c>
      <c r="M63" s="1" t="s">
        <v>456</v>
      </c>
      <c r="N63" s="1" t="s">
        <v>11</v>
      </c>
      <c r="O63" s="1" t="s">
        <v>55</v>
      </c>
      <c r="P63" s="1" t="s">
        <v>13</v>
      </c>
      <c r="Q63" s="4">
        <v>15</v>
      </c>
      <c r="R63" s="4">
        <v>9</v>
      </c>
      <c r="S63" s="1" t="s">
        <v>32</v>
      </c>
      <c r="T63" s="1" t="s">
        <v>61</v>
      </c>
      <c r="U63" s="5" t="s">
        <v>457</v>
      </c>
      <c r="V63" s="4">
        <v>97</v>
      </c>
      <c r="Z63" s="1" t="s">
        <v>705</v>
      </c>
      <c r="AA63" s="1" t="s">
        <v>84</v>
      </c>
      <c r="AB63" s="1" t="s">
        <v>55</v>
      </c>
      <c r="AC63" s="1" t="s">
        <v>31</v>
      </c>
      <c r="AD63" s="4">
        <v>14</v>
      </c>
      <c r="AE63" s="4">
        <v>12</v>
      </c>
      <c r="AF63" s="1" t="s">
        <v>43</v>
      </c>
      <c r="AG63" s="1" t="s">
        <v>76</v>
      </c>
      <c r="AH63" s="5" t="s">
        <v>706</v>
      </c>
      <c r="AI63" s="4">
        <v>63</v>
      </c>
      <c r="AM63" s="1" t="s">
        <v>938</v>
      </c>
      <c r="AN63" s="1" t="s">
        <v>18</v>
      </c>
      <c r="AO63" s="1" t="s">
        <v>58</v>
      </c>
      <c r="AP63" s="1" t="s">
        <v>13</v>
      </c>
      <c r="AQ63" s="4">
        <v>16</v>
      </c>
      <c r="AR63" s="4">
        <v>12</v>
      </c>
      <c r="AS63" s="1" t="s">
        <v>25</v>
      </c>
      <c r="AT63" s="1" t="s">
        <v>26</v>
      </c>
      <c r="AU63" s="5" t="s">
        <v>939</v>
      </c>
      <c r="AV63" s="4">
        <v>41</v>
      </c>
      <c r="AZ63" s="1" t="s">
        <v>456</v>
      </c>
      <c r="BA63" s="1" t="s">
        <v>11</v>
      </c>
      <c r="BB63" s="1" t="s">
        <v>55</v>
      </c>
      <c r="BC63" s="1" t="s">
        <v>13</v>
      </c>
      <c r="BD63" s="4">
        <v>15</v>
      </c>
      <c r="BE63" s="4">
        <v>9</v>
      </c>
      <c r="BF63" s="1" t="s">
        <v>32</v>
      </c>
      <c r="BG63" s="1" t="s">
        <v>61</v>
      </c>
      <c r="BH63" s="5" t="s">
        <v>457</v>
      </c>
      <c r="BI63" s="4">
        <v>97</v>
      </c>
      <c r="BM63" s="1" t="s">
        <v>705</v>
      </c>
      <c r="BN63" s="1" t="s">
        <v>84</v>
      </c>
      <c r="BO63" s="1" t="s">
        <v>55</v>
      </c>
      <c r="BP63" s="1" t="s">
        <v>31</v>
      </c>
      <c r="BQ63" s="4">
        <v>14</v>
      </c>
      <c r="BR63" s="4">
        <v>12</v>
      </c>
      <c r="BS63" s="1" t="s">
        <v>43</v>
      </c>
      <c r="BT63" s="1" t="s">
        <v>76</v>
      </c>
      <c r="BU63" s="5" t="s">
        <v>706</v>
      </c>
      <c r="BV63" s="4">
        <v>63</v>
      </c>
      <c r="BZ63" s="1" t="s">
        <v>334</v>
      </c>
      <c r="CA63" s="1" t="s">
        <v>73</v>
      </c>
      <c r="CB63" s="1" t="s">
        <v>12</v>
      </c>
      <c r="CC63" s="1" t="s">
        <v>31</v>
      </c>
      <c r="CD63" s="4">
        <v>18</v>
      </c>
      <c r="CE63" s="4">
        <v>11</v>
      </c>
      <c r="CF63" s="1" t="s">
        <v>32</v>
      </c>
      <c r="CG63" s="1" t="s">
        <v>76</v>
      </c>
      <c r="CH63" s="5" t="s">
        <v>335</v>
      </c>
      <c r="CI63" s="4">
        <v>97</v>
      </c>
      <c r="CM63" s="1" t="s">
        <v>403</v>
      </c>
      <c r="CN63" s="1" t="s">
        <v>11</v>
      </c>
      <c r="CO63" s="1" t="s">
        <v>12</v>
      </c>
      <c r="CP63" s="1" t="s">
        <v>31</v>
      </c>
      <c r="CQ63" s="4">
        <v>19</v>
      </c>
      <c r="CR63" s="4">
        <v>9</v>
      </c>
      <c r="CS63" s="1" t="s">
        <v>43</v>
      </c>
      <c r="CT63" s="1" t="s">
        <v>46</v>
      </c>
      <c r="CU63" s="5" t="s">
        <v>404</v>
      </c>
      <c r="CV63" s="4">
        <v>37</v>
      </c>
    </row>
    <row r="64" spans="1:100" x14ac:dyDescent="0.3">
      <c r="M64" s="1" t="s">
        <v>458</v>
      </c>
      <c r="N64" s="1" t="s">
        <v>11</v>
      </c>
      <c r="O64" s="1" t="s">
        <v>55</v>
      </c>
      <c r="P64" s="1" t="s">
        <v>13</v>
      </c>
      <c r="Q64" s="4">
        <v>19</v>
      </c>
      <c r="R64" s="4">
        <v>11</v>
      </c>
      <c r="S64" s="1" t="s">
        <v>14</v>
      </c>
      <c r="T64" s="1" t="s">
        <v>46</v>
      </c>
      <c r="U64" s="5" t="s">
        <v>459</v>
      </c>
      <c r="V64" s="4">
        <v>81</v>
      </c>
      <c r="Z64" s="1" t="s">
        <v>707</v>
      </c>
      <c r="AA64" s="1" t="s">
        <v>68</v>
      </c>
      <c r="AB64" s="1" t="s">
        <v>96</v>
      </c>
      <c r="AC64" s="1" t="s">
        <v>31</v>
      </c>
      <c r="AD64" s="4">
        <v>20</v>
      </c>
      <c r="AE64" s="4">
        <v>12</v>
      </c>
      <c r="AF64" s="1" t="s">
        <v>43</v>
      </c>
      <c r="AG64" s="1" t="s">
        <v>37</v>
      </c>
      <c r="AH64" s="5" t="s">
        <v>708</v>
      </c>
      <c r="AI64" s="4">
        <v>35</v>
      </c>
      <c r="AZ64" s="1" t="s">
        <v>458</v>
      </c>
      <c r="BA64" s="1" t="s">
        <v>11</v>
      </c>
      <c r="BB64" s="1" t="s">
        <v>55</v>
      </c>
      <c r="BC64" s="1" t="s">
        <v>13</v>
      </c>
      <c r="BD64" s="4">
        <v>19</v>
      </c>
      <c r="BE64" s="4">
        <v>11</v>
      </c>
      <c r="BF64" s="1" t="s">
        <v>14</v>
      </c>
      <c r="BG64" s="1" t="s">
        <v>46</v>
      </c>
      <c r="BH64" s="5" t="s">
        <v>459</v>
      </c>
      <c r="BI64" s="4">
        <v>81</v>
      </c>
      <c r="BM64" s="1" t="s">
        <v>707</v>
      </c>
      <c r="BN64" s="1" t="s">
        <v>68</v>
      </c>
      <c r="BO64" s="1" t="s">
        <v>96</v>
      </c>
      <c r="BP64" s="1" t="s">
        <v>31</v>
      </c>
      <c r="BQ64" s="4">
        <v>20</v>
      </c>
      <c r="BR64" s="4">
        <v>12</v>
      </c>
      <c r="BS64" s="1" t="s">
        <v>43</v>
      </c>
      <c r="BT64" s="1" t="s">
        <v>37</v>
      </c>
      <c r="BU64" s="5" t="s">
        <v>708</v>
      </c>
      <c r="BV64" s="4">
        <v>35</v>
      </c>
      <c r="BZ64" s="1" t="s">
        <v>339</v>
      </c>
      <c r="CA64" s="1" t="s">
        <v>23</v>
      </c>
      <c r="CB64" s="1" t="s">
        <v>36</v>
      </c>
      <c r="CC64" s="1" t="s">
        <v>13</v>
      </c>
      <c r="CD64" s="4">
        <v>18</v>
      </c>
      <c r="CE64" s="4">
        <v>9</v>
      </c>
      <c r="CF64" s="1" t="s">
        <v>32</v>
      </c>
      <c r="CG64" s="1" t="s">
        <v>37</v>
      </c>
      <c r="CH64" s="5" t="s">
        <v>340</v>
      </c>
      <c r="CI64" s="4">
        <v>64</v>
      </c>
      <c r="CM64" s="1" t="s">
        <v>408</v>
      </c>
      <c r="CN64" s="1" t="s">
        <v>51</v>
      </c>
      <c r="CO64" s="1" t="s">
        <v>85</v>
      </c>
      <c r="CP64" s="1" t="s">
        <v>13</v>
      </c>
      <c r="CQ64" s="4">
        <v>17</v>
      </c>
      <c r="CR64" s="4">
        <v>11</v>
      </c>
      <c r="CS64" s="1" t="s">
        <v>25</v>
      </c>
      <c r="CT64" s="1" t="s">
        <v>46</v>
      </c>
      <c r="CU64" s="5" t="s">
        <v>52</v>
      </c>
      <c r="CV64" s="4">
        <v>42</v>
      </c>
    </row>
    <row r="65" spans="13:100" x14ac:dyDescent="0.3">
      <c r="M65" s="1" t="s">
        <v>476</v>
      </c>
      <c r="N65" s="1" t="s">
        <v>29</v>
      </c>
      <c r="O65" s="1" t="s">
        <v>55</v>
      </c>
      <c r="P65" s="1" t="s">
        <v>13</v>
      </c>
      <c r="Q65" s="4">
        <v>19</v>
      </c>
      <c r="R65" s="4">
        <v>10</v>
      </c>
      <c r="S65" s="1" t="s">
        <v>43</v>
      </c>
      <c r="T65" s="1" t="s">
        <v>26</v>
      </c>
      <c r="U65" s="5" t="s">
        <v>477</v>
      </c>
      <c r="V65" s="4">
        <v>88</v>
      </c>
      <c r="Z65" s="1" t="s">
        <v>713</v>
      </c>
      <c r="AA65" s="1" t="s">
        <v>29</v>
      </c>
      <c r="AB65" s="1" t="s">
        <v>24</v>
      </c>
      <c r="AC65" s="1" t="s">
        <v>31</v>
      </c>
      <c r="AD65" s="4">
        <v>16</v>
      </c>
      <c r="AE65" s="4">
        <v>12</v>
      </c>
      <c r="AF65" s="1" t="s">
        <v>32</v>
      </c>
      <c r="AG65" s="1" t="s">
        <v>26</v>
      </c>
      <c r="AH65" s="5" t="s">
        <v>714</v>
      </c>
      <c r="AI65" s="4">
        <v>57</v>
      </c>
      <c r="AZ65" s="1" t="s">
        <v>476</v>
      </c>
      <c r="BA65" s="1" t="s">
        <v>29</v>
      </c>
      <c r="BB65" s="1" t="s">
        <v>55</v>
      </c>
      <c r="BC65" s="1" t="s">
        <v>13</v>
      </c>
      <c r="BD65" s="4">
        <v>19</v>
      </c>
      <c r="BE65" s="4">
        <v>10</v>
      </c>
      <c r="BF65" s="1" t="s">
        <v>43</v>
      </c>
      <c r="BG65" s="1" t="s">
        <v>26</v>
      </c>
      <c r="BH65" s="5" t="s">
        <v>477</v>
      </c>
      <c r="BI65" s="4">
        <v>88</v>
      </c>
      <c r="BM65" s="1" t="s">
        <v>713</v>
      </c>
      <c r="BN65" s="1" t="s">
        <v>29</v>
      </c>
      <c r="BO65" s="1" t="s">
        <v>24</v>
      </c>
      <c r="BP65" s="1" t="s">
        <v>31</v>
      </c>
      <c r="BQ65" s="4">
        <v>16</v>
      </c>
      <c r="BR65" s="4">
        <v>12</v>
      </c>
      <c r="BS65" s="1" t="s">
        <v>32</v>
      </c>
      <c r="BT65" s="1" t="s">
        <v>26</v>
      </c>
      <c r="BU65" s="5" t="s">
        <v>714</v>
      </c>
      <c r="BV65" s="4">
        <v>57</v>
      </c>
      <c r="BZ65" s="1" t="s">
        <v>349</v>
      </c>
      <c r="CA65" s="1" t="s">
        <v>35</v>
      </c>
      <c r="CB65" s="1" t="s">
        <v>30</v>
      </c>
      <c r="CC65" s="1" t="s">
        <v>31</v>
      </c>
      <c r="CD65" s="4">
        <v>18</v>
      </c>
      <c r="CE65" s="4">
        <v>12</v>
      </c>
      <c r="CF65" s="1" t="s">
        <v>43</v>
      </c>
      <c r="CG65" s="1" t="s">
        <v>37</v>
      </c>
      <c r="CH65" s="5" t="s">
        <v>350</v>
      </c>
      <c r="CI65" s="4">
        <v>53</v>
      </c>
      <c r="CM65" s="1" t="s">
        <v>409</v>
      </c>
      <c r="CN65" s="1" t="s">
        <v>84</v>
      </c>
      <c r="CO65" s="1" t="s">
        <v>24</v>
      </c>
      <c r="CP65" s="1" t="s">
        <v>13</v>
      </c>
      <c r="CQ65" s="4">
        <v>20</v>
      </c>
      <c r="CR65" s="4">
        <v>9</v>
      </c>
      <c r="CS65" s="1" t="s">
        <v>25</v>
      </c>
      <c r="CT65" s="1" t="s">
        <v>46</v>
      </c>
      <c r="CU65" s="5" t="s">
        <v>290</v>
      </c>
      <c r="CV65" s="4">
        <v>68</v>
      </c>
    </row>
    <row r="66" spans="13:100" x14ac:dyDescent="0.3">
      <c r="M66" s="1" t="s">
        <v>482</v>
      </c>
      <c r="N66" s="1" t="s">
        <v>35</v>
      </c>
      <c r="O66" s="1" t="s">
        <v>24</v>
      </c>
      <c r="P66" s="1" t="s">
        <v>13</v>
      </c>
      <c r="Q66" s="4">
        <v>18</v>
      </c>
      <c r="R66" s="4">
        <v>11</v>
      </c>
      <c r="S66" s="1" t="s">
        <v>14</v>
      </c>
      <c r="T66" s="1" t="s">
        <v>61</v>
      </c>
      <c r="U66" s="5" t="s">
        <v>483</v>
      </c>
      <c r="V66" s="4">
        <v>86</v>
      </c>
      <c r="Z66" s="1" t="s">
        <v>723</v>
      </c>
      <c r="AA66" s="1" t="s">
        <v>68</v>
      </c>
      <c r="AB66" s="1" t="s">
        <v>79</v>
      </c>
      <c r="AC66" s="1" t="s">
        <v>31</v>
      </c>
      <c r="AD66" s="4">
        <v>19</v>
      </c>
      <c r="AE66" s="4">
        <v>12</v>
      </c>
      <c r="AF66" s="1" t="s">
        <v>25</v>
      </c>
      <c r="AG66" s="1" t="s">
        <v>40</v>
      </c>
      <c r="AH66" s="5" t="s">
        <v>724</v>
      </c>
      <c r="AI66" s="4">
        <v>65</v>
      </c>
      <c r="AZ66" s="1" t="s">
        <v>482</v>
      </c>
      <c r="BA66" s="1" t="s">
        <v>35</v>
      </c>
      <c r="BB66" s="1" t="s">
        <v>24</v>
      </c>
      <c r="BC66" s="1" t="s">
        <v>13</v>
      </c>
      <c r="BD66" s="4">
        <v>18</v>
      </c>
      <c r="BE66" s="4">
        <v>11</v>
      </c>
      <c r="BF66" s="1" t="s">
        <v>14</v>
      </c>
      <c r="BG66" s="1" t="s">
        <v>61</v>
      </c>
      <c r="BH66" s="5" t="s">
        <v>483</v>
      </c>
      <c r="BI66" s="4">
        <v>86</v>
      </c>
      <c r="BM66" s="1" t="s">
        <v>723</v>
      </c>
      <c r="BN66" s="1" t="s">
        <v>68</v>
      </c>
      <c r="BO66" s="1" t="s">
        <v>79</v>
      </c>
      <c r="BP66" s="1" t="s">
        <v>31</v>
      </c>
      <c r="BQ66" s="4">
        <v>19</v>
      </c>
      <c r="BR66" s="4">
        <v>12</v>
      </c>
      <c r="BS66" s="1" t="s">
        <v>25</v>
      </c>
      <c r="BT66" s="1" t="s">
        <v>40</v>
      </c>
      <c r="BU66" s="5" t="s">
        <v>724</v>
      </c>
      <c r="BV66" s="4">
        <v>65</v>
      </c>
      <c r="BZ66" s="1" t="s">
        <v>357</v>
      </c>
      <c r="CA66" s="1" t="s">
        <v>23</v>
      </c>
      <c r="CB66" s="1" t="s">
        <v>24</v>
      </c>
      <c r="CC66" s="1" t="s">
        <v>13</v>
      </c>
      <c r="CD66" s="4">
        <v>16</v>
      </c>
      <c r="CE66" s="4">
        <v>9</v>
      </c>
      <c r="CF66" s="1" t="s">
        <v>25</v>
      </c>
      <c r="CG66" s="1" t="s">
        <v>20</v>
      </c>
      <c r="CH66" s="5" t="s">
        <v>358</v>
      </c>
      <c r="CI66" s="4">
        <v>66</v>
      </c>
      <c r="CM66" s="1" t="s">
        <v>412</v>
      </c>
      <c r="CN66" s="1" t="s">
        <v>73</v>
      </c>
      <c r="CO66" s="1" t="s">
        <v>55</v>
      </c>
      <c r="CP66" s="1" t="s">
        <v>13</v>
      </c>
      <c r="CQ66" s="4">
        <v>16</v>
      </c>
      <c r="CR66" s="4">
        <v>12</v>
      </c>
      <c r="CS66" s="1" t="s">
        <v>32</v>
      </c>
      <c r="CT66" s="1" t="s">
        <v>46</v>
      </c>
      <c r="CU66" s="5" t="s">
        <v>413</v>
      </c>
      <c r="CV66" s="4">
        <v>85</v>
      </c>
    </row>
    <row r="67" spans="13:100" x14ac:dyDescent="0.3">
      <c r="M67" s="1" t="s">
        <v>487</v>
      </c>
      <c r="N67" s="1" t="s">
        <v>18</v>
      </c>
      <c r="O67" s="1" t="s">
        <v>79</v>
      </c>
      <c r="P67" s="1" t="s">
        <v>13</v>
      </c>
      <c r="Q67" s="4">
        <v>16</v>
      </c>
      <c r="R67" s="4">
        <v>11</v>
      </c>
      <c r="S67" s="1" t="s">
        <v>43</v>
      </c>
      <c r="T67" s="1" t="s">
        <v>61</v>
      </c>
      <c r="U67" s="5" t="s">
        <v>488</v>
      </c>
      <c r="V67" s="4">
        <v>86</v>
      </c>
      <c r="Z67" s="1" t="s">
        <v>733</v>
      </c>
      <c r="AA67" s="1" t="s">
        <v>84</v>
      </c>
      <c r="AB67" s="1" t="s">
        <v>85</v>
      </c>
      <c r="AC67" s="1" t="s">
        <v>31</v>
      </c>
      <c r="AD67" s="4">
        <v>17</v>
      </c>
      <c r="AE67" s="4">
        <v>12</v>
      </c>
      <c r="AF67" s="1" t="s">
        <v>43</v>
      </c>
      <c r="AG67" s="1" t="s">
        <v>15</v>
      </c>
      <c r="AH67" s="5" t="s">
        <v>734</v>
      </c>
      <c r="AI67" s="4">
        <v>77</v>
      </c>
      <c r="AZ67" s="1" t="s">
        <v>487</v>
      </c>
      <c r="BA67" s="1" t="s">
        <v>18</v>
      </c>
      <c r="BB67" s="1" t="s">
        <v>79</v>
      </c>
      <c r="BC67" s="1" t="s">
        <v>13</v>
      </c>
      <c r="BD67" s="4">
        <v>16</v>
      </c>
      <c r="BE67" s="4">
        <v>11</v>
      </c>
      <c r="BF67" s="1" t="s">
        <v>43</v>
      </c>
      <c r="BG67" s="1" t="s">
        <v>61</v>
      </c>
      <c r="BH67" s="5" t="s">
        <v>488</v>
      </c>
      <c r="BI67" s="4">
        <v>86</v>
      </c>
      <c r="BM67" s="1" t="s">
        <v>733</v>
      </c>
      <c r="BN67" s="1" t="s">
        <v>84</v>
      </c>
      <c r="BO67" s="1" t="s">
        <v>85</v>
      </c>
      <c r="BP67" s="1" t="s">
        <v>31</v>
      </c>
      <c r="BQ67" s="4">
        <v>17</v>
      </c>
      <c r="BR67" s="4">
        <v>12</v>
      </c>
      <c r="BS67" s="1" t="s">
        <v>43</v>
      </c>
      <c r="BT67" s="1" t="s">
        <v>15</v>
      </c>
      <c r="BU67" s="5" t="s">
        <v>734</v>
      </c>
      <c r="BV67" s="4">
        <v>77</v>
      </c>
      <c r="BZ67" s="1" t="s">
        <v>365</v>
      </c>
      <c r="CA67" s="1" t="s">
        <v>11</v>
      </c>
      <c r="CB67" s="1" t="s">
        <v>55</v>
      </c>
      <c r="CC67" s="1" t="s">
        <v>13</v>
      </c>
      <c r="CD67" s="4">
        <v>16</v>
      </c>
      <c r="CE67" s="4">
        <v>10</v>
      </c>
      <c r="CF67" s="1" t="s">
        <v>32</v>
      </c>
      <c r="CG67" s="1" t="s">
        <v>15</v>
      </c>
      <c r="CH67" s="5" t="s">
        <v>366</v>
      </c>
      <c r="CI67" s="4">
        <v>72</v>
      </c>
      <c r="CM67" s="1" t="s">
        <v>420</v>
      </c>
      <c r="CN67" s="1" t="s">
        <v>73</v>
      </c>
      <c r="CO67" s="1" t="s">
        <v>85</v>
      </c>
      <c r="CP67" s="1" t="s">
        <v>13</v>
      </c>
      <c r="CQ67" s="4">
        <v>16</v>
      </c>
      <c r="CR67" s="4">
        <v>11</v>
      </c>
      <c r="CS67" s="1" t="s">
        <v>43</v>
      </c>
      <c r="CT67" s="1" t="s">
        <v>46</v>
      </c>
      <c r="CU67" s="5" t="s">
        <v>421</v>
      </c>
      <c r="CV67" s="4">
        <v>55</v>
      </c>
    </row>
    <row r="68" spans="13:100" x14ac:dyDescent="0.3">
      <c r="M68" s="1" t="s">
        <v>489</v>
      </c>
      <c r="N68" s="1" t="s">
        <v>68</v>
      </c>
      <c r="O68" s="1" t="s">
        <v>58</v>
      </c>
      <c r="P68" s="1" t="s">
        <v>31</v>
      </c>
      <c r="Q68" s="4">
        <v>20</v>
      </c>
      <c r="R68" s="4">
        <v>10</v>
      </c>
      <c r="S68" s="1" t="s">
        <v>32</v>
      </c>
      <c r="T68" s="1" t="s">
        <v>20</v>
      </c>
      <c r="U68" s="5" t="s">
        <v>370</v>
      </c>
      <c r="V68" s="4">
        <v>93</v>
      </c>
      <c r="Z68" s="1" t="s">
        <v>735</v>
      </c>
      <c r="AA68" s="1" t="s">
        <v>68</v>
      </c>
      <c r="AB68" s="1" t="s">
        <v>24</v>
      </c>
      <c r="AC68" s="1" t="s">
        <v>31</v>
      </c>
      <c r="AD68" s="4">
        <v>16</v>
      </c>
      <c r="AE68" s="4">
        <v>12</v>
      </c>
      <c r="AF68" s="1" t="s">
        <v>43</v>
      </c>
      <c r="AG68" s="1" t="s">
        <v>26</v>
      </c>
      <c r="AH68" s="5" t="s">
        <v>736</v>
      </c>
      <c r="AI68" s="4">
        <v>85</v>
      </c>
      <c r="AZ68" s="1" t="s">
        <v>489</v>
      </c>
      <c r="BA68" s="1" t="s">
        <v>68</v>
      </c>
      <c r="BB68" s="1" t="s">
        <v>58</v>
      </c>
      <c r="BC68" s="1" t="s">
        <v>31</v>
      </c>
      <c r="BD68" s="4">
        <v>20</v>
      </c>
      <c r="BE68" s="4">
        <v>10</v>
      </c>
      <c r="BF68" s="1" t="s">
        <v>32</v>
      </c>
      <c r="BG68" s="1" t="s">
        <v>20</v>
      </c>
      <c r="BH68" s="5" t="s">
        <v>370</v>
      </c>
      <c r="BI68" s="4">
        <v>93</v>
      </c>
      <c r="BM68" s="1" t="s">
        <v>735</v>
      </c>
      <c r="BN68" s="1" t="s">
        <v>68</v>
      </c>
      <c r="BO68" s="1" t="s">
        <v>24</v>
      </c>
      <c r="BP68" s="1" t="s">
        <v>31</v>
      </c>
      <c r="BQ68" s="4">
        <v>16</v>
      </c>
      <c r="BR68" s="4">
        <v>12</v>
      </c>
      <c r="BS68" s="1" t="s">
        <v>43</v>
      </c>
      <c r="BT68" s="1" t="s">
        <v>26</v>
      </c>
      <c r="BU68" s="5" t="s">
        <v>736</v>
      </c>
      <c r="BV68" s="4">
        <v>85</v>
      </c>
      <c r="BZ68" s="1" t="s">
        <v>369</v>
      </c>
      <c r="CA68" s="1" t="s">
        <v>23</v>
      </c>
      <c r="CB68" s="1" t="s">
        <v>24</v>
      </c>
      <c r="CC68" s="1" t="s">
        <v>31</v>
      </c>
      <c r="CD68" s="4">
        <v>17</v>
      </c>
      <c r="CE68" s="4">
        <v>12</v>
      </c>
      <c r="CF68" s="1" t="s">
        <v>43</v>
      </c>
      <c r="CG68" s="1" t="s">
        <v>61</v>
      </c>
      <c r="CH68" s="5" t="s">
        <v>370</v>
      </c>
      <c r="CI68" s="4">
        <v>96</v>
      </c>
      <c r="CM68" s="1" t="s">
        <v>445</v>
      </c>
      <c r="CN68" s="1" t="s">
        <v>54</v>
      </c>
      <c r="CO68" s="1" t="s">
        <v>96</v>
      </c>
      <c r="CP68" s="1" t="s">
        <v>13</v>
      </c>
      <c r="CQ68" s="4">
        <v>20</v>
      </c>
      <c r="CR68" s="4">
        <v>10</v>
      </c>
      <c r="CS68" s="1" t="s">
        <v>32</v>
      </c>
      <c r="CT68" s="1" t="s">
        <v>46</v>
      </c>
      <c r="CU68" s="5" t="s">
        <v>182</v>
      </c>
      <c r="CV68" s="4">
        <v>85</v>
      </c>
    </row>
    <row r="69" spans="13:100" x14ac:dyDescent="0.3">
      <c r="M69" s="1" t="s">
        <v>511</v>
      </c>
      <c r="N69" s="1" t="s">
        <v>35</v>
      </c>
      <c r="O69" s="1" t="s">
        <v>19</v>
      </c>
      <c r="P69" s="1" t="s">
        <v>31</v>
      </c>
      <c r="Q69" s="4">
        <v>15</v>
      </c>
      <c r="R69" s="4">
        <v>9</v>
      </c>
      <c r="S69" s="1" t="s">
        <v>25</v>
      </c>
      <c r="T69" s="1" t="s">
        <v>15</v>
      </c>
      <c r="U69" s="5" t="s">
        <v>512</v>
      </c>
      <c r="V69" s="4">
        <v>95</v>
      </c>
      <c r="Z69" s="1" t="s">
        <v>751</v>
      </c>
      <c r="AA69" s="1" t="s">
        <v>73</v>
      </c>
      <c r="AB69" s="1" t="s">
        <v>79</v>
      </c>
      <c r="AC69" s="1" t="s">
        <v>31</v>
      </c>
      <c r="AD69" s="4">
        <v>20</v>
      </c>
      <c r="AE69" s="4">
        <v>12</v>
      </c>
      <c r="AF69" s="1" t="s">
        <v>25</v>
      </c>
      <c r="AG69" s="1" t="s">
        <v>76</v>
      </c>
      <c r="AH69" s="5" t="s">
        <v>752</v>
      </c>
      <c r="AI69" s="4">
        <v>91</v>
      </c>
      <c r="AZ69" s="1" t="s">
        <v>511</v>
      </c>
      <c r="BA69" s="1" t="s">
        <v>35</v>
      </c>
      <c r="BB69" s="1" t="s">
        <v>19</v>
      </c>
      <c r="BC69" s="1" t="s">
        <v>31</v>
      </c>
      <c r="BD69" s="4">
        <v>15</v>
      </c>
      <c r="BE69" s="4">
        <v>9</v>
      </c>
      <c r="BF69" s="1" t="s">
        <v>25</v>
      </c>
      <c r="BG69" s="1" t="s">
        <v>15</v>
      </c>
      <c r="BH69" s="5" t="s">
        <v>512</v>
      </c>
      <c r="BI69" s="4">
        <v>95</v>
      </c>
      <c r="BM69" s="1" t="s">
        <v>751</v>
      </c>
      <c r="BN69" s="1" t="s">
        <v>73</v>
      </c>
      <c r="BO69" s="1" t="s">
        <v>79</v>
      </c>
      <c r="BP69" s="1" t="s">
        <v>31</v>
      </c>
      <c r="BQ69" s="4">
        <v>20</v>
      </c>
      <c r="BR69" s="4">
        <v>12</v>
      </c>
      <c r="BS69" s="1" t="s">
        <v>25</v>
      </c>
      <c r="BT69" s="1" t="s">
        <v>76</v>
      </c>
      <c r="BU69" s="5" t="s">
        <v>752</v>
      </c>
      <c r="BV69" s="4">
        <v>91</v>
      </c>
      <c r="BZ69" s="1" t="s">
        <v>375</v>
      </c>
      <c r="CA69" s="1" t="s">
        <v>35</v>
      </c>
      <c r="CB69" s="1" t="s">
        <v>36</v>
      </c>
      <c r="CC69" s="1" t="s">
        <v>13</v>
      </c>
      <c r="CD69" s="4">
        <v>18</v>
      </c>
      <c r="CE69" s="4">
        <v>11</v>
      </c>
      <c r="CF69" s="1" t="s">
        <v>25</v>
      </c>
      <c r="CG69" s="1" t="s">
        <v>40</v>
      </c>
      <c r="CH69" s="5" t="s">
        <v>376</v>
      </c>
      <c r="CI69" s="4">
        <v>62</v>
      </c>
      <c r="CM69" s="1" t="s">
        <v>454</v>
      </c>
      <c r="CN69" s="1" t="s">
        <v>29</v>
      </c>
      <c r="CO69" s="1" t="s">
        <v>12</v>
      </c>
      <c r="CP69" s="1" t="s">
        <v>31</v>
      </c>
      <c r="CQ69" s="4">
        <v>16</v>
      </c>
      <c r="CR69" s="4">
        <v>11</v>
      </c>
      <c r="CS69" s="1" t="s">
        <v>43</v>
      </c>
      <c r="CT69" s="1" t="s">
        <v>61</v>
      </c>
      <c r="CU69" s="5" t="s">
        <v>385</v>
      </c>
      <c r="CV69" s="4">
        <v>40</v>
      </c>
    </row>
    <row r="70" spans="13:100" x14ac:dyDescent="0.3">
      <c r="M70" s="1" t="s">
        <v>516</v>
      </c>
      <c r="N70" s="1" t="s">
        <v>18</v>
      </c>
      <c r="O70" s="1" t="s">
        <v>96</v>
      </c>
      <c r="P70" s="1" t="s">
        <v>31</v>
      </c>
      <c r="Q70" s="4">
        <v>14</v>
      </c>
      <c r="R70" s="4">
        <v>11</v>
      </c>
      <c r="S70" s="1" t="s">
        <v>32</v>
      </c>
      <c r="T70" s="1" t="s">
        <v>46</v>
      </c>
      <c r="U70" s="5" t="s">
        <v>517</v>
      </c>
      <c r="V70" s="4">
        <v>86</v>
      </c>
      <c r="Z70" s="1" t="s">
        <v>762</v>
      </c>
      <c r="AA70" s="1" t="s">
        <v>68</v>
      </c>
      <c r="AB70" s="1" t="s">
        <v>85</v>
      </c>
      <c r="AC70" s="1" t="s">
        <v>31</v>
      </c>
      <c r="AD70" s="4">
        <v>20</v>
      </c>
      <c r="AE70" s="4">
        <v>12</v>
      </c>
      <c r="AF70" s="1" t="s">
        <v>43</v>
      </c>
      <c r="AG70" s="1" t="s">
        <v>20</v>
      </c>
      <c r="AH70" s="5" t="s">
        <v>763</v>
      </c>
      <c r="AI70" s="4">
        <v>82</v>
      </c>
      <c r="AZ70" s="1" t="s">
        <v>516</v>
      </c>
      <c r="BA70" s="1" t="s">
        <v>18</v>
      </c>
      <c r="BB70" s="1" t="s">
        <v>96</v>
      </c>
      <c r="BC70" s="1" t="s">
        <v>31</v>
      </c>
      <c r="BD70" s="4">
        <v>14</v>
      </c>
      <c r="BE70" s="4">
        <v>11</v>
      </c>
      <c r="BF70" s="1" t="s">
        <v>32</v>
      </c>
      <c r="BG70" s="1" t="s">
        <v>46</v>
      </c>
      <c r="BH70" s="5" t="s">
        <v>517</v>
      </c>
      <c r="BI70" s="4">
        <v>86</v>
      </c>
      <c r="BM70" s="1" t="s">
        <v>762</v>
      </c>
      <c r="BN70" s="1" t="s">
        <v>68</v>
      </c>
      <c r="BO70" s="1" t="s">
        <v>85</v>
      </c>
      <c r="BP70" s="1" t="s">
        <v>31</v>
      </c>
      <c r="BQ70" s="4">
        <v>20</v>
      </c>
      <c r="BR70" s="4">
        <v>12</v>
      </c>
      <c r="BS70" s="1" t="s">
        <v>43</v>
      </c>
      <c r="BT70" s="1" t="s">
        <v>20</v>
      </c>
      <c r="BU70" s="5" t="s">
        <v>763</v>
      </c>
      <c r="BV70" s="4">
        <v>82</v>
      </c>
      <c r="BZ70" s="1" t="s">
        <v>378</v>
      </c>
      <c r="CA70" s="1" t="s">
        <v>18</v>
      </c>
      <c r="CB70" s="1" t="s">
        <v>55</v>
      </c>
      <c r="CC70" s="1" t="s">
        <v>31</v>
      </c>
      <c r="CD70" s="4">
        <v>17</v>
      </c>
      <c r="CE70" s="4">
        <v>9</v>
      </c>
      <c r="CF70" s="1" t="s">
        <v>32</v>
      </c>
      <c r="CG70" s="1" t="s">
        <v>26</v>
      </c>
      <c r="CH70" s="5" t="s">
        <v>379</v>
      </c>
      <c r="CI70" s="4">
        <v>66</v>
      </c>
      <c r="CM70" s="1" t="s">
        <v>455</v>
      </c>
      <c r="CN70" s="1" t="s">
        <v>29</v>
      </c>
      <c r="CO70" s="1" t="s">
        <v>30</v>
      </c>
      <c r="CP70" s="1" t="s">
        <v>13</v>
      </c>
      <c r="CQ70" s="4">
        <v>16</v>
      </c>
      <c r="CR70" s="4">
        <v>9</v>
      </c>
      <c r="CS70" s="1" t="s">
        <v>14</v>
      </c>
      <c r="CT70" s="1" t="s">
        <v>61</v>
      </c>
      <c r="CU70" s="5" t="s">
        <v>447</v>
      </c>
      <c r="CV70" s="4">
        <v>60</v>
      </c>
    </row>
    <row r="71" spans="13:100" x14ac:dyDescent="0.3">
      <c r="M71" s="1" t="s">
        <v>522</v>
      </c>
      <c r="N71" s="1" t="s">
        <v>54</v>
      </c>
      <c r="O71" s="1" t="s">
        <v>79</v>
      </c>
      <c r="P71" s="1" t="s">
        <v>31</v>
      </c>
      <c r="Q71" s="4">
        <v>18</v>
      </c>
      <c r="R71" s="4">
        <v>10</v>
      </c>
      <c r="S71" s="1" t="s">
        <v>14</v>
      </c>
      <c r="T71" s="1" t="s">
        <v>61</v>
      </c>
      <c r="U71" s="5" t="s">
        <v>523</v>
      </c>
      <c r="V71" s="4">
        <v>82</v>
      </c>
      <c r="Z71" s="1" t="s">
        <v>799</v>
      </c>
      <c r="AA71" s="1" t="s">
        <v>54</v>
      </c>
      <c r="AB71" s="1" t="s">
        <v>36</v>
      </c>
      <c r="AC71" s="1" t="s">
        <v>31</v>
      </c>
      <c r="AD71" s="4">
        <v>17</v>
      </c>
      <c r="AE71" s="4">
        <v>12</v>
      </c>
      <c r="AF71" s="1" t="s">
        <v>14</v>
      </c>
      <c r="AG71" s="1" t="s">
        <v>46</v>
      </c>
      <c r="AH71" s="5" t="s">
        <v>533</v>
      </c>
      <c r="AI71" s="4">
        <v>59</v>
      </c>
      <c r="AZ71" s="1" t="s">
        <v>522</v>
      </c>
      <c r="BA71" s="1" t="s">
        <v>54</v>
      </c>
      <c r="BB71" s="1" t="s">
        <v>79</v>
      </c>
      <c r="BC71" s="1" t="s">
        <v>31</v>
      </c>
      <c r="BD71" s="4">
        <v>18</v>
      </c>
      <c r="BE71" s="4">
        <v>10</v>
      </c>
      <c r="BF71" s="1" t="s">
        <v>14</v>
      </c>
      <c r="BG71" s="1" t="s">
        <v>61</v>
      </c>
      <c r="BH71" s="5" t="s">
        <v>523</v>
      </c>
      <c r="BI71" s="4">
        <v>82</v>
      </c>
      <c r="BM71" s="1" t="s">
        <v>799</v>
      </c>
      <c r="BN71" s="1" t="s">
        <v>54</v>
      </c>
      <c r="BO71" s="1" t="s">
        <v>36</v>
      </c>
      <c r="BP71" s="1" t="s">
        <v>31</v>
      </c>
      <c r="BQ71" s="4">
        <v>17</v>
      </c>
      <c r="BR71" s="4">
        <v>12</v>
      </c>
      <c r="BS71" s="1" t="s">
        <v>14</v>
      </c>
      <c r="BT71" s="1" t="s">
        <v>46</v>
      </c>
      <c r="BU71" s="5" t="s">
        <v>533</v>
      </c>
      <c r="BV71" s="4">
        <v>59</v>
      </c>
      <c r="BZ71" s="1" t="s">
        <v>380</v>
      </c>
      <c r="CA71" s="1" t="s">
        <v>11</v>
      </c>
      <c r="CB71" s="1" t="s">
        <v>24</v>
      </c>
      <c r="CC71" s="1" t="s">
        <v>31</v>
      </c>
      <c r="CD71" s="4">
        <v>18</v>
      </c>
      <c r="CE71" s="4">
        <v>11</v>
      </c>
      <c r="CF71" s="1" t="s">
        <v>32</v>
      </c>
      <c r="CG71" s="1" t="s">
        <v>61</v>
      </c>
      <c r="CH71" s="5" t="s">
        <v>381</v>
      </c>
      <c r="CI71" s="4">
        <v>67</v>
      </c>
      <c r="CM71" s="1" t="s">
        <v>456</v>
      </c>
      <c r="CN71" s="1" t="s">
        <v>11</v>
      </c>
      <c r="CO71" s="1" t="s">
        <v>55</v>
      </c>
      <c r="CP71" s="1" t="s">
        <v>13</v>
      </c>
      <c r="CQ71" s="4">
        <v>15</v>
      </c>
      <c r="CR71" s="4">
        <v>9</v>
      </c>
      <c r="CS71" s="1" t="s">
        <v>32</v>
      </c>
      <c r="CT71" s="1" t="s">
        <v>61</v>
      </c>
      <c r="CU71" s="5" t="s">
        <v>457</v>
      </c>
      <c r="CV71" s="4">
        <v>97</v>
      </c>
    </row>
    <row r="72" spans="13:100" x14ac:dyDescent="0.3">
      <c r="M72" s="1" t="s">
        <v>524</v>
      </c>
      <c r="N72" s="1" t="s">
        <v>35</v>
      </c>
      <c r="O72" s="1" t="s">
        <v>85</v>
      </c>
      <c r="P72" s="1" t="s">
        <v>13</v>
      </c>
      <c r="Q72" s="4">
        <v>20</v>
      </c>
      <c r="R72" s="4">
        <v>10</v>
      </c>
      <c r="S72" s="1" t="s">
        <v>14</v>
      </c>
      <c r="T72" s="1" t="s">
        <v>40</v>
      </c>
      <c r="U72" s="5" t="s">
        <v>525</v>
      </c>
      <c r="V72" s="4">
        <v>92</v>
      </c>
      <c r="Z72" s="1" t="s">
        <v>823</v>
      </c>
      <c r="AA72" s="1" t="s">
        <v>11</v>
      </c>
      <c r="AB72" s="1" t="s">
        <v>79</v>
      </c>
      <c r="AC72" s="1" t="s">
        <v>31</v>
      </c>
      <c r="AD72" s="4">
        <v>18</v>
      </c>
      <c r="AE72" s="4">
        <v>12</v>
      </c>
      <c r="AF72" s="1" t="s">
        <v>43</v>
      </c>
      <c r="AG72" s="1" t="s">
        <v>37</v>
      </c>
      <c r="AH72" s="5" t="s">
        <v>292</v>
      </c>
      <c r="AI72" s="4">
        <v>94</v>
      </c>
      <c r="AZ72" s="1" t="s">
        <v>524</v>
      </c>
      <c r="BA72" s="1" t="s">
        <v>35</v>
      </c>
      <c r="BB72" s="1" t="s">
        <v>85</v>
      </c>
      <c r="BC72" s="1" t="s">
        <v>13</v>
      </c>
      <c r="BD72" s="4">
        <v>20</v>
      </c>
      <c r="BE72" s="4">
        <v>10</v>
      </c>
      <c r="BF72" s="1" t="s">
        <v>14</v>
      </c>
      <c r="BG72" s="1" t="s">
        <v>40</v>
      </c>
      <c r="BH72" s="5" t="s">
        <v>525</v>
      </c>
      <c r="BI72" s="4">
        <v>92</v>
      </c>
      <c r="BM72" s="1" t="s">
        <v>823</v>
      </c>
      <c r="BN72" s="1" t="s">
        <v>11</v>
      </c>
      <c r="BO72" s="1" t="s">
        <v>79</v>
      </c>
      <c r="BP72" s="1" t="s">
        <v>31</v>
      </c>
      <c r="BQ72" s="4">
        <v>18</v>
      </c>
      <c r="BR72" s="4">
        <v>12</v>
      </c>
      <c r="BS72" s="1" t="s">
        <v>43</v>
      </c>
      <c r="BT72" s="1" t="s">
        <v>37</v>
      </c>
      <c r="BU72" s="5" t="s">
        <v>292</v>
      </c>
      <c r="BV72" s="4">
        <v>94</v>
      </c>
      <c r="BZ72" s="1" t="s">
        <v>382</v>
      </c>
      <c r="CA72" s="1" t="s">
        <v>51</v>
      </c>
      <c r="CB72" s="1" t="s">
        <v>85</v>
      </c>
      <c r="CC72" s="1" t="s">
        <v>13</v>
      </c>
      <c r="CD72" s="4">
        <v>16</v>
      </c>
      <c r="CE72" s="4">
        <v>10</v>
      </c>
      <c r="CF72" s="1" t="s">
        <v>43</v>
      </c>
      <c r="CG72" s="1" t="s">
        <v>61</v>
      </c>
      <c r="CH72" s="5" t="s">
        <v>383</v>
      </c>
      <c r="CI72" s="4">
        <v>72</v>
      </c>
      <c r="CM72" s="1" t="s">
        <v>458</v>
      </c>
      <c r="CN72" s="1" t="s">
        <v>11</v>
      </c>
      <c r="CO72" s="1" t="s">
        <v>55</v>
      </c>
      <c r="CP72" s="1" t="s">
        <v>13</v>
      </c>
      <c r="CQ72" s="4">
        <v>19</v>
      </c>
      <c r="CR72" s="4">
        <v>11</v>
      </c>
      <c r="CS72" s="1" t="s">
        <v>14</v>
      </c>
      <c r="CT72" s="1" t="s">
        <v>46</v>
      </c>
      <c r="CU72" s="5" t="s">
        <v>459</v>
      </c>
      <c r="CV72" s="4">
        <v>81</v>
      </c>
    </row>
    <row r="73" spans="13:100" x14ac:dyDescent="0.3">
      <c r="M73" s="1" t="s">
        <v>527</v>
      </c>
      <c r="N73" s="1" t="s">
        <v>11</v>
      </c>
      <c r="O73" s="1" t="s">
        <v>85</v>
      </c>
      <c r="P73" s="1" t="s">
        <v>13</v>
      </c>
      <c r="Q73" s="4">
        <v>20</v>
      </c>
      <c r="R73" s="4">
        <v>12</v>
      </c>
      <c r="S73" s="1" t="s">
        <v>25</v>
      </c>
      <c r="T73" s="1" t="s">
        <v>46</v>
      </c>
      <c r="U73" s="5" t="s">
        <v>451</v>
      </c>
      <c r="V73" s="4">
        <v>86</v>
      </c>
      <c r="Z73" s="1" t="s">
        <v>873</v>
      </c>
      <c r="AA73" s="1" t="s">
        <v>18</v>
      </c>
      <c r="AB73" s="1" t="s">
        <v>79</v>
      </c>
      <c r="AC73" s="1" t="s">
        <v>31</v>
      </c>
      <c r="AD73" s="4">
        <v>19</v>
      </c>
      <c r="AE73" s="4">
        <v>12</v>
      </c>
      <c r="AF73" s="1" t="s">
        <v>32</v>
      </c>
      <c r="AG73" s="1" t="s">
        <v>76</v>
      </c>
      <c r="AH73" s="5" t="s">
        <v>742</v>
      </c>
      <c r="AI73" s="4">
        <v>83</v>
      </c>
      <c r="AZ73" s="1" t="s">
        <v>527</v>
      </c>
      <c r="BA73" s="1" t="s">
        <v>11</v>
      </c>
      <c r="BB73" s="1" t="s">
        <v>85</v>
      </c>
      <c r="BC73" s="1" t="s">
        <v>13</v>
      </c>
      <c r="BD73" s="4">
        <v>20</v>
      </c>
      <c r="BE73" s="4">
        <v>12</v>
      </c>
      <c r="BF73" s="1" t="s">
        <v>25</v>
      </c>
      <c r="BG73" s="1" t="s">
        <v>46</v>
      </c>
      <c r="BH73" s="5" t="s">
        <v>451</v>
      </c>
      <c r="BI73" s="4">
        <v>86</v>
      </c>
      <c r="BM73" s="1" t="s">
        <v>873</v>
      </c>
      <c r="BN73" s="1" t="s">
        <v>18</v>
      </c>
      <c r="BO73" s="1" t="s">
        <v>79</v>
      </c>
      <c r="BP73" s="1" t="s">
        <v>31</v>
      </c>
      <c r="BQ73" s="4">
        <v>19</v>
      </c>
      <c r="BR73" s="4">
        <v>12</v>
      </c>
      <c r="BS73" s="1" t="s">
        <v>32</v>
      </c>
      <c r="BT73" s="1" t="s">
        <v>76</v>
      </c>
      <c r="BU73" s="5" t="s">
        <v>742</v>
      </c>
      <c r="BV73" s="4">
        <v>83</v>
      </c>
      <c r="BZ73" s="1" t="s">
        <v>384</v>
      </c>
      <c r="CA73" s="1" t="s">
        <v>54</v>
      </c>
      <c r="CB73" s="1" t="s">
        <v>19</v>
      </c>
      <c r="CC73" s="1" t="s">
        <v>31</v>
      </c>
      <c r="CD73" s="4">
        <v>16</v>
      </c>
      <c r="CE73" s="4">
        <v>12</v>
      </c>
      <c r="CF73" s="1" t="s">
        <v>25</v>
      </c>
      <c r="CG73" s="1" t="s">
        <v>20</v>
      </c>
      <c r="CH73" s="5" t="s">
        <v>385</v>
      </c>
      <c r="CI73" s="4">
        <v>39</v>
      </c>
      <c r="CM73" s="1" t="s">
        <v>470</v>
      </c>
      <c r="CN73" s="1" t="s">
        <v>35</v>
      </c>
      <c r="CO73" s="1" t="s">
        <v>96</v>
      </c>
      <c r="CP73" s="1" t="s">
        <v>31</v>
      </c>
      <c r="CQ73" s="4">
        <v>16</v>
      </c>
      <c r="CR73" s="4">
        <v>11</v>
      </c>
      <c r="CS73" s="1" t="s">
        <v>32</v>
      </c>
      <c r="CT73" s="1" t="s">
        <v>61</v>
      </c>
      <c r="CU73" s="5" t="s">
        <v>471</v>
      </c>
      <c r="CV73" s="4">
        <v>65</v>
      </c>
    </row>
    <row r="74" spans="13:100" x14ac:dyDescent="0.3">
      <c r="M74" s="1" t="s">
        <v>532</v>
      </c>
      <c r="N74" s="1" t="s">
        <v>51</v>
      </c>
      <c r="O74" s="1" t="s">
        <v>19</v>
      </c>
      <c r="P74" s="1" t="s">
        <v>31</v>
      </c>
      <c r="Q74" s="4">
        <v>14</v>
      </c>
      <c r="R74" s="4">
        <v>11</v>
      </c>
      <c r="S74" s="1" t="s">
        <v>43</v>
      </c>
      <c r="T74" s="1" t="s">
        <v>20</v>
      </c>
      <c r="U74" s="5" t="s">
        <v>533</v>
      </c>
      <c r="V74" s="4">
        <v>93</v>
      </c>
      <c r="Z74" s="1" t="s">
        <v>881</v>
      </c>
      <c r="AA74" s="1" t="s">
        <v>73</v>
      </c>
      <c r="AB74" s="1" t="s">
        <v>24</v>
      </c>
      <c r="AC74" s="1" t="s">
        <v>31</v>
      </c>
      <c r="AD74" s="4">
        <v>14</v>
      </c>
      <c r="AE74" s="4">
        <v>12</v>
      </c>
      <c r="AF74" s="1" t="s">
        <v>25</v>
      </c>
      <c r="AG74" s="1" t="s">
        <v>46</v>
      </c>
      <c r="AH74" s="5" t="s">
        <v>882</v>
      </c>
      <c r="AI74" s="4">
        <v>58</v>
      </c>
      <c r="AZ74" s="1" t="s">
        <v>532</v>
      </c>
      <c r="BA74" s="1" t="s">
        <v>51</v>
      </c>
      <c r="BB74" s="1" t="s">
        <v>19</v>
      </c>
      <c r="BC74" s="1" t="s">
        <v>31</v>
      </c>
      <c r="BD74" s="4">
        <v>14</v>
      </c>
      <c r="BE74" s="4">
        <v>11</v>
      </c>
      <c r="BF74" s="1" t="s">
        <v>43</v>
      </c>
      <c r="BG74" s="1" t="s">
        <v>20</v>
      </c>
      <c r="BH74" s="5" t="s">
        <v>533</v>
      </c>
      <c r="BI74" s="4">
        <v>93</v>
      </c>
      <c r="BM74" s="1" t="s">
        <v>881</v>
      </c>
      <c r="BN74" s="1" t="s">
        <v>73</v>
      </c>
      <c r="BO74" s="1" t="s">
        <v>24</v>
      </c>
      <c r="BP74" s="1" t="s">
        <v>31</v>
      </c>
      <c r="BQ74" s="4">
        <v>14</v>
      </c>
      <c r="BR74" s="4">
        <v>12</v>
      </c>
      <c r="BS74" s="1" t="s">
        <v>25</v>
      </c>
      <c r="BT74" s="1" t="s">
        <v>46</v>
      </c>
      <c r="BU74" s="5" t="s">
        <v>882</v>
      </c>
      <c r="BV74" s="4">
        <v>58</v>
      </c>
      <c r="BZ74" s="1" t="s">
        <v>386</v>
      </c>
      <c r="CA74" s="1" t="s">
        <v>68</v>
      </c>
      <c r="CB74" s="1" t="s">
        <v>96</v>
      </c>
      <c r="CC74" s="1" t="s">
        <v>13</v>
      </c>
      <c r="CD74" s="4">
        <v>18</v>
      </c>
      <c r="CE74" s="4">
        <v>9</v>
      </c>
      <c r="CF74" s="1" t="s">
        <v>25</v>
      </c>
      <c r="CG74" s="1" t="s">
        <v>46</v>
      </c>
      <c r="CH74" s="5" t="s">
        <v>387</v>
      </c>
      <c r="CI74" s="4">
        <v>74</v>
      </c>
      <c r="CM74" s="1" t="s">
        <v>473</v>
      </c>
      <c r="CN74" s="1" t="s">
        <v>18</v>
      </c>
      <c r="CO74" s="1" t="s">
        <v>19</v>
      </c>
      <c r="CP74" s="1" t="s">
        <v>31</v>
      </c>
      <c r="CQ74" s="4">
        <v>16</v>
      </c>
      <c r="CR74" s="4">
        <v>11</v>
      </c>
      <c r="CS74" s="1" t="s">
        <v>14</v>
      </c>
      <c r="CT74" s="1" t="s">
        <v>61</v>
      </c>
      <c r="CU74" s="5" t="s">
        <v>474</v>
      </c>
      <c r="CV74" s="4">
        <v>75</v>
      </c>
    </row>
    <row r="75" spans="13:100" x14ac:dyDescent="0.3">
      <c r="M75" s="1" t="s">
        <v>546</v>
      </c>
      <c r="N75" s="1" t="s">
        <v>51</v>
      </c>
      <c r="O75" s="1" t="s">
        <v>36</v>
      </c>
      <c r="P75" s="1" t="s">
        <v>31</v>
      </c>
      <c r="Q75" s="4">
        <v>14</v>
      </c>
      <c r="R75" s="4">
        <v>9</v>
      </c>
      <c r="S75" s="1" t="s">
        <v>14</v>
      </c>
      <c r="T75" s="1" t="s">
        <v>46</v>
      </c>
      <c r="U75" s="5" t="s">
        <v>547</v>
      </c>
      <c r="V75" s="4">
        <v>81</v>
      </c>
      <c r="Z75" s="1" t="s">
        <v>889</v>
      </c>
      <c r="AA75" s="1" t="s">
        <v>68</v>
      </c>
      <c r="AB75" s="1" t="s">
        <v>19</v>
      </c>
      <c r="AC75" s="1" t="s">
        <v>31</v>
      </c>
      <c r="AD75" s="4">
        <v>18</v>
      </c>
      <c r="AE75" s="4">
        <v>12</v>
      </c>
      <c r="AF75" s="1" t="s">
        <v>32</v>
      </c>
      <c r="AG75" s="1" t="s">
        <v>46</v>
      </c>
      <c r="AH75" s="5" t="s">
        <v>890</v>
      </c>
      <c r="AI75" s="4">
        <v>88</v>
      </c>
      <c r="AZ75" s="1" t="s">
        <v>546</v>
      </c>
      <c r="BA75" s="1" t="s">
        <v>51</v>
      </c>
      <c r="BB75" s="1" t="s">
        <v>36</v>
      </c>
      <c r="BC75" s="1" t="s">
        <v>31</v>
      </c>
      <c r="BD75" s="4">
        <v>14</v>
      </c>
      <c r="BE75" s="4">
        <v>9</v>
      </c>
      <c r="BF75" s="1" t="s">
        <v>14</v>
      </c>
      <c r="BG75" s="1" t="s">
        <v>46</v>
      </c>
      <c r="BH75" s="5" t="s">
        <v>547</v>
      </c>
      <c r="BI75" s="4">
        <v>81</v>
      </c>
      <c r="BM75" s="1" t="s">
        <v>889</v>
      </c>
      <c r="BN75" s="1" t="s">
        <v>68</v>
      </c>
      <c r="BO75" s="1" t="s">
        <v>19</v>
      </c>
      <c r="BP75" s="1" t="s">
        <v>31</v>
      </c>
      <c r="BQ75" s="4">
        <v>18</v>
      </c>
      <c r="BR75" s="4">
        <v>12</v>
      </c>
      <c r="BS75" s="1" t="s">
        <v>32</v>
      </c>
      <c r="BT75" s="1" t="s">
        <v>46</v>
      </c>
      <c r="BU75" s="5" t="s">
        <v>890</v>
      </c>
      <c r="BV75" s="4">
        <v>88</v>
      </c>
      <c r="BZ75" s="1" t="s">
        <v>395</v>
      </c>
      <c r="CA75" s="1" t="s">
        <v>11</v>
      </c>
      <c r="CB75" s="1" t="s">
        <v>96</v>
      </c>
      <c r="CC75" s="1" t="s">
        <v>13</v>
      </c>
      <c r="CD75" s="4">
        <v>18</v>
      </c>
      <c r="CE75" s="4">
        <v>11</v>
      </c>
      <c r="CF75" s="1" t="s">
        <v>25</v>
      </c>
      <c r="CG75" s="1" t="s">
        <v>37</v>
      </c>
      <c r="CH75" s="5" t="s">
        <v>396</v>
      </c>
      <c r="CI75" s="4">
        <v>65</v>
      </c>
      <c r="CM75" s="1" t="s">
        <v>482</v>
      </c>
      <c r="CN75" s="1" t="s">
        <v>35</v>
      </c>
      <c r="CO75" s="1" t="s">
        <v>24</v>
      </c>
      <c r="CP75" s="1" t="s">
        <v>13</v>
      </c>
      <c r="CQ75" s="4">
        <v>18</v>
      </c>
      <c r="CR75" s="4">
        <v>11</v>
      </c>
      <c r="CS75" s="1" t="s">
        <v>14</v>
      </c>
      <c r="CT75" s="1" t="s">
        <v>61</v>
      </c>
      <c r="CU75" s="5" t="s">
        <v>483</v>
      </c>
      <c r="CV75" s="4">
        <v>86</v>
      </c>
    </row>
    <row r="76" spans="13:100" x14ac:dyDescent="0.3">
      <c r="M76" s="1" t="s">
        <v>548</v>
      </c>
      <c r="N76" s="1" t="s">
        <v>51</v>
      </c>
      <c r="O76" s="1" t="s">
        <v>24</v>
      </c>
      <c r="P76" s="1" t="s">
        <v>31</v>
      </c>
      <c r="Q76" s="4">
        <v>15</v>
      </c>
      <c r="R76" s="4">
        <v>11</v>
      </c>
      <c r="S76" s="1" t="s">
        <v>32</v>
      </c>
      <c r="T76" s="1" t="s">
        <v>40</v>
      </c>
      <c r="U76" s="5" t="s">
        <v>549</v>
      </c>
      <c r="V76" s="4">
        <v>90</v>
      </c>
      <c r="Z76" s="1" t="s">
        <v>903</v>
      </c>
      <c r="AA76" s="1" t="s">
        <v>54</v>
      </c>
      <c r="AB76" s="1" t="s">
        <v>30</v>
      </c>
      <c r="AC76" s="1" t="s">
        <v>31</v>
      </c>
      <c r="AD76" s="4">
        <v>20</v>
      </c>
      <c r="AE76" s="4">
        <v>12</v>
      </c>
      <c r="AF76" s="1" t="s">
        <v>43</v>
      </c>
      <c r="AG76" s="1" t="s">
        <v>40</v>
      </c>
      <c r="AH76" s="5" t="s">
        <v>904</v>
      </c>
      <c r="AI76" s="4">
        <v>55</v>
      </c>
      <c r="AZ76" s="1" t="s">
        <v>548</v>
      </c>
      <c r="BA76" s="1" t="s">
        <v>51</v>
      </c>
      <c r="BB76" s="1" t="s">
        <v>24</v>
      </c>
      <c r="BC76" s="1" t="s">
        <v>31</v>
      </c>
      <c r="BD76" s="4">
        <v>15</v>
      </c>
      <c r="BE76" s="4">
        <v>11</v>
      </c>
      <c r="BF76" s="1" t="s">
        <v>32</v>
      </c>
      <c r="BG76" s="1" t="s">
        <v>40</v>
      </c>
      <c r="BH76" s="5" t="s">
        <v>549</v>
      </c>
      <c r="BI76" s="4">
        <v>90</v>
      </c>
      <c r="BM76" s="1" t="s">
        <v>903</v>
      </c>
      <c r="BN76" s="1" t="s">
        <v>54</v>
      </c>
      <c r="BO76" s="1" t="s">
        <v>30</v>
      </c>
      <c r="BP76" s="1" t="s">
        <v>31</v>
      </c>
      <c r="BQ76" s="4">
        <v>20</v>
      </c>
      <c r="BR76" s="4">
        <v>12</v>
      </c>
      <c r="BS76" s="1" t="s">
        <v>43</v>
      </c>
      <c r="BT76" s="1" t="s">
        <v>40</v>
      </c>
      <c r="BU76" s="5" t="s">
        <v>904</v>
      </c>
      <c r="BV76" s="4">
        <v>55</v>
      </c>
      <c r="BZ76" s="1" t="s">
        <v>399</v>
      </c>
      <c r="CA76" s="1" t="s">
        <v>35</v>
      </c>
      <c r="CB76" s="1" t="s">
        <v>79</v>
      </c>
      <c r="CC76" s="1" t="s">
        <v>13</v>
      </c>
      <c r="CD76" s="4">
        <v>17</v>
      </c>
      <c r="CE76" s="4">
        <v>10</v>
      </c>
      <c r="CF76" s="1" t="s">
        <v>43</v>
      </c>
      <c r="CG76" s="1" t="s">
        <v>37</v>
      </c>
      <c r="CH76" s="5" t="s">
        <v>400</v>
      </c>
      <c r="CI76" s="4">
        <v>78</v>
      </c>
      <c r="CM76" s="1" t="s">
        <v>487</v>
      </c>
      <c r="CN76" s="1" t="s">
        <v>18</v>
      </c>
      <c r="CO76" s="1" t="s">
        <v>79</v>
      </c>
      <c r="CP76" s="1" t="s">
        <v>13</v>
      </c>
      <c r="CQ76" s="4">
        <v>16</v>
      </c>
      <c r="CR76" s="4">
        <v>11</v>
      </c>
      <c r="CS76" s="1" t="s">
        <v>43</v>
      </c>
      <c r="CT76" s="1" t="s">
        <v>61</v>
      </c>
      <c r="CU76" s="5" t="s">
        <v>488</v>
      </c>
      <c r="CV76" s="4">
        <v>86</v>
      </c>
    </row>
    <row r="77" spans="13:100" x14ac:dyDescent="0.3">
      <c r="M77" s="1" t="s">
        <v>550</v>
      </c>
      <c r="N77" s="1" t="s">
        <v>73</v>
      </c>
      <c r="O77" s="1" t="s">
        <v>19</v>
      </c>
      <c r="P77" s="1" t="s">
        <v>13</v>
      </c>
      <c r="Q77" s="4">
        <v>14</v>
      </c>
      <c r="R77" s="4">
        <v>11</v>
      </c>
      <c r="S77" s="1" t="s">
        <v>32</v>
      </c>
      <c r="T77" s="1" t="s">
        <v>26</v>
      </c>
      <c r="U77" s="5" t="s">
        <v>551</v>
      </c>
      <c r="V77" s="4">
        <v>90</v>
      </c>
      <c r="Z77" s="1" t="s">
        <v>912</v>
      </c>
      <c r="AA77" s="1" t="s">
        <v>23</v>
      </c>
      <c r="AB77" s="1" t="s">
        <v>79</v>
      </c>
      <c r="AC77" s="1" t="s">
        <v>31</v>
      </c>
      <c r="AD77" s="4">
        <v>17</v>
      </c>
      <c r="AE77" s="4">
        <v>12</v>
      </c>
      <c r="AF77" s="1" t="s">
        <v>32</v>
      </c>
      <c r="AG77" s="1" t="s">
        <v>46</v>
      </c>
      <c r="AH77" s="5" t="s">
        <v>400</v>
      </c>
      <c r="AI77" s="4">
        <v>70</v>
      </c>
      <c r="AZ77" s="1" t="s">
        <v>550</v>
      </c>
      <c r="BA77" s="1" t="s">
        <v>73</v>
      </c>
      <c r="BB77" s="1" t="s">
        <v>19</v>
      </c>
      <c r="BC77" s="1" t="s">
        <v>13</v>
      </c>
      <c r="BD77" s="4">
        <v>14</v>
      </c>
      <c r="BE77" s="4">
        <v>11</v>
      </c>
      <c r="BF77" s="1" t="s">
        <v>32</v>
      </c>
      <c r="BG77" s="1" t="s">
        <v>26</v>
      </c>
      <c r="BH77" s="5" t="s">
        <v>551</v>
      </c>
      <c r="BI77" s="4">
        <v>90</v>
      </c>
      <c r="BM77" s="1" t="s">
        <v>912</v>
      </c>
      <c r="BN77" s="1" t="s">
        <v>23</v>
      </c>
      <c r="BO77" s="1" t="s">
        <v>79</v>
      </c>
      <c r="BP77" s="1" t="s">
        <v>31</v>
      </c>
      <c r="BQ77" s="4">
        <v>17</v>
      </c>
      <c r="BR77" s="4">
        <v>12</v>
      </c>
      <c r="BS77" s="1" t="s">
        <v>32</v>
      </c>
      <c r="BT77" s="1" t="s">
        <v>46</v>
      </c>
      <c r="BU77" s="5" t="s">
        <v>400</v>
      </c>
      <c r="BV77" s="4">
        <v>70</v>
      </c>
      <c r="BZ77" s="1" t="s">
        <v>405</v>
      </c>
      <c r="CA77" s="1" t="s">
        <v>18</v>
      </c>
      <c r="CB77" s="1" t="s">
        <v>19</v>
      </c>
      <c r="CC77" s="1" t="s">
        <v>31</v>
      </c>
      <c r="CD77" s="4">
        <v>18</v>
      </c>
      <c r="CE77" s="4">
        <v>12</v>
      </c>
      <c r="CF77" s="1" t="s">
        <v>25</v>
      </c>
      <c r="CG77" s="1" t="s">
        <v>37</v>
      </c>
      <c r="CH77" s="5" t="s">
        <v>406</v>
      </c>
      <c r="CI77" s="4">
        <v>70</v>
      </c>
      <c r="CM77" s="1" t="s">
        <v>490</v>
      </c>
      <c r="CN77" s="1" t="s">
        <v>73</v>
      </c>
      <c r="CO77" s="1" t="s">
        <v>96</v>
      </c>
      <c r="CP77" s="1" t="s">
        <v>13</v>
      </c>
      <c r="CQ77" s="4">
        <v>17</v>
      </c>
      <c r="CR77" s="4">
        <v>10</v>
      </c>
      <c r="CS77" s="1" t="s">
        <v>32</v>
      </c>
      <c r="CT77" s="1" t="s">
        <v>61</v>
      </c>
      <c r="CU77" s="5" t="s">
        <v>491</v>
      </c>
      <c r="CV77" s="4">
        <v>60</v>
      </c>
    </row>
    <row r="78" spans="13:100" x14ac:dyDescent="0.3">
      <c r="M78" s="1" t="s">
        <v>552</v>
      </c>
      <c r="N78" s="1" t="s">
        <v>35</v>
      </c>
      <c r="O78" s="1" t="s">
        <v>30</v>
      </c>
      <c r="P78" s="1" t="s">
        <v>13</v>
      </c>
      <c r="Q78" s="4">
        <v>19</v>
      </c>
      <c r="R78" s="4">
        <v>11</v>
      </c>
      <c r="S78" s="1" t="s">
        <v>14</v>
      </c>
      <c r="T78" s="1" t="s">
        <v>76</v>
      </c>
      <c r="U78" s="5" t="s">
        <v>553</v>
      </c>
      <c r="V78" s="4">
        <v>81</v>
      </c>
      <c r="Z78" s="1" t="s">
        <v>923</v>
      </c>
      <c r="AA78" s="1" t="s">
        <v>68</v>
      </c>
      <c r="AB78" s="1" t="s">
        <v>55</v>
      </c>
      <c r="AC78" s="1" t="s">
        <v>31</v>
      </c>
      <c r="AD78" s="4">
        <v>16</v>
      </c>
      <c r="AE78" s="4">
        <v>12</v>
      </c>
      <c r="AF78" s="1" t="s">
        <v>43</v>
      </c>
      <c r="AG78" s="1" t="s">
        <v>37</v>
      </c>
      <c r="AH78" s="5" t="s">
        <v>924</v>
      </c>
      <c r="AI78" s="4">
        <v>77</v>
      </c>
      <c r="AZ78" s="1" t="s">
        <v>552</v>
      </c>
      <c r="BA78" s="1" t="s">
        <v>35</v>
      </c>
      <c r="BB78" s="1" t="s">
        <v>30</v>
      </c>
      <c r="BC78" s="1" t="s">
        <v>13</v>
      </c>
      <c r="BD78" s="4">
        <v>19</v>
      </c>
      <c r="BE78" s="4">
        <v>11</v>
      </c>
      <c r="BF78" s="1" t="s">
        <v>14</v>
      </c>
      <c r="BG78" s="1" t="s">
        <v>76</v>
      </c>
      <c r="BH78" s="5" t="s">
        <v>553</v>
      </c>
      <c r="BI78" s="4">
        <v>81</v>
      </c>
      <c r="BM78" s="1" t="s">
        <v>923</v>
      </c>
      <c r="BN78" s="1" t="s">
        <v>68</v>
      </c>
      <c r="BO78" s="1" t="s">
        <v>55</v>
      </c>
      <c r="BP78" s="1" t="s">
        <v>31</v>
      </c>
      <c r="BQ78" s="4">
        <v>16</v>
      </c>
      <c r="BR78" s="4">
        <v>12</v>
      </c>
      <c r="BS78" s="1" t="s">
        <v>43</v>
      </c>
      <c r="BT78" s="1" t="s">
        <v>37</v>
      </c>
      <c r="BU78" s="5" t="s">
        <v>924</v>
      </c>
      <c r="BV78" s="4">
        <v>77</v>
      </c>
      <c r="BZ78" s="1" t="s">
        <v>407</v>
      </c>
      <c r="CA78" s="1" t="s">
        <v>29</v>
      </c>
      <c r="CB78" s="1" t="s">
        <v>12</v>
      </c>
      <c r="CC78" s="1" t="s">
        <v>31</v>
      </c>
      <c r="CD78" s="4">
        <v>16</v>
      </c>
      <c r="CE78" s="4">
        <v>10</v>
      </c>
      <c r="CF78" s="1" t="s">
        <v>14</v>
      </c>
      <c r="CG78" s="1" t="s">
        <v>40</v>
      </c>
      <c r="CH78" s="5" t="s">
        <v>71</v>
      </c>
      <c r="CI78" s="4">
        <v>100</v>
      </c>
      <c r="CM78" s="1" t="s">
        <v>499</v>
      </c>
      <c r="CN78" s="1" t="s">
        <v>54</v>
      </c>
      <c r="CO78" s="1" t="s">
        <v>19</v>
      </c>
      <c r="CP78" s="1" t="s">
        <v>31</v>
      </c>
      <c r="CQ78" s="4">
        <v>20</v>
      </c>
      <c r="CR78" s="4">
        <v>9</v>
      </c>
      <c r="CS78" s="1" t="s">
        <v>32</v>
      </c>
      <c r="CT78" s="1" t="s">
        <v>46</v>
      </c>
      <c r="CU78" s="5" t="s">
        <v>500</v>
      </c>
      <c r="CV78" s="4">
        <v>42</v>
      </c>
    </row>
    <row r="79" spans="13:100" x14ac:dyDescent="0.3">
      <c r="M79" s="1" t="s">
        <v>555</v>
      </c>
      <c r="N79" s="1" t="s">
        <v>73</v>
      </c>
      <c r="O79" s="1" t="s">
        <v>55</v>
      </c>
      <c r="P79" s="1" t="s">
        <v>31</v>
      </c>
      <c r="Q79" s="4">
        <v>16</v>
      </c>
      <c r="R79" s="4">
        <v>9</v>
      </c>
      <c r="S79" s="1" t="s">
        <v>14</v>
      </c>
      <c r="T79" s="1" t="s">
        <v>76</v>
      </c>
      <c r="U79" s="5" t="s">
        <v>556</v>
      </c>
      <c r="V79" s="4">
        <v>93</v>
      </c>
      <c r="AZ79" s="1" t="s">
        <v>555</v>
      </c>
      <c r="BA79" s="1" t="s">
        <v>73</v>
      </c>
      <c r="BB79" s="1" t="s">
        <v>55</v>
      </c>
      <c r="BC79" s="1" t="s">
        <v>31</v>
      </c>
      <c r="BD79" s="4">
        <v>16</v>
      </c>
      <c r="BE79" s="4">
        <v>9</v>
      </c>
      <c r="BF79" s="1" t="s">
        <v>14</v>
      </c>
      <c r="BG79" s="1" t="s">
        <v>76</v>
      </c>
      <c r="BH79" s="5" t="s">
        <v>556</v>
      </c>
      <c r="BI79" s="4">
        <v>93</v>
      </c>
      <c r="BZ79" s="1" t="s">
        <v>408</v>
      </c>
      <c r="CA79" s="1" t="s">
        <v>51</v>
      </c>
      <c r="CB79" s="1" t="s">
        <v>85</v>
      </c>
      <c r="CC79" s="1" t="s">
        <v>13</v>
      </c>
      <c r="CD79" s="4">
        <v>17</v>
      </c>
      <c r="CE79" s="4">
        <v>11</v>
      </c>
      <c r="CF79" s="1" t="s">
        <v>25</v>
      </c>
      <c r="CG79" s="1" t="s">
        <v>46</v>
      </c>
      <c r="CH79" s="5" t="s">
        <v>52</v>
      </c>
      <c r="CI79" s="4">
        <v>42</v>
      </c>
      <c r="CM79" s="1" t="s">
        <v>501</v>
      </c>
      <c r="CN79" s="1" t="s">
        <v>84</v>
      </c>
      <c r="CO79" s="1" t="s">
        <v>19</v>
      </c>
      <c r="CP79" s="1" t="s">
        <v>13</v>
      </c>
      <c r="CQ79" s="4">
        <v>18</v>
      </c>
      <c r="CR79" s="4">
        <v>10</v>
      </c>
      <c r="CS79" s="1" t="s">
        <v>14</v>
      </c>
      <c r="CT79" s="1" t="s">
        <v>61</v>
      </c>
      <c r="CU79" s="5" t="s">
        <v>502</v>
      </c>
      <c r="CV79" s="4">
        <v>76</v>
      </c>
    </row>
    <row r="80" spans="13:100" x14ac:dyDescent="0.3">
      <c r="M80" s="1" t="s">
        <v>567</v>
      </c>
      <c r="N80" s="1" t="s">
        <v>54</v>
      </c>
      <c r="O80" s="1" t="s">
        <v>12</v>
      </c>
      <c r="P80" s="1" t="s">
        <v>31</v>
      </c>
      <c r="Q80" s="4">
        <v>18</v>
      </c>
      <c r="R80" s="4">
        <v>12</v>
      </c>
      <c r="S80" s="1" t="s">
        <v>25</v>
      </c>
      <c r="T80" s="1" t="s">
        <v>26</v>
      </c>
      <c r="U80" s="5" t="s">
        <v>568</v>
      </c>
      <c r="V80" s="4">
        <v>96</v>
      </c>
      <c r="AZ80" s="1" t="s">
        <v>567</v>
      </c>
      <c r="BA80" s="1" t="s">
        <v>54</v>
      </c>
      <c r="BB80" s="1" t="s">
        <v>12</v>
      </c>
      <c r="BC80" s="1" t="s">
        <v>31</v>
      </c>
      <c r="BD80" s="4">
        <v>18</v>
      </c>
      <c r="BE80" s="4">
        <v>12</v>
      </c>
      <c r="BF80" s="1" t="s">
        <v>25</v>
      </c>
      <c r="BG80" s="1" t="s">
        <v>26</v>
      </c>
      <c r="BH80" s="5" t="s">
        <v>568</v>
      </c>
      <c r="BI80" s="4">
        <v>96</v>
      </c>
      <c r="BZ80" s="1" t="s">
        <v>412</v>
      </c>
      <c r="CA80" s="1" t="s">
        <v>73</v>
      </c>
      <c r="CB80" s="1" t="s">
        <v>55</v>
      </c>
      <c r="CC80" s="1" t="s">
        <v>13</v>
      </c>
      <c r="CD80" s="4">
        <v>16</v>
      </c>
      <c r="CE80" s="4">
        <v>12</v>
      </c>
      <c r="CF80" s="1" t="s">
        <v>32</v>
      </c>
      <c r="CG80" s="1" t="s">
        <v>46</v>
      </c>
      <c r="CH80" s="5" t="s">
        <v>413</v>
      </c>
      <c r="CI80" s="4">
        <v>85</v>
      </c>
      <c r="CM80" s="1" t="s">
        <v>503</v>
      </c>
      <c r="CN80" s="1" t="s">
        <v>84</v>
      </c>
      <c r="CO80" s="1" t="s">
        <v>19</v>
      </c>
      <c r="CP80" s="1" t="s">
        <v>31</v>
      </c>
      <c r="CQ80" s="4">
        <v>15</v>
      </c>
      <c r="CR80" s="4">
        <v>10</v>
      </c>
      <c r="CS80" s="1" t="s">
        <v>43</v>
      </c>
      <c r="CT80" s="1" t="s">
        <v>61</v>
      </c>
      <c r="CU80" s="5" t="s">
        <v>504</v>
      </c>
      <c r="CV80" s="4">
        <v>44</v>
      </c>
    </row>
    <row r="81" spans="13:100" x14ac:dyDescent="0.3">
      <c r="M81" s="1" t="s">
        <v>569</v>
      </c>
      <c r="N81" s="1" t="s">
        <v>54</v>
      </c>
      <c r="O81" s="1" t="s">
        <v>12</v>
      </c>
      <c r="P81" s="1" t="s">
        <v>31</v>
      </c>
      <c r="Q81" s="4">
        <v>17</v>
      </c>
      <c r="R81" s="4">
        <v>9</v>
      </c>
      <c r="S81" s="1" t="s">
        <v>25</v>
      </c>
      <c r="T81" s="1" t="s">
        <v>37</v>
      </c>
      <c r="U81" s="5" t="s">
        <v>570</v>
      </c>
      <c r="V81" s="4">
        <v>100</v>
      </c>
      <c r="AZ81" s="1" t="s">
        <v>569</v>
      </c>
      <c r="BA81" s="1" t="s">
        <v>54</v>
      </c>
      <c r="BB81" s="1" t="s">
        <v>12</v>
      </c>
      <c r="BC81" s="1" t="s">
        <v>31</v>
      </c>
      <c r="BD81" s="4">
        <v>17</v>
      </c>
      <c r="BE81" s="4">
        <v>9</v>
      </c>
      <c r="BF81" s="1" t="s">
        <v>25</v>
      </c>
      <c r="BG81" s="1" t="s">
        <v>37</v>
      </c>
      <c r="BH81" s="5" t="s">
        <v>570</v>
      </c>
      <c r="BI81" s="4">
        <v>100</v>
      </c>
      <c r="BZ81" s="1" t="s">
        <v>414</v>
      </c>
      <c r="CA81" s="1" t="s">
        <v>11</v>
      </c>
      <c r="CB81" s="1" t="s">
        <v>55</v>
      </c>
      <c r="CC81" s="1" t="s">
        <v>13</v>
      </c>
      <c r="CD81" s="4">
        <v>16</v>
      </c>
      <c r="CE81" s="4">
        <v>12</v>
      </c>
      <c r="CF81" s="1" t="s">
        <v>32</v>
      </c>
      <c r="CG81" s="1" t="s">
        <v>37</v>
      </c>
      <c r="CH81" s="5" t="s">
        <v>415</v>
      </c>
      <c r="CI81" s="4">
        <v>47</v>
      </c>
      <c r="CM81" s="1" t="s">
        <v>507</v>
      </c>
      <c r="CN81" s="1" t="s">
        <v>54</v>
      </c>
      <c r="CO81" s="1" t="s">
        <v>12</v>
      </c>
      <c r="CP81" s="1" t="s">
        <v>31</v>
      </c>
      <c r="CQ81" s="4">
        <v>16</v>
      </c>
      <c r="CR81" s="4">
        <v>12</v>
      </c>
      <c r="CS81" s="1" t="s">
        <v>43</v>
      </c>
      <c r="CT81" s="1" t="s">
        <v>61</v>
      </c>
      <c r="CU81" s="5" t="s">
        <v>483</v>
      </c>
      <c r="CV81" s="4">
        <v>45</v>
      </c>
    </row>
    <row r="82" spans="13:100" x14ac:dyDescent="0.3">
      <c r="M82" s="1" t="s">
        <v>573</v>
      </c>
      <c r="N82" s="1" t="s">
        <v>54</v>
      </c>
      <c r="O82" s="1" t="s">
        <v>24</v>
      </c>
      <c r="P82" s="1" t="s">
        <v>13</v>
      </c>
      <c r="Q82" s="4">
        <v>19</v>
      </c>
      <c r="R82" s="4">
        <v>9</v>
      </c>
      <c r="S82" s="1" t="s">
        <v>43</v>
      </c>
      <c r="T82" s="1" t="s">
        <v>46</v>
      </c>
      <c r="U82" s="5" t="s">
        <v>574</v>
      </c>
      <c r="V82" s="4">
        <v>94</v>
      </c>
      <c r="AZ82" s="1" t="s">
        <v>573</v>
      </c>
      <c r="BA82" s="1" t="s">
        <v>54</v>
      </c>
      <c r="BB82" s="1" t="s">
        <v>24</v>
      </c>
      <c r="BC82" s="1" t="s">
        <v>13</v>
      </c>
      <c r="BD82" s="4">
        <v>19</v>
      </c>
      <c r="BE82" s="4">
        <v>9</v>
      </c>
      <c r="BF82" s="1" t="s">
        <v>43</v>
      </c>
      <c r="BG82" s="1" t="s">
        <v>46</v>
      </c>
      <c r="BH82" s="5" t="s">
        <v>574</v>
      </c>
      <c r="BI82" s="4">
        <v>94</v>
      </c>
      <c r="BZ82" s="1" t="s">
        <v>420</v>
      </c>
      <c r="CA82" s="1" t="s">
        <v>73</v>
      </c>
      <c r="CB82" s="1" t="s">
        <v>85</v>
      </c>
      <c r="CC82" s="1" t="s">
        <v>13</v>
      </c>
      <c r="CD82" s="4">
        <v>16</v>
      </c>
      <c r="CE82" s="4">
        <v>11</v>
      </c>
      <c r="CF82" s="1" t="s">
        <v>43</v>
      </c>
      <c r="CG82" s="1" t="s">
        <v>46</v>
      </c>
      <c r="CH82" s="5" t="s">
        <v>421</v>
      </c>
      <c r="CI82" s="4">
        <v>55</v>
      </c>
      <c r="CM82" s="1" t="s">
        <v>508</v>
      </c>
      <c r="CN82" s="1" t="s">
        <v>73</v>
      </c>
      <c r="CO82" s="1" t="s">
        <v>55</v>
      </c>
      <c r="CP82" s="1" t="s">
        <v>13</v>
      </c>
      <c r="CQ82" s="4">
        <v>15</v>
      </c>
      <c r="CR82" s="4">
        <v>11</v>
      </c>
      <c r="CS82" s="1" t="s">
        <v>43</v>
      </c>
      <c r="CT82" s="1" t="s">
        <v>46</v>
      </c>
      <c r="CU82" s="5" t="s">
        <v>509</v>
      </c>
      <c r="CV82" s="4">
        <v>54</v>
      </c>
    </row>
    <row r="83" spans="13:100" x14ac:dyDescent="0.3">
      <c r="M83" s="1" t="s">
        <v>592</v>
      </c>
      <c r="N83" s="1" t="s">
        <v>51</v>
      </c>
      <c r="O83" s="1" t="s">
        <v>19</v>
      </c>
      <c r="P83" s="1" t="s">
        <v>31</v>
      </c>
      <c r="Q83" s="4">
        <v>18</v>
      </c>
      <c r="R83" s="4">
        <v>10</v>
      </c>
      <c r="S83" s="1" t="s">
        <v>43</v>
      </c>
      <c r="T83" s="1" t="s">
        <v>76</v>
      </c>
      <c r="U83" s="5" t="s">
        <v>593</v>
      </c>
      <c r="V83" s="4">
        <v>98</v>
      </c>
      <c r="AZ83" s="1" t="s">
        <v>592</v>
      </c>
      <c r="BA83" s="1" t="s">
        <v>51</v>
      </c>
      <c r="BB83" s="1" t="s">
        <v>19</v>
      </c>
      <c r="BC83" s="1" t="s">
        <v>31</v>
      </c>
      <c r="BD83" s="4">
        <v>18</v>
      </c>
      <c r="BE83" s="4">
        <v>10</v>
      </c>
      <c r="BF83" s="1" t="s">
        <v>43</v>
      </c>
      <c r="BG83" s="1" t="s">
        <v>76</v>
      </c>
      <c r="BH83" s="5" t="s">
        <v>593</v>
      </c>
      <c r="BI83" s="4">
        <v>98</v>
      </c>
      <c r="BZ83" s="1" t="s">
        <v>424</v>
      </c>
      <c r="CA83" s="1" t="s">
        <v>29</v>
      </c>
      <c r="CB83" s="1" t="s">
        <v>36</v>
      </c>
      <c r="CC83" s="1" t="s">
        <v>31</v>
      </c>
      <c r="CD83" s="4">
        <v>16</v>
      </c>
      <c r="CE83" s="4">
        <v>12</v>
      </c>
      <c r="CF83" s="1" t="s">
        <v>32</v>
      </c>
      <c r="CG83" s="1" t="s">
        <v>37</v>
      </c>
      <c r="CH83" s="5" t="s">
        <v>180</v>
      </c>
      <c r="CI83" s="4">
        <v>89</v>
      </c>
      <c r="CM83" s="1" t="s">
        <v>516</v>
      </c>
      <c r="CN83" s="1" t="s">
        <v>18</v>
      </c>
      <c r="CO83" s="1" t="s">
        <v>96</v>
      </c>
      <c r="CP83" s="1" t="s">
        <v>31</v>
      </c>
      <c r="CQ83" s="4">
        <v>14</v>
      </c>
      <c r="CR83" s="4">
        <v>11</v>
      </c>
      <c r="CS83" s="1" t="s">
        <v>32</v>
      </c>
      <c r="CT83" s="1" t="s">
        <v>46</v>
      </c>
      <c r="CU83" s="5" t="s">
        <v>517</v>
      </c>
      <c r="CV83" s="4">
        <v>86</v>
      </c>
    </row>
    <row r="84" spans="13:100" x14ac:dyDescent="0.3">
      <c r="M84" s="1" t="s">
        <v>594</v>
      </c>
      <c r="N84" s="1" t="s">
        <v>54</v>
      </c>
      <c r="O84" s="1" t="s">
        <v>55</v>
      </c>
      <c r="P84" s="1" t="s">
        <v>13</v>
      </c>
      <c r="Q84" s="4">
        <v>20</v>
      </c>
      <c r="R84" s="4">
        <v>11</v>
      </c>
      <c r="S84" s="1" t="s">
        <v>43</v>
      </c>
      <c r="T84" s="1" t="s">
        <v>40</v>
      </c>
      <c r="U84" s="5" t="s">
        <v>595</v>
      </c>
      <c r="V84" s="4">
        <v>84</v>
      </c>
      <c r="AZ84" s="1" t="s">
        <v>594</v>
      </c>
      <c r="BA84" s="1" t="s">
        <v>54</v>
      </c>
      <c r="BB84" s="1" t="s">
        <v>55</v>
      </c>
      <c r="BC84" s="1" t="s">
        <v>13</v>
      </c>
      <c r="BD84" s="4">
        <v>20</v>
      </c>
      <c r="BE84" s="4">
        <v>11</v>
      </c>
      <c r="BF84" s="1" t="s">
        <v>43</v>
      </c>
      <c r="BG84" s="1" t="s">
        <v>40</v>
      </c>
      <c r="BH84" s="5" t="s">
        <v>595</v>
      </c>
      <c r="BI84" s="4">
        <v>84</v>
      </c>
      <c r="BZ84" s="1" t="s">
        <v>426</v>
      </c>
      <c r="CA84" s="1" t="s">
        <v>54</v>
      </c>
      <c r="CB84" s="1" t="s">
        <v>96</v>
      </c>
      <c r="CC84" s="1" t="s">
        <v>31</v>
      </c>
      <c r="CD84" s="4">
        <v>16</v>
      </c>
      <c r="CE84" s="4">
        <v>12</v>
      </c>
      <c r="CF84" s="1" t="s">
        <v>25</v>
      </c>
      <c r="CG84" s="1" t="s">
        <v>20</v>
      </c>
      <c r="CH84" s="5" t="s">
        <v>427</v>
      </c>
      <c r="CI84" s="4">
        <v>82</v>
      </c>
      <c r="CM84" s="1" t="s">
        <v>518</v>
      </c>
      <c r="CN84" s="1" t="s">
        <v>51</v>
      </c>
      <c r="CO84" s="1" t="s">
        <v>96</v>
      </c>
      <c r="CP84" s="1" t="s">
        <v>31</v>
      </c>
      <c r="CQ84" s="4">
        <v>17</v>
      </c>
      <c r="CR84" s="4">
        <v>11</v>
      </c>
      <c r="CS84" s="1" t="s">
        <v>25</v>
      </c>
      <c r="CT84" s="1" t="s">
        <v>61</v>
      </c>
      <c r="CU84" s="5" t="s">
        <v>519</v>
      </c>
      <c r="CV84" s="4">
        <v>52</v>
      </c>
    </row>
    <row r="85" spans="13:100" x14ac:dyDescent="0.3">
      <c r="M85" s="1" t="s">
        <v>605</v>
      </c>
      <c r="N85" s="1" t="s">
        <v>54</v>
      </c>
      <c r="O85" s="1" t="s">
        <v>19</v>
      </c>
      <c r="P85" s="1" t="s">
        <v>31</v>
      </c>
      <c r="Q85" s="4">
        <v>20</v>
      </c>
      <c r="R85" s="4">
        <v>10</v>
      </c>
      <c r="S85" s="1" t="s">
        <v>43</v>
      </c>
      <c r="T85" s="1" t="s">
        <v>37</v>
      </c>
      <c r="U85" s="5" t="s">
        <v>606</v>
      </c>
      <c r="V85" s="4">
        <v>99</v>
      </c>
      <c r="AZ85" s="1" t="s">
        <v>605</v>
      </c>
      <c r="BA85" s="1" t="s">
        <v>54</v>
      </c>
      <c r="BB85" s="1" t="s">
        <v>19</v>
      </c>
      <c r="BC85" s="1" t="s">
        <v>31</v>
      </c>
      <c r="BD85" s="4">
        <v>20</v>
      </c>
      <c r="BE85" s="4">
        <v>10</v>
      </c>
      <c r="BF85" s="1" t="s">
        <v>43</v>
      </c>
      <c r="BG85" s="1" t="s">
        <v>37</v>
      </c>
      <c r="BH85" s="5" t="s">
        <v>606</v>
      </c>
      <c r="BI85" s="4">
        <v>99</v>
      </c>
      <c r="BZ85" s="1" t="s">
        <v>428</v>
      </c>
      <c r="CA85" s="1" t="s">
        <v>54</v>
      </c>
      <c r="CB85" s="1" t="s">
        <v>55</v>
      </c>
      <c r="CC85" s="1" t="s">
        <v>13</v>
      </c>
      <c r="CD85" s="4">
        <v>16</v>
      </c>
      <c r="CE85" s="4">
        <v>11</v>
      </c>
      <c r="CF85" s="1" t="s">
        <v>25</v>
      </c>
      <c r="CG85" s="1" t="s">
        <v>15</v>
      </c>
      <c r="CH85" s="5" t="s">
        <v>429</v>
      </c>
      <c r="CI85" s="4">
        <v>86</v>
      </c>
      <c r="CM85" s="1" t="s">
        <v>522</v>
      </c>
      <c r="CN85" s="1" t="s">
        <v>54</v>
      </c>
      <c r="CO85" s="1" t="s">
        <v>79</v>
      </c>
      <c r="CP85" s="1" t="s">
        <v>31</v>
      </c>
      <c r="CQ85" s="4">
        <v>18</v>
      </c>
      <c r="CR85" s="4">
        <v>10</v>
      </c>
      <c r="CS85" s="1" t="s">
        <v>14</v>
      </c>
      <c r="CT85" s="1" t="s">
        <v>61</v>
      </c>
      <c r="CU85" s="5" t="s">
        <v>523</v>
      </c>
      <c r="CV85" s="4">
        <v>82</v>
      </c>
    </row>
    <row r="86" spans="13:100" x14ac:dyDescent="0.3">
      <c r="M86" s="1" t="s">
        <v>609</v>
      </c>
      <c r="N86" s="1" t="s">
        <v>68</v>
      </c>
      <c r="O86" s="1" t="s">
        <v>58</v>
      </c>
      <c r="P86" s="1" t="s">
        <v>13</v>
      </c>
      <c r="Q86" s="4">
        <v>14</v>
      </c>
      <c r="R86" s="4">
        <v>10</v>
      </c>
      <c r="S86" s="1" t="s">
        <v>25</v>
      </c>
      <c r="T86" s="1" t="s">
        <v>37</v>
      </c>
      <c r="U86" s="5" t="s">
        <v>610</v>
      </c>
      <c r="V86" s="4">
        <v>90</v>
      </c>
      <c r="AZ86" s="1" t="s">
        <v>609</v>
      </c>
      <c r="BA86" s="1" t="s">
        <v>68</v>
      </c>
      <c r="BB86" s="1" t="s">
        <v>58</v>
      </c>
      <c r="BC86" s="1" t="s">
        <v>13</v>
      </c>
      <c r="BD86" s="4">
        <v>14</v>
      </c>
      <c r="BE86" s="4">
        <v>10</v>
      </c>
      <c r="BF86" s="1" t="s">
        <v>25</v>
      </c>
      <c r="BG86" s="1" t="s">
        <v>37</v>
      </c>
      <c r="BH86" s="5" t="s">
        <v>610</v>
      </c>
      <c r="BI86" s="4">
        <v>90</v>
      </c>
      <c r="BZ86" s="1" t="s">
        <v>430</v>
      </c>
      <c r="CA86" s="1" t="s">
        <v>54</v>
      </c>
      <c r="CB86" s="1" t="s">
        <v>30</v>
      </c>
      <c r="CC86" s="1" t="s">
        <v>13</v>
      </c>
      <c r="CD86" s="4">
        <v>18</v>
      </c>
      <c r="CE86" s="4">
        <v>11</v>
      </c>
      <c r="CF86" s="1" t="s">
        <v>25</v>
      </c>
      <c r="CG86" s="1" t="s">
        <v>26</v>
      </c>
      <c r="CH86" s="5" t="s">
        <v>431</v>
      </c>
      <c r="CI86" s="4">
        <v>91</v>
      </c>
      <c r="CM86" s="1" t="s">
        <v>527</v>
      </c>
      <c r="CN86" s="1" t="s">
        <v>11</v>
      </c>
      <c r="CO86" s="1" t="s">
        <v>85</v>
      </c>
      <c r="CP86" s="1" t="s">
        <v>13</v>
      </c>
      <c r="CQ86" s="4">
        <v>20</v>
      </c>
      <c r="CR86" s="4">
        <v>12</v>
      </c>
      <c r="CS86" s="1" t="s">
        <v>25</v>
      </c>
      <c r="CT86" s="1" t="s">
        <v>46</v>
      </c>
      <c r="CU86" s="5" t="s">
        <v>451</v>
      </c>
      <c r="CV86" s="4">
        <v>86</v>
      </c>
    </row>
    <row r="87" spans="13:100" x14ac:dyDescent="0.3">
      <c r="M87" s="1" t="s">
        <v>611</v>
      </c>
      <c r="N87" s="1" t="s">
        <v>18</v>
      </c>
      <c r="O87" s="1" t="s">
        <v>24</v>
      </c>
      <c r="P87" s="1" t="s">
        <v>31</v>
      </c>
      <c r="Q87" s="4">
        <v>19</v>
      </c>
      <c r="R87" s="4">
        <v>12</v>
      </c>
      <c r="S87" s="1" t="s">
        <v>43</v>
      </c>
      <c r="T87" s="1" t="s">
        <v>26</v>
      </c>
      <c r="U87" s="5" t="s">
        <v>612</v>
      </c>
      <c r="V87" s="4">
        <v>82</v>
      </c>
      <c r="AZ87" s="1" t="s">
        <v>611</v>
      </c>
      <c r="BA87" s="1" t="s">
        <v>18</v>
      </c>
      <c r="BB87" s="1" t="s">
        <v>24</v>
      </c>
      <c r="BC87" s="1" t="s">
        <v>31</v>
      </c>
      <c r="BD87" s="4">
        <v>19</v>
      </c>
      <c r="BE87" s="4">
        <v>12</v>
      </c>
      <c r="BF87" s="1" t="s">
        <v>43</v>
      </c>
      <c r="BG87" s="1" t="s">
        <v>26</v>
      </c>
      <c r="BH87" s="5" t="s">
        <v>612</v>
      </c>
      <c r="BI87" s="4">
        <v>82</v>
      </c>
      <c r="BZ87" s="1" t="s">
        <v>432</v>
      </c>
      <c r="CA87" s="1" t="s">
        <v>51</v>
      </c>
      <c r="CB87" s="1" t="s">
        <v>24</v>
      </c>
      <c r="CC87" s="1" t="s">
        <v>31</v>
      </c>
      <c r="CD87" s="4">
        <v>17</v>
      </c>
      <c r="CE87" s="4">
        <v>11</v>
      </c>
      <c r="CF87" s="1" t="s">
        <v>43</v>
      </c>
      <c r="CG87" s="1" t="s">
        <v>15</v>
      </c>
      <c r="CH87" s="5" t="s">
        <v>400</v>
      </c>
      <c r="CI87" s="4">
        <v>53</v>
      </c>
      <c r="CM87" s="1" t="s">
        <v>528</v>
      </c>
      <c r="CN87" s="1" t="s">
        <v>51</v>
      </c>
      <c r="CO87" s="1" t="s">
        <v>19</v>
      </c>
      <c r="CP87" s="1" t="s">
        <v>13</v>
      </c>
      <c r="CQ87" s="4">
        <v>19</v>
      </c>
      <c r="CR87" s="4">
        <v>9</v>
      </c>
      <c r="CS87" s="1" t="s">
        <v>43</v>
      </c>
      <c r="CT87" s="1" t="s">
        <v>46</v>
      </c>
      <c r="CU87" s="5" t="s">
        <v>222</v>
      </c>
      <c r="CV87" s="4">
        <v>46</v>
      </c>
    </row>
    <row r="88" spans="13:100" x14ac:dyDescent="0.3">
      <c r="M88" s="1" t="s">
        <v>615</v>
      </c>
      <c r="N88" s="1" t="s">
        <v>18</v>
      </c>
      <c r="O88" s="1" t="s">
        <v>12</v>
      </c>
      <c r="P88" s="1" t="s">
        <v>13</v>
      </c>
      <c r="Q88" s="4">
        <v>17</v>
      </c>
      <c r="R88" s="4">
        <v>12</v>
      </c>
      <c r="S88" s="1" t="s">
        <v>14</v>
      </c>
      <c r="T88" s="1" t="s">
        <v>61</v>
      </c>
      <c r="U88" s="5" t="s">
        <v>616</v>
      </c>
      <c r="V88" s="4">
        <v>99</v>
      </c>
      <c r="AZ88" s="1" t="s">
        <v>615</v>
      </c>
      <c r="BA88" s="1" t="s">
        <v>18</v>
      </c>
      <c r="BB88" s="1" t="s">
        <v>12</v>
      </c>
      <c r="BC88" s="1" t="s">
        <v>13</v>
      </c>
      <c r="BD88" s="4">
        <v>17</v>
      </c>
      <c r="BE88" s="4">
        <v>12</v>
      </c>
      <c r="BF88" s="1" t="s">
        <v>14</v>
      </c>
      <c r="BG88" s="1" t="s">
        <v>61</v>
      </c>
      <c r="BH88" s="5" t="s">
        <v>616</v>
      </c>
      <c r="BI88" s="4">
        <v>99</v>
      </c>
      <c r="BZ88" s="1" t="s">
        <v>441</v>
      </c>
      <c r="CA88" s="1" t="s">
        <v>35</v>
      </c>
      <c r="CB88" s="1" t="s">
        <v>12</v>
      </c>
      <c r="CC88" s="1" t="s">
        <v>13</v>
      </c>
      <c r="CD88" s="4">
        <v>17</v>
      </c>
      <c r="CE88" s="4">
        <v>10</v>
      </c>
      <c r="CF88" s="1" t="s">
        <v>32</v>
      </c>
      <c r="CG88" s="1" t="s">
        <v>15</v>
      </c>
      <c r="CH88" s="5" t="s">
        <v>442</v>
      </c>
      <c r="CI88" s="4">
        <v>91</v>
      </c>
      <c r="CM88" s="1" t="s">
        <v>535</v>
      </c>
      <c r="CN88" s="1" t="s">
        <v>84</v>
      </c>
      <c r="CO88" s="1" t="s">
        <v>58</v>
      </c>
      <c r="CP88" s="1" t="s">
        <v>13</v>
      </c>
      <c r="CQ88" s="4">
        <v>20</v>
      </c>
      <c r="CR88" s="4">
        <v>9</v>
      </c>
      <c r="CS88" s="1" t="s">
        <v>25</v>
      </c>
      <c r="CT88" s="1" t="s">
        <v>46</v>
      </c>
      <c r="CU88" s="5" t="s">
        <v>536</v>
      </c>
      <c r="CV88" s="4">
        <v>58</v>
      </c>
    </row>
    <row r="89" spans="13:100" x14ac:dyDescent="0.3">
      <c r="M89" s="1" t="s">
        <v>617</v>
      </c>
      <c r="N89" s="1" t="s">
        <v>35</v>
      </c>
      <c r="O89" s="1" t="s">
        <v>12</v>
      </c>
      <c r="P89" s="1" t="s">
        <v>13</v>
      </c>
      <c r="Q89" s="4">
        <v>15</v>
      </c>
      <c r="R89" s="4">
        <v>9</v>
      </c>
      <c r="S89" s="1" t="s">
        <v>25</v>
      </c>
      <c r="T89" s="1" t="s">
        <v>46</v>
      </c>
      <c r="U89" s="5" t="s">
        <v>155</v>
      </c>
      <c r="V89" s="4">
        <v>85</v>
      </c>
      <c r="AZ89" s="1" t="s">
        <v>617</v>
      </c>
      <c r="BA89" s="1" t="s">
        <v>35</v>
      </c>
      <c r="BB89" s="1" t="s">
        <v>12</v>
      </c>
      <c r="BC89" s="1" t="s">
        <v>13</v>
      </c>
      <c r="BD89" s="4">
        <v>15</v>
      </c>
      <c r="BE89" s="4">
        <v>9</v>
      </c>
      <c r="BF89" s="1" t="s">
        <v>25</v>
      </c>
      <c r="BG89" s="1" t="s">
        <v>46</v>
      </c>
      <c r="BH89" s="5" t="s">
        <v>155</v>
      </c>
      <c r="BI89" s="4">
        <v>85</v>
      </c>
      <c r="BZ89" s="1" t="s">
        <v>443</v>
      </c>
      <c r="CA89" s="1" t="s">
        <v>18</v>
      </c>
      <c r="CB89" s="1" t="s">
        <v>96</v>
      </c>
      <c r="CC89" s="1" t="s">
        <v>13</v>
      </c>
      <c r="CD89" s="4">
        <v>17</v>
      </c>
      <c r="CE89" s="4">
        <v>9</v>
      </c>
      <c r="CF89" s="1" t="s">
        <v>43</v>
      </c>
      <c r="CG89" s="1" t="s">
        <v>37</v>
      </c>
      <c r="CH89" s="5" t="s">
        <v>444</v>
      </c>
      <c r="CI89" s="4">
        <v>60</v>
      </c>
      <c r="CM89" s="1" t="s">
        <v>539</v>
      </c>
      <c r="CN89" s="1" t="s">
        <v>73</v>
      </c>
      <c r="CO89" s="1" t="s">
        <v>36</v>
      </c>
      <c r="CP89" s="1" t="s">
        <v>31</v>
      </c>
      <c r="CQ89" s="4">
        <v>14</v>
      </c>
      <c r="CR89" s="4">
        <v>12</v>
      </c>
      <c r="CS89" s="1" t="s">
        <v>43</v>
      </c>
      <c r="CT89" s="1" t="s">
        <v>61</v>
      </c>
      <c r="CU89" s="5" t="s">
        <v>387</v>
      </c>
      <c r="CV89" s="4">
        <v>37</v>
      </c>
    </row>
    <row r="90" spans="13:100" x14ac:dyDescent="0.3">
      <c r="M90" s="1" t="s">
        <v>625</v>
      </c>
      <c r="N90" s="1" t="s">
        <v>68</v>
      </c>
      <c r="O90" s="1" t="s">
        <v>96</v>
      </c>
      <c r="P90" s="1" t="s">
        <v>31</v>
      </c>
      <c r="Q90" s="4">
        <v>19</v>
      </c>
      <c r="R90" s="4">
        <v>12</v>
      </c>
      <c r="S90" s="1" t="s">
        <v>32</v>
      </c>
      <c r="T90" s="1" t="s">
        <v>15</v>
      </c>
      <c r="U90" s="5" t="s">
        <v>626</v>
      </c>
      <c r="V90" s="4">
        <v>86</v>
      </c>
      <c r="AZ90" s="1" t="s">
        <v>625</v>
      </c>
      <c r="BA90" s="1" t="s">
        <v>68</v>
      </c>
      <c r="BB90" s="1" t="s">
        <v>96</v>
      </c>
      <c r="BC90" s="1" t="s">
        <v>31</v>
      </c>
      <c r="BD90" s="4">
        <v>19</v>
      </c>
      <c r="BE90" s="4">
        <v>12</v>
      </c>
      <c r="BF90" s="1" t="s">
        <v>32</v>
      </c>
      <c r="BG90" s="1" t="s">
        <v>15</v>
      </c>
      <c r="BH90" s="5" t="s">
        <v>626</v>
      </c>
      <c r="BI90" s="4">
        <v>86</v>
      </c>
      <c r="BZ90" s="1" t="s">
        <v>446</v>
      </c>
      <c r="CA90" s="1" t="s">
        <v>73</v>
      </c>
      <c r="CB90" s="1" t="s">
        <v>24</v>
      </c>
      <c r="CC90" s="1" t="s">
        <v>13</v>
      </c>
      <c r="CD90" s="4">
        <v>17</v>
      </c>
      <c r="CE90" s="4">
        <v>10</v>
      </c>
      <c r="CF90" s="1" t="s">
        <v>14</v>
      </c>
      <c r="CG90" s="1" t="s">
        <v>20</v>
      </c>
      <c r="CH90" s="5" t="s">
        <v>447</v>
      </c>
      <c r="CI90" s="4">
        <v>58</v>
      </c>
      <c r="CM90" s="1" t="s">
        <v>540</v>
      </c>
      <c r="CN90" s="1" t="s">
        <v>51</v>
      </c>
      <c r="CO90" s="1" t="s">
        <v>85</v>
      </c>
      <c r="CP90" s="1" t="s">
        <v>13</v>
      </c>
      <c r="CQ90" s="4">
        <v>18</v>
      </c>
      <c r="CR90" s="4">
        <v>10</v>
      </c>
      <c r="CS90" s="1" t="s">
        <v>14</v>
      </c>
      <c r="CT90" s="1" t="s">
        <v>46</v>
      </c>
      <c r="CU90" s="5" t="s">
        <v>541</v>
      </c>
      <c r="CV90" s="4">
        <v>63</v>
      </c>
    </row>
    <row r="91" spans="13:100" x14ac:dyDescent="0.3">
      <c r="M91" s="1" t="s">
        <v>627</v>
      </c>
      <c r="N91" s="1" t="s">
        <v>35</v>
      </c>
      <c r="O91" s="1" t="s">
        <v>85</v>
      </c>
      <c r="P91" s="1" t="s">
        <v>31</v>
      </c>
      <c r="Q91" s="4">
        <v>16</v>
      </c>
      <c r="R91" s="4">
        <v>9</v>
      </c>
      <c r="S91" s="1" t="s">
        <v>43</v>
      </c>
      <c r="T91" s="1" t="s">
        <v>20</v>
      </c>
      <c r="U91" s="5" t="s">
        <v>628</v>
      </c>
      <c r="V91" s="4">
        <v>84</v>
      </c>
      <c r="AZ91" s="1" t="s">
        <v>627</v>
      </c>
      <c r="BA91" s="1" t="s">
        <v>35</v>
      </c>
      <c r="BB91" s="1" t="s">
        <v>85</v>
      </c>
      <c r="BC91" s="1" t="s">
        <v>31</v>
      </c>
      <c r="BD91" s="4">
        <v>16</v>
      </c>
      <c r="BE91" s="4">
        <v>9</v>
      </c>
      <c r="BF91" s="1" t="s">
        <v>43</v>
      </c>
      <c r="BG91" s="1" t="s">
        <v>20</v>
      </c>
      <c r="BH91" s="5" t="s">
        <v>628</v>
      </c>
      <c r="BI91" s="4">
        <v>84</v>
      </c>
      <c r="BZ91" s="1" t="s">
        <v>452</v>
      </c>
      <c r="CA91" s="1" t="s">
        <v>51</v>
      </c>
      <c r="CB91" s="1" t="s">
        <v>12</v>
      </c>
      <c r="CC91" s="1" t="s">
        <v>13</v>
      </c>
      <c r="CD91" s="4">
        <v>18</v>
      </c>
      <c r="CE91" s="4">
        <v>9</v>
      </c>
      <c r="CF91" s="1" t="s">
        <v>32</v>
      </c>
      <c r="CG91" s="1" t="s">
        <v>76</v>
      </c>
      <c r="CH91" s="5" t="s">
        <v>453</v>
      </c>
      <c r="CI91" s="4">
        <v>35</v>
      </c>
      <c r="CM91" s="1" t="s">
        <v>546</v>
      </c>
      <c r="CN91" s="1" t="s">
        <v>51</v>
      </c>
      <c r="CO91" s="1" t="s">
        <v>36</v>
      </c>
      <c r="CP91" s="1" t="s">
        <v>31</v>
      </c>
      <c r="CQ91" s="4">
        <v>14</v>
      </c>
      <c r="CR91" s="4">
        <v>9</v>
      </c>
      <c r="CS91" s="1" t="s">
        <v>14</v>
      </c>
      <c r="CT91" s="1" t="s">
        <v>46</v>
      </c>
      <c r="CU91" s="5" t="s">
        <v>547</v>
      </c>
      <c r="CV91" s="4">
        <v>81</v>
      </c>
    </row>
    <row r="92" spans="13:100" x14ac:dyDescent="0.3">
      <c r="M92" s="1" t="s">
        <v>629</v>
      </c>
      <c r="N92" s="1" t="s">
        <v>35</v>
      </c>
      <c r="O92" s="1" t="s">
        <v>58</v>
      </c>
      <c r="P92" s="1" t="s">
        <v>13</v>
      </c>
      <c r="Q92" s="4">
        <v>18</v>
      </c>
      <c r="R92" s="4">
        <v>9</v>
      </c>
      <c r="S92" s="1" t="s">
        <v>25</v>
      </c>
      <c r="T92" s="1" t="s">
        <v>76</v>
      </c>
      <c r="U92" s="5" t="s">
        <v>105</v>
      </c>
      <c r="V92" s="4">
        <v>82</v>
      </c>
      <c r="AZ92" s="1" t="s">
        <v>629</v>
      </c>
      <c r="BA92" s="1" t="s">
        <v>35</v>
      </c>
      <c r="BB92" s="1" t="s">
        <v>58</v>
      </c>
      <c r="BC92" s="1" t="s">
        <v>13</v>
      </c>
      <c r="BD92" s="4">
        <v>18</v>
      </c>
      <c r="BE92" s="4">
        <v>9</v>
      </c>
      <c r="BF92" s="1" t="s">
        <v>25</v>
      </c>
      <c r="BG92" s="1" t="s">
        <v>76</v>
      </c>
      <c r="BH92" s="5" t="s">
        <v>105</v>
      </c>
      <c r="BI92" s="4">
        <v>82</v>
      </c>
      <c r="BZ92" s="1" t="s">
        <v>454</v>
      </c>
      <c r="CA92" s="1" t="s">
        <v>29</v>
      </c>
      <c r="CB92" s="1" t="s">
        <v>12</v>
      </c>
      <c r="CC92" s="1" t="s">
        <v>31</v>
      </c>
      <c r="CD92" s="4">
        <v>16</v>
      </c>
      <c r="CE92" s="4">
        <v>11</v>
      </c>
      <c r="CF92" s="1" t="s">
        <v>43</v>
      </c>
      <c r="CG92" s="1" t="s">
        <v>61</v>
      </c>
      <c r="CH92" s="5" t="s">
        <v>385</v>
      </c>
      <c r="CI92" s="4">
        <v>40</v>
      </c>
      <c r="CM92" s="1" t="s">
        <v>562</v>
      </c>
      <c r="CN92" s="1" t="s">
        <v>29</v>
      </c>
      <c r="CO92" s="1" t="s">
        <v>79</v>
      </c>
      <c r="CP92" s="1" t="s">
        <v>31</v>
      </c>
      <c r="CQ92" s="4">
        <v>15</v>
      </c>
      <c r="CR92" s="4">
        <v>12</v>
      </c>
      <c r="CS92" s="1" t="s">
        <v>32</v>
      </c>
      <c r="CT92" s="1" t="s">
        <v>46</v>
      </c>
      <c r="CU92" s="5" t="s">
        <v>121</v>
      </c>
      <c r="CV92" s="4">
        <v>53</v>
      </c>
    </row>
    <row r="93" spans="13:100" x14ac:dyDescent="0.3">
      <c r="M93" s="1" t="s">
        <v>632</v>
      </c>
      <c r="N93" s="1" t="s">
        <v>54</v>
      </c>
      <c r="O93" s="1" t="s">
        <v>55</v>
      </c>
      <c r="P93" s="1" t="s">
        <v>31</v>
      </c>
      <c r="Q93" s="4">
        <v>19</v>
      </c>
      <c r="R93" s="4">
        <v>11</v>
      </c>
      <c r="S93" s="1" t="s">
        <v>25</v>
      </c>
      <c r="T93" s="1" t="s">
        <v>61</v>
      </c>
      <c r="U93" s="5" t="s">
        <v>633</v>
      </c>
      <c r="V93" s="4">
        <v>82</v>
      </c>
      <c r="AZ93" s="1" t="s">
        <v>632</v>
      </c>
      <c r="BA93" s="1" t="s">
        <v>54</v>
      </c>
      <c r="BB93" s="1" t="s">
        <v>55</v>
      </c>
      <c r="BC93" s="1" t="s">
        <v>31</v>
      </c>
      <c r="BD93" s="4">
        <v>19</v>
      </c>
      <c r="BE93" s="4">
        <v>11</v>
      </c>
      <c r="BF93" s="1" t="s">
        <v>25</v>
      </c>
      <c r="BG93" s="1" t="s">
        <v>61</v>
      </c>
      <c r="BH93" s="5" t="s">
        <v>633</v>
      </c>
      <c r="BI93" s="4">
        <v>82</v>
      </c>
      <c r="BZ93" s="1" t="s">
        <v>455</v>
      </c>
      <c r="CA93" s="1" t="s">
        <v>29</v>
      </c>
      <c r="CB93" s="1" t="s">
        <v>30</v>
      </c>
      <c r="CC93" s="1" t="s">
        <v>13</v>
      </c>
      <c r="CD93" s="4">
        <v>16</v>
      </c>
      <c r="CE93" s="4">
        <v>9</v>
      </c>
      <c r="CF93" s="1" t="s">
        <v>14</v>
      </c>
      <c r="CG93" s="1" t="s">
        <v>61</v>
      </c>
      <c r="CH93" s="5" t="s">
        <v>447</v>
      </c>
      <c r="CI93" s="4">
        <v>60</v>
      </c>
      <c r="CM93" s="1" t="s">
        <v>563</v>
      </c>
      <c r="CN93" s="1" t="s">
        <v>35</v>
      </c>
      <c r="CO93" s="1" t="s">
        <v>55</v>
      </c>
      <c r="CP93" s="1" t="s">
        <v>31</v>
      </c>
      <c r="CQ93" s="4">
        <v>19</v>
      </c>
      <c r="CR93" s="4">
        <v>10</v>
      </c>
      <c r="CS93" s="1" t="s">
        <v>43</v>
      </c>
      <c r="CT93" s="1" t="s">
        <v>46</v>
      </c>
      <c r="CU93" s="5" t="s">
        <v>564</v>
      </c>
      <c r="CV93" s="4">
        <v>72</v>
      </c>
    </row>
    <row r="94" spans="13:100" x14ac:dyDescent="0.3">
      <c r="M94" s="1" t="s">
        <v>636</v>
      </c>
      <c r="N94" s="1" t="s">
        <v>11</v>
      </c>
      <c r="O94" s="1" t="s">
        <v>79</v>
      </c>
      <c r="P94" s="1" t="s">
        <v>13</v>
      </c>
      <c r="Q94" s="4">
        <v>19</v>
      </c>
      <c r="R94" s="4">
        <v>9</v>
      </c>
      <c r="S94" s="1" t="s">
        <v>32</v>
      </c>
      <c r="T94" s="1" t="s">
        <v>76</v>
      </c>
      <c r="U94" s="5" t="s">
        <v>637</v>
      </c>
      <c r="V94" s="4">
        <v>97</v>
      </c>
      <c r="AZ94" s="1" t="s">
        <v>636</v>
      </c>
      <c r="BA94" s="1" t="s">
        <v>11</v>
      </c>
      <c r="BB94" s="1" t="s">
        <v>79</v>
      </c>
      <c r="BC94" s="1" t="s">
        <v>13</v>
      </c>
      <c r="BD94" s="4">
        <v>19</v>
      </c>
      <c r="BE94" s="4">
        <v>9</v>
      </c>
      <c r="BF94" s="1" t="s">
        <v>32</v>
      </c>
      <c r="BG94" s="1" t="s">
        <v>76</v>
      </c>
      <c r="BH94" s="5" t="s">
        <v>637</v>
      </c>
      <c r="BI94" s="4">
        <v>97</v>
      </c>
      <c r="BZ94" s="1" t="s">
        <v>460</v>
      </c>
      <c r="CA94" s="1" t="s">
        <v>51</v>
      </c>
      <c r="CB94" s="1" t="s">
        <v>96</v>
      </c>
      <c r="CC94" s="1" t="s">
        <v>31</v>
      </c>
      <c r="CD94" s="4">
        <v>16</v>
      </c>
      <c r="CE94" s="4">
        <v>12</v>
      </c>
      <c r="CF94" s="1" t="s">
        <v>43</v>
      </c>
      <c r="CG94" s="1" t="s">
        <v>15</v>
      </c>
      <c r="CH94" s="5" t="s">
        <v>461</v>
      </c>
      <c r="CI94" s="4">
        <v>65</v>
      </c>
      <c r="CM94" s="1" t="s">
        <v>573</v>
      </c>
      <c r="CN94" s="1" t="s">
        <v>54</v>
      </c>
      <c r="CO94" s="1" t="s">
        <v>24</v>
      </c>
      <c r="CP94" s="1" t="s">
        <v>13</v>
      </c>
      <c r="CQ94" s="4">
        <v>19</v>
      </c>
      <c r="CR94" s="4">
        <v>9</v>
      </c>
      <c r="CS94" s="1" t="s">
        <v>43</v>
      </c>
      <c r="CT94" s="1" t="s">
        <v>46</v>
      </c>
      <c r="CU94" s="5" t="s">
        <v>574</v>
      </c>
      <c r="CV94" s="4">
        <v>94</v>
      </c>
    </row>
    <row r="95" spans="13:100" x14ac:dyDescent="0.3">
      <c r="M95" s="1" t="s">
        <v>644</v>
      </c>
      <c r="N95" s="1" t="s">
        <v>51</v>
      </c>
      <c r="O95" s="1" t="s">
        <v>36</v>
      </c>
      <c r="P95" s="1" t="s">
        <v>31</v>
      </c>
      <c r="Q95" s="4">
        <v>16</v>
      </c>
      <c r="R95" s="4">
        <v>11</v>
      </c>
      <c r="S95" s="1" t="s">
        <v>43</v>
      </c>
      <c r="T95" s="1" t="s">
        <v>20</v>
      </c>
      <c r="U95" s="5" t="s">
        <v>645</v>
      </c>
      <c r="V95" s="4">
        <v>81</v>
      </c>
      <c r="AZ95" s="1" t="s">
        <v>644</v>
      </c>
      <c r="BA95" s="1" t="s">
        <v>51</v>
      </c>
      <c r="BB95" s="1" t="s">
        <v>36</v>
      </c>
      <c r="BC95" s="1" t="s">
        <v>31</v>
      </c>
      <c r="BD95" s="4">
        <v>16</v>
      </c>
      <c r="BE95" s="4">
        <v>11</v>
      </c>
      <c r="BF95" s="1" t="s">
        <v>43</v>
      </c>
      <c r="BG95" s="1" t="s">
        <v>20</v>
      </c>
      <c r="BH95" s="5" t="s">
        <v>645</v>
      </c>
      <c r="BI95" s="4">
        <v>81</v>
      </c>
      <c r="BZ95" s="1" t="s">
        <v>464</v>
      </c>
      <c r="CA95" s="1" t="s">
        <v>11</v>
      </c>
      <c r="CB95" s="1" t="s">
        <v>36</v>
      </c>
      <c r="CC95" s="1" t="s">
        <v>13</v>
      </c>
      <c r="CD95" s="4">
        <v>16</v>
      </c>
      <c r="CE95" s="4">
        <v>11</v>
      </c>
      <c r="CF95" s="1" t="s">
        <v>25</v>
      </c>
      <c r="CG95" s="1" t="s">
        <v>40</v>
      </c>
      <c r="CH95" s="5" t="s">
        <v>465</v>
      </c>
      <c r="CI95" s="4">
        <v>79</v>
      </c>
      <c r="CM95" s="1" t="s">
        <v>584</v>
      </c>
      <c r="CN95" s="1" t="s">
        <v>68</v>
      </c>
      <c r="CO95" s="1" t="s">
        <v>55</v>
      </c>
      <c r="CP95" s="1" t="s">
        <v>31</v>
      </c>
      <c r="CQ95" s="4">
        <v>16</v>
      </c>
      <c r="CR95" s="4">
        <v>9</v>
      </c>
      <c r="CS95" s="1" t="s">
        <v>14</v>
      </c>
      <c r="CT95" s="1" t="s">
        <v>61</v>
      </c>
      <c r="CU95" s="5" t="s">
        <v>585</v>
      </c>
      <c r="CV95" s="4">
        <v>59</v>
      </c>
    </row>
    <row r="96" spans="13:100" x14ac:dyDescent="0.3">
      <c r="M96" s="1" t="s">
        <v>646</v>
      </c>
      <c r="N96" s="1" t="s">
        <v>84</v>
      </c>
      <c r="O96" s="1" t="s">
        <v>12</v>
      </c>
      <c r="P96" s="1" t="s">
        <v>31</v>
      </c>
      <c r="Q96" s="4">
        <v>17</v>
      </c>
      <c r="R96" s="4">
        <v>12</v>
      </c>
      <c r="S96" s="1" t="s">
        <v>25</v>
      </c>
      <c r="T96" s="1" t="s">
        <v>76</v>
      </c>
      <c r="U96" s="5" t="s">
        <v>647</v>
      </c>
      <c r="V96" s="4">
        <v>83</v>
      </c>
      <c r="AZ96" s="1" t="s">
        <v>646</v>
      </c>
      <c r="BA96" s="1" t="s">
        <v>84</v>
      </c>
      <c r="BB96" s="1" t="s">
        <v>12</v>
      </c>
      <c r="BC96" s="1" t="s">
        <v>31</v>
      </c>
      <c r="BD96" s="4">
        <v>17</v>
      </c>
      <c r="BE96" s="4">
        <v>12</v>
      </c>
      <c r="BF96" s="1" t="s">
        <v>25</v>
      </c>
      <c r="BG96" s="1" t="s">
        <v>76</v>
      </c>
      <c r="BH96" s="5" t="s">
        <v>647</v>
      </c>
      <c r="BI96" s="4">
        <v>83</v>
      </c>
      <c r="BZ96" s="1" t="s">
        <v>468</v>
      </c>
      <c r="CA96" s="1" t="s">
        <v>73</v>
      </c>
      <c r="CB96" s="1" t="s">
        <v>12</v>
      </c>
      <c r="CC96" s="1" t="s">
        <v>13</v>
      </c>
      <c r="CD96" s="4">
        <v>17</v>
      </c>
      <c r="CE96" s="4">
        <v>10</v>
      </c>
      <c r="CF96" s="1" t="s">
        <v>43</v>
      </c>
      <c r="CG96" s="1" t="s">
        <v>15</v>
      </c>
      <c r="CH96" s="5" t="s">
        <v>469</v>
      </c>
      <c r="CI96" s="4">
        <v>75</v>
      </c>
      <c r="CM96" s="1" t="s">
        <v>586</v>
      </c>
      <c r="CN96" s="1" t="s">
        <v>11</v>
      </c>
      <c r="CO96" s="1" t="s">
        <v>24</v>
      </c>
      <c r="CP96" s="1" t="s">
        <v>31</v>
      </c>
      <c r="CQ96" s="4">
        <v>17</v>
      </c>
      <c r="CR96" s="4">
        <v>11</v>
      </c>
      <c r="CS96" s="1" t="s">
        <v>43</v>
      </c>
      <c r="CT96" s="1" t="s">
        <v>61</v>
      </c>
      <c r="CU96" s="5" t="s">
        <v>587</v>
      </c>
      <c r="CV96" s="4">
        <v>73</v>
      </c>
    </row>
    <row r="97" spans="13:100" x14ac:dyDescent="0.3">
      <c r="M97" s="1" t="s">
        <v>656</v>
      </c>
      <c r="N97" s="1" t="s">
        <v>29</v>
      </c>
      <c r="O97" s="1" t="s">
        <v>30</v>
      </c>
      <c r="P97" s="1" t="s">
        <v>13</v>
      </c>
      <c r="Q97" s="4">
        <v>19</v>
      </c>
      <c r="R97" s="4">
        <v>10</v>
      </c>
      <c r="S97" s="1" t="s">
        <v>43</v>
      </c>
      <c r="T97" s="1" t="s">
        <v>15</v>
      </c>
      <c r="U97" s="5" t="s">
        <v>657</v>
      </c>
      <c r="V97" s="4">
        <v>85</v>
      </c>
      <c r="AZ97" s="1" t="s">
        <v>656</v>
      </c>
      <c r="BA97" s="1" t="s">
        <v>29</v>
      </c>
      <c r="BB97" s="1" t="s">
        <v>30</v>
      </c>
      <c r="BC97" s="1" t="s">
        <v>13</v>
      </c>
      <c r="BD97" s="4">
        <v>19</v>
      </c>
      <c r="BE97" s="4">
        <v>10</v>
      </c>
      <c r="BF97" s="1" t="s">
        <v>43</v>
      </c>
      <c r="BG97" s="1" t="s">
        <v>15</v>
      </c>
      <c r="BH97" s="5" t="s">
        <v>657</v>
      </c>
      <c r="BI97" s="4">
        <v>85</v>
      </c>
      <c r="BZ97" s="1" t="s">
        <v>470</v>
      </c>
      <c r="CA97" s="1" t="s">
        <v>35</v>
      </c>
      <c r="CB97" s="1" t="s">
        <v>96</v>
      </c>
      <c r="CC97" s="1" t="s">
        <v>31</v>
      </c>
      <c r="CD97" s="4">
        <v>16</v>
      </c>
      <c r="CE97" s="4">
        <v>11</v>
      </c>
      <c r="CF97" s="1" t="s">
        <v>32</v>
      </c>
      <c r="CG97" s="1" t="s">
        <v>61</v>
      </c>
      <c r="CH97" s="5" t="s">
        <v>471</v>
      </c>
      <c r="CI97" s="4">
        <v>65</v>
      </c>
      <c r="CM97" s="1" t="s">
        <v>588</v>
      </c>
      <c r="CN97" s="1" t="s">
        <v>68</v>
      </c>
      <c r="CO97" s="1" t="s">
        <v>85</v>
      </c>
      <c r="CP97" s="1" t="s">
        <v>31</v>
      </c>
      <c r="CQ97" s="4">
        <v>17</v>
      </c>
      <c r="CR97" s="4">
        <v>9</v>
      </c>
      <c r="CS97" s="1" t="s">
        <v>25</v>
      </c>
      <c r="CT97" s="1" t="s">
        <v>61</v>
      </c>
      <c r="CU97" s="5" t="s">
        <v>589</v>
      </c>
      <c r="CV97" s="4">
        <v>45</v>
      </c>
    </row>
    <row r="98" spans="13:100" x14ac:dyDescent="0.3">
      <c r="M98" s="1" t="s">
        <v>660</v>
      </c>
      <c r="N98" s="1" t="s">
        <v>23</v>
      </c>
      <c r="O98" s="1" t="s">
        <v>12</v>
      </c>
      <c r="P98" s="1" t="s">
        <v>13</v>
      </c>
      <c r="Q98" s="4">
        <v>16</v>
      </c>
      <c r="R98" s="4">
        <v>11</v>
      </c>
      <c r="S98" s="1" t="s">
        <v>25</v>
      </c>
      <c r="T98" s="1" t="s">
        <v>40</v>
      </c>
      <c r="U98" s="5" t="s">
        <v>41</v>
      </c>
      <c r="V98" s="4">
        <v>86</v>
      </c>
      <c r="AZ98" s="1" t="s">
        <v>660</v>
      </c>
      <c r="BA98" s="1" t="s">
        <v>23</v>
      </c>
      <c r="BB98" s="1" t="s">
        <v>12</v>
      </c>
      <c r="BC98" s="1" t="s">
        <v>13</v>
      </c>
      <c r="BD98" s="4">
        <v>16</v>
      </c>
      <c r="BE98" s="4">
        <v>11</v>
      </c>
      <c r="BF98" s="1" t="s">
        <v>25</v>
      </c>
      <c r="BG98" s="1" t="s">
        <v>40</v>
      </c>
      <c r="BH98" s="5" t="s">
        <v>41</v>
      </c>
      <c r="BI98" s="4">
        <v>86</v>
      </c>
      <c r="BZ98" s="1" t="s">
        <v>473</v>
      </c>
      <c r="CA98" s="1" t="s">
        <v>18</v>
      </c>
      <c r="CB98" s="1" t="s">
        <v>19</v>
      </c>
      <c r="CC98" s="1" t="s">
        <v>31</v>
      </c>
      <c r="CD98" s="4">
        <v>16</v>
      </c>
      <c r="CE98" s="4">
        <v>11</v>
      </c>
      <c r="CF98" s="1" t="s">
        <v>14</v>
      </c>
      <c r="CG98" s="1" t="s">
        <v>61</v>
      </c>
      <c r="CH98" s="5" t="s">
        <v>474</v>
      </c>
      <c r="CI98" s="4">
        <v>75</v>
      </c>
      <c r="CM98" s="1" t="s">
        <v>601</v>
      </c>
      <c r="CN98" s="1" t="s">
        <v>73</v>
      </c>
      <c r="CO98" s="1" t="s">
        <v>55</v>
      </c>
      <c r="CP98" s="1" t="s">
        <v>31</v>
      </c>
      <c r="CQ98" s="4">
        <v>17</v>
      </c>
      <c r="CR98" s="4">
        <v>11</v>
      </c>
      <c r="CS98" s="1" t="s">
        <v>43</v>
      </c>
      <c r="CT98" s="1" t="s">
        <v>61</v>
      </c>
      <c r="CU98" s="5" t="s">
        <v>502</v>
      </c>
      <c r="CV98" s="4">
        <v>76</v>
      </c>
    </row>
    <row r="99" spans="13:100" x14ac:dyDescent="0.3">
      <c r="M99" s="1" t="s">
        <v>667</v>
      </c>
      <c r="N99" s="1" t="s">
        <v>35</v>
      </c>
      <c r="O99" s="1" t="s">
        <v>12</v>
      </c>
      <c r="P99" s="1" t="s">
        <v>31</v>
      </c>
      <c r="Q99" s="4">
        <v>15</v>
      </c>
      <c r="R99" s="4">
        <v>12</v>
      </c>
      <c r="S99" s="1" t="s">
        <v>14</v>
      </c>
      <c r="T99" s="1" t="s">
        <v>46</v>
      </c>
      <c r="U99" s="5" t="s">
        <v>668</v>
      </c>
      <c r="V99" s="4">
        <v>82</v>
      </c>
      <c r="AZ99" s="1" t="s">
        <v>667</v>
      </c>
      <c r="BA99" s="1" t="s">
        <v>35</v>
      </c>
      <c r="BB99" s="1" t="s">
        <v>12</v>
      </c>
      <c r="BC99" s="1" t="s">
        <v>31</v>
      </c>
      <c r="BD99" s="4">
        <v>15</v>
      </c>
      <c r="BE99" s="4">
        <v>12</v>
      </c>
      <c r="BF99" s="1" t="s">
        <v>14</v>
      </c>
      <c r="BG99" s="1" t="s">
        <v>46</v>
      </c>
      <c r="BH99" s="5" t="s">
        <v>668</v>
      </c>
      <c r="BI99" s="4">
        <v>82</v>
      </c>
      <c r="BZ99" s="1" t="s">
        <v>475</v>
      </c>
      <c r="CA99" s="1" t="s">
        <v>35</v>
      </c>
      <c r="CB99" s="1" t="s">
        <v>79</v>
      </c>
      <c r="CC99" s="1" t="s">
        <v>13</v>
      </c>
      <c r="CD99" s="4">
        <v>17</v>
      </c>
      <c r="CE99" s="4">
        <v>9</v>
      </c>
      <c r="CF99" s="1" t="s">
        <v>32</v>
      </c>
      <c r="CG99" s="1" t="s">
        <v>15</v>
      </c>
      <c r="CH99" s="5" t="s">
        <v>248</v>
      </c>
      <c r="CI99" s="4">
        <v>50</v>
      </c>
      <c r="CM99" s="1" t="s">
        <v>602</v>
      </c>
      <c r="CN99" s="1" t="s">
        <v>23</v>
      </c>
      <c r="CO99" s="1" t="s">
        <v>19</v>
      </c>
      <c r="CP99" s="1" t="s">
        <v>13</v>
      </c>
      <c r="CQ99" s="4">
        <v>15</v>
      </c>
      <c r="CR99" s="4">
        <v>12</v>
      </c>
      <c r="CS99" s="1" t="s">
        <v>14</v>
      </c>
      <c r="CT99" s="1" t="s">
        <v>61</v>
      </c>
      <c r="CU99" s="5" t="s">
        <v>603</v>
      </c>
      <c r="CV99" s="4">
        <v>54</v>
      </c>
    </row>
    <row r="100" spans="13:100" x14ac:dyDescent="0.3">
      <c r="M100" s="1" t="s">
        <v>673</v>
      </c>
      <c r="N100" s="1" t="s">
        <v>11</v>
      </c>
      <c r="O100" s="1" t="s">
        <v>19</v>
      </c>
      <c r="P100" s="1" t="s">
        <v>31</v>
      </c>
      <c r="Q100" s="4">
        <v>17</v>
      </c>
      <c r="R100" s="4">
        <v>10</v>
      </c>
      <c r="S100" s="1" t="s">
        <v>32</v>
      </c>
      <c r="T100" s="1" t="s">
        <v>46</v>
      </c>
      <c r="U100" s="5" t="s">
        <v>674</v>
      </c>
      <c r="V100" s="4">
        <v>85</v>
      </c>
      <c r="AZ100" s="1" t="s">
        <v>673</v>
      </c>
      <c r="BA100" s="1" t="s">
        <v>11</v>
      </c>
      <c r="BB100" s="1" t="s">
        <v>19</v>
      </c>
      <c r="BC100" s="1" t="s">
        <v>31</v>
      </c>
      <c r="BD100" s="4">
        <v>17</v>
      </c>
      <c r="BE100" s="4">
        <v>10</v>
      </c>
      <c r="BF100" s="1" t="s">
        <v>32</v>
      </c>
      <c r="BG100" s="1" t="s">
        <v>46</v>
      </c>
      <c r="BH100" s="5" t="s">
        <v>674</v>
      </c>
      <c r="BI100" s="4">
        <v>85</v>
      </c>
      <c r="BZ100" s="1" t="s">
        <v>478</v>
      </c>
      <c r="CA100" s="1" t="s">
        <v>11</v>
      </c>
      <c r="CB100" s="1" t="s">
        <v>36</v>
      </c>
      <c r="CC100" s="1" t="s">
        <v>13</v>
      </c>
      <c r="CD100" s="4">
        <v>17</v>
      </c>
      <c r="CE100" s="4">
        <v>12</v>
      </c>
      <c r="CF100" s="1" t="s">
        <v>14</v>
      </c>
      <c r="CG100" s="1" t="s">
        <v>37</v>
      </c>
      <c r="CH100" s="5" t="s">
        <v>479</v>
      </c>
      <c r="CI100" s="4">
        <v>63</v>
      </c>
      <c r="CM100" s="1" t="s">
        <v>615</v>
      </c>
      <c r="CN100" s="1" t="s">
        <v>18</v>
      </c>
      <c r="CO100" s="1" t="s">
        <v>12</v>
      </c>
      <c r="CP100" s="1" t="s">
        <v>13</v>
      </c>
      <c r="CQ100" s="4">
        <v>17</v>
      </c>
      <c r="CR100" s="4">
        <v>12</v>
      </c>
      <c r="CS100" s="1" t="s">
        <v>14</v>
      </c>
      <c r="CT100" s="1" t="s">
        <v>61</v>
      </c>
      <c r="CU100" s="5" t="s">
        <v>616</v>
      </c>
      <c r="CV100" s="4">
        <v>99</v>
      </c>
    </row>
    <row r="101" spans="13:100" x14ac:dyDescent="0.3">
      <c r="M101" s="1" t="s">
        <v>690</v>
      </c>
      <c r="N101" s="1" t="s">
        <v>23</v>
      </c>
      <c r="O101" s="1" t="s">
        <v>85</v>
      </c>
      <c r="P101" s="1" t="s">
        <v>13</v>
      </c>
      <c r="Q101" s="4">
        <v>19</v>
      </c>
      <c r="R101" s="4">
        <v>9</v>
      </c>
      <c r="S101" s="1" t="s">
        <v>14</v>
      </c>
      <c r="T101" s="1" t="s">
        <v>76</v>
      </c>
      <c r="U101" s="5" t="s">
        <v>635</v>
      </c>
      <c r="V101" s="4">
        <v>91</v>
      </c>
      <c r="AZ101" s="1" t="s">
        <v>690</v>
      </c>
      <c r="BA101" s="1" t="s">
        <v>23</v>
      </c>
      <c r="BB101" s="1" t="s">
        <v>85</v>
      </c>
      <c r="BC101" s="1" t="s">
        <v>13</v>
      </c>
      <c r="BD101" s="4">
        <v>19</v>
      </c>
      <c r="BE101" s="4">
        <v>9</v>
      </c>
      <c r="BF101" s="1" t="s">
        <v>14</v>
      </c>
      <c r="BG101" s="1" t="s">
        <v>76</v>
      </c>
      <c r="BH101" s="5" t="s">
        <v>635</v>
      </c>
      <c r="BI101" s="4">
        <v>91</v>
      </c>
      <c r="BZ101" s="1" t="s">
        <v>480</v>
      </c>
      <c r="CA101" s="1" t="s">
        <v>35</v>
      </c>
      <c r="CB101" s="1" t="s">
        <v>12</v>
      </c>
      <c r="CC101" s="1" t="s">
        <v>31</v>
      </c>
      <c r="CD101" s="4">
        <v>18</v>
      </c>
      <c r="CE101" s="4">
        <v>10</v>
      </c>
      <c r="CF101" s="1" t="s">
        <v>14</v>
      </c>
      <c r="CG101" s="1" t="s">
        <v>37</v>
      </c>
      <c r="CH101" s="5" t="s">
        <v>481</v>
      </c>
      <c r="CI101" s="4">
        <v>36</v>
      </c>
      <c r="CM101" s="1" t="s">
        <v>617</v>
      </c>
      <c r="CN101" s="1" t="s">
        <v>35</v>
      </c>
      <c r="CO101" s="1" t="s">
        <v>12</v>
      </c>
      <c r="CP101" s="1" t="s">
        <v>13</v>
      </c>
      <c r="CQ101" s="4">
        <v>15</v>
      </c>
      <c r="CR101" s="4">
        <v>9</v>
      </c>
      <c r="CS101" s="1" t="s">
        <v>25</v>
      </c>
      <c r="CT101" s="1" t="s">
        <v>46</v>
      </c>
      <c r="CU101" s="5" t="s">
        <v>155</v>
      </c>
      <c r="CV101" s="4">
        <v>85</v>
      </c>
    </row>
    <row r="102" spans="13:100" x14ac:dyDescent="0.3">
      <c r="M102" s="1" t="s">
        <v>691</v>
      </c>
      <c r="N102" s="1" t="s">
        <v>84</v>
      </c>
      <c r="O102" s="1" t="s">
        <v>55</v>
      </c>
      <c r="P102" s="1" t="s">
        <v>13</v>
      </c>
      <c r="Q102" s="4">
        <v>16</v>
      </c>
      <c r="R102" s="4">
        <v>10</v>
      </c>
      <c r="S102" s="1" t="s">
        <v>43</v>
      </c>
      <c r="T102" s="1" t="s">
        <v>46</v>
      </c>
      <c r="U102" s="5" t="s">
        <v>692</v>
      </c>
      <c r="V102" s="4">
        <v>91</v>
      </c>
      <c r="AZ102" s="1" t="s">
        <v>691</v>
      </c>
      <c r="BA102" s="1" t="s">
        <v>84</v>
      </c>
      <c r="BB102" s="1" t="s">
        <v>55</v>
      </c>
      <c r="BC102" s="1" t="s">
        <v>13</v>
      </c>
      <c r="BD102" s="4">
        <v>16</v>
      </c>
      <c r="BE102" s="4">
        <v>10</v>
      </c>
      <c r="BF102" s="1" t="s">
        <v>43</v>
      </c>
      <c r="BG102" s="1" t="s">
        <v>46</v>
      </c>
      <c r="BH102" s="5" t="s">
        <v>692</v>
      </c>
      <c r="BI102" s="4">
        <v>91</v>
      </c>
      <c r="BZ102" s="1" t="s">
        <v>482</v>
      </c>
      <c r="CA102" s="1" t="s">
        <v>35</v>
      </c>
      <c r="CB102" s="1" t="s">
        <v>24</v>
      </c>
      <c r="CC102" s="1" t="s">
        <v>13</v>
      </c>
      <c r="CD102" s="4">
        <v>18</v>
      </c>
      <c r="CE102" s="4">
        <v>11</v>
      </c>
      <c r="CF102" s="1" t="s">
        <v>14</v>
      </c>
      <c r="CG102" s="1" t="s">
        <v>61</v>
      </c>
      <c r="CH102" s="5" t="s">
        <v>483</v>
      </c>
      <c r="CI102" s="4">
        <v>86</v>
      </c>
      <c r="CM102" s="1" t="s">
        <v>620</v>
      </c>
      <c r="CN102" s="1" t="s">
        <v>84</v>
      </c>
      <c r="CO102" s="1" t="s">
        <v>24</v>
      </c>
      <c r="CP102" s="1" t="s">
        <v>31</v>
      </c>
      <c r="CQ102" s="4">
        <v>19</v>
      </c>
      <c r="CR102" s="4">
        <v>12</v>
      </c>
      <c r="CS102" s="1" t="s">
        <v>14</v>
      </c>
      <c r="CT102" s="1" t="s">
        <v>61</v>
      </c>
      <c r="CU102" s="5" t="s">
        <v>621</v>
      </c>
      <c r="CV102" s="4">
        <v>77</v>
      </c>
    </row>
    <row r="103" spans="13:100" x14ac:dyDescent="0.3">
      <c r="M103" s="1" t="s">
        <v>703</v>
      </c>
      <c r="N103" s="1" t="s">
        <v>73</v>
      </c>
      <c r="O103" s="1" t="s">
        <v>30</v>
      </c>
      <c r="P103" s="1" t="s">
        <v>31</v>
      </c>
      <c r="Q103" s="4">
        <v>17</v>
      </c>
      <c r="R103" s="4">
        <v>12</v>
      </c>
      <c r="S103" s="1" t="s">
        <v>32</v>
      </c>
      <c r="T103" s="1" t="s">
        <v>40</v>
      </c>
      <c r="U103" s="5" t="s">
        <v>704</v>
      </c>
      <c r="V103" s="4">
        <v>93</v>
      </c>
      <c r="AZ103" s="1" t="s">
        <v>703</v>
      </c>
      <c r="BA103" s="1" t="s">
        <v>73</v>
      </c>
      <c r="BB103" s="1" t="s">
        <v>30</v>
      </c>
      <c r="BC103" s="1" t="s">
        <v>31</v>
      </c>
      <c r="BD103" s="4">
        <v>17</v>
      </c>
      <c r="BE103" s="4">
        <v>12</v>
      </c>
      <c r="BF103" s="1" t="s">
        <v>32</v>
      </c>
      <c r="BG103" s="1" t="s">
        <v>40</v>
      </c>
      <c r="BH103" s="5" t="s">
        <v>704</v>
      </c>
      <c r="BI103" s="4">
        <v>93</v>
      </c>
      <c r="BZ103" s="1" t="s">
        <v>485</v>
      </c>
      <c r="CA103" s="1" t="s">
        <v>18</v>
      </c>
      <c r="CB103" s="1" t="s">
        <v>12</v>
      </c>
      <c r="CC103" s="1" t="s">
        <v>31</v>
      </c>
      <c r="CD103" s="4">
        <v>16</v>
      </c>
      <c r="CE103" s="4">
        <v>12</v>
      </c>
      <c r="CF103" s="1" t="s">
        <v>14</v>
      </c>
      <c r="CG103" s="1" t="s">
        <v>76</v>
      </c>
      <c r="CH103" s="5" t="s">
        <v>486</v>
      </c>
      <c r="CI103" s="4">
        <v>70</v>
      </c>
      <c r="CM103" s="1" t="s">
        <v>622</v>
      </c>
      <c r="CN103" s="1" t="s">
        <v>23</v>
      </c>
      <c r="CO103" s="1" t="s">
        <v>96</v>
      </c>
      <c r="CP103" s="1" t="s">
        <v>31</v>
      </c>
      <c r="CQ103" s="4">
        <v>17</v>
      </c>
      <c r="CR103" s="4">
        <v>12</v>
      </c>
      <c r="CS103" s="1" t="s">
        <v>43</v>
      </c>
      <c r="CT103" s="1" t="s">
        <v>46</v>
      </c>
      <c r="CU103" s="5" t="s">
        <v>170</v>
      </c>
      <c r="CV103" s="4">
        <v>62</v>
      </c>
    </row>
    <row r="104" spans="13:100" x14ac:dyDescent="0.3">
      <c r="M104" s="1" t="s">
        <v>709</v>
      </c>
      <c r="N104" s="1" t="s">
        <v>54</v>
      </c>
      <c r="O104" s="1" t="s">
        <v>19</v>
      </c>
      <c r="P104" s="1" t="s">
        <v>31</v>
      </c>
      <c r="Q104" s="4">
        <v>18</v>
      </c>
      <c r="R104" s="4">
        <v>10</v>
      </c>
      <c r="S104" s="1" t="s">
        <v>43</v>
      </c>
      <c r="T104" s="1" t="s">
        <v>37</v>
      </c>
      <c r="U104" s="5" t="s">
        <v>710</v>
      </c>
      <c r="V104" s="4">
        <v>89</v>
      </c>
      <c r="AZ104" s="1" t="s">
        <v>709</v>
      </c>
      <c r="BA104" s="1" t="s">
        <v>54</v>
      </c>
      <c r="BB104" s="1" t="s">
        <v>19</v>
      </c>
      <c r="BC104" s="1" t="s">
        <v>31</v>
      </c>
      <c r="BD104" s="4">
        <v>18</v>
      </c>
      <c r="BE104" s="4">
        <v>10</v>
      </c>
      <c r="BF104" s="1" t="s">
        <v>43</v>
      </c>
      <c r="BG104" s="1" t="s">
        <v>37</v>
      </c>
      <c r="BH104" s="5" t="s">
        <v>710</v>
      </c>
      <c r="BI104" s="4">
        <v>89</v>
      </c>
      <c r="BZ104" s="1" t="s">
        <v>487</v>
      </c>
      <c r="CA104" s="1" t="s">
        <v>18</v>
      </c>
      <c r="CB104" s="1" t="s">
        <v>79</v>
      </c>
      <c r="CC104" s="1" t="s">
        <v>13</v>
      </c>
      <c r="CD104" s="4">
        <v>16</v>
      </c>
      <c r="CE104" s="4">
        <v>11</v>
      </c>
      <c r="CF104" s="1" t="s">
        <v>43</v>
      </c>
      <c r="CG104" s="1" t="s">
        <v>61</v>
      </c>
      <c r="CH104" s="5" t="s">
        <v>488</v>
      </c>
      <c r="CI104" s="4">
        <v>86</v>
      </c>
      <c r="CM104" s="1" t="s">
        <v>632</v>
      </c>
      <c r="CN104" s="1" t="s">
        <v>54</v>
      </c>
      <c r="CO104" s="1" t="s">
        <v>55</v>
      </c>
      <c r="CP104" s="1" t="s">
        <v>31</v>
      </c>
      <c r="CQ104" s="4">
        <v>19</v>
      </c>
      <c r="CR104" s="4">
        <v>11</v>
      </c>
      <c r="CS104" s="1" t="s">
        <v>25</v>
      </c>
      <c r="CT104" s="1" t="s">
        <v>61</v>
      </c>
      <c r="CU104" s="5" t="s">
        <v>633</v>
      </c>
      <c r="CV104" s="4">
        <v>82</v>
      </c>
    </row>
    <row r="105" spans="13:100" x14ac:dyDescent="0.3">
      <c r="M105" s="1" t="s">
        <v>715</v>
      </c>
      <c r="N105" s="1" t="s">
        <v>51</v>
      </c>
      <c r="O105" s="1" t="s">
        <v>79</v>
      </c>
      <c r="P105" s="1" t="s">
        <v>13</v>
      </c>
      <c r="Q105" s="4">
        <v>19</v>
      </c>
      <c r="R105" s="4">
        <v>10</v>
      </c>
      <c r="S105" s="1" t="s">
        <v>32</v>
      </c>
      <c r="T105" s="1" t="s">
        <v>40</v>
      </c>
      <c r="U105" s="5" t="s">
        <v>702</v>
      </c>
      <c r="V105" s="4">
        <v>84</v>
      </c>
      <c r="AZ105" s="1" t="s">
        <v>715</v>
      </c>
      <c r="BA105" s="1" t="s">
        <v>51</v>
      </c>
      <c r="BB105" s="1" t="s">
        <v>79</v>
      </c>
      <c r="BC105" s="1" t="s">
        <v>13</v>
      </c>
      <c r="BD105" s="4">
        <v>19</v>
      </c>
      <c r="BE105" s="4">
        <v>10</v>
      </c>
      <c r="BF105" s="1" t="s">
        <v>32</v>
      </c>
      <c r="BG105" s="1" t="s">
        <v>40</v>
      </c>
      <c r="BH105" s="5" t="s">
        <v>702</v>
      </c>
      <c r="BI105" s="4">
        <v>84</v>
      </c>
      <c r="BZ105" s="1" t="s">
        <v>490</v>
      </c>
      <c r="CA105" s="1" t="s">
        <v>73</v>
      </c>
      <c r="CB105" s="1" t="s">
        <v>96</v>
      </c>
      <c r="CC105" s="1" t="s">
        <v>13</v>
      </c>
      <c r="CD105" s="4">
        <v>17</v>
      </c>
      <c r="CE105" s="4">
        <v>10</v>
      </c>
      <c r="CF105" s="1" t="s">
        <v>32</v>
      </c>
      <c r="CG105" s="1" t="s">
        <v>61</v>
      </c>
      <c r="CH105" s="5" t="s">
        <v>491</v>
      </c>
      <c r="CI105" s="4">
        <v>60</v>
      </c>
      <c r="CM105" s="1" t="s">
        <v>650</v>
      </c>
      <c r="CN105" s="1" t="s">
        <v>23</v>
      </c>
      <c r="CO105" s="1" t="s">
        <v>24</v>
      </c>
      <c r="CP105" s="1" t="s">
        <v>13</v>
      </c>
      <c r="CQ105" s="4">
        <v>17</v>
      </c>
      <c r="CR105" s="4">
        <v>12</v>
      </c>
      <c r="CS105" s="1" t="s">
        <v>25</v>
      </c>
      <c r="CT105" s="1" t="s">
        <v>46</v>
      </c>
      <c r="CU105" s="5" t="s">
        <v>651</v>
      </c>
      <c r="CV105" s="4">
        <v>45</v>
      </c>
    </row>
    <row r="106" spans="13:100" x14ac:dyDescent="0.3">
      <c r="M106" s="1" t="s">
        <v>719</v>
      </c>
      <c r="N106" s="1" t="s">
        <v>18</v>
      </c>
      <c r="O106" s="1" t="s">
        <v>24</v>
      </c>
      <c r="P106" s="1" t="s">
        <v>31</v>
      </c>
      <c r="Q106" s="4">
        <v>18</v>
      </c>
      <c r="R106" s="4">
        <v>11</v>
      </c>
      <c r="S106" s="1" t="s">
        <v>43</v>
      </c>
      <c r="T106" s="1" t="s">
        <v>40</v>
      </c>
      <c r="U106" s="5" t="s">
        <v>720</v>
      </c>
      <c r="V106" s="4">
        <v>83</v>
      </c>
      <c r="AZ106" s="1" t="s">
        <v>719</v>
      </c>
      <c r="BA106" s="1" t="s">
        <v>18</v>
      </c>
      <c r="BB106" s="1" t="s">
        <v>24</v>
      </c>
      <c r="BC106" s="1" t="s">
        <v>31</v>
      </c>
      <c r="BD106" s="4">
        <v>18</v>
      </c>
      <c r="BE106" s="4">
        <v>11</v>
      </c>
      <c r="BF106" s="1" t="s">
        <v>43</v>
      </c>
      <c r="BG106" s="1" t="s">
        <v>40</v>
      </c>
      <c r="BH106" s="5" t="s">
        <v>720</v>
      </c>
      <c r="BI106" s="4">
        <v>83</v>
      </c>
      <c r="BZ106" s="1" t="s">
        <v>497</v>
      </c>
      <c r="CA106" s="1" t="s">
        <v>51</v>
      </c>
      <c r="CB106" s="1" t="s">
        <v>96</v>
      </c>
      <c r="CC106" s="1" t="s">
        <v>13</v>
      </c>
      <c r="CD106" s="4">
        <v>16</v>
      </c>
      <c r="CE106" s="4">
        <v>9</v>
      </c>
      <c r="CF106" s="1" t="s">
        <v>25</v>
      </c>
      <c r="CG106" s="1" t="s">
        <v>26</v>
      </c>
      <c r="CH106" s="5" t="s">
        <v>498</v>
      </c>
      <c r="CI106" s="4">
        <v>42</v>
      </c>
      <c r="CM106" s="1" t="s">
        <v>652</v>
      </c>
      <c r="CN106" s="1" t="s">
        <v>51</v>
      </c>
      <c r="CO106" s="1" t="s">
        <v>55</v>
      </c>
      <c r="CP106" s="1" t="s">
        <v>13</v>
      </c>
      <c r="CQ106" s="4">
        <v>16</v>
      </c>
      <c r="CR106" s="4">
        <v>12</v>
      </c>
      <c r="CS106" s="1" t="s">
        <v>32</v>
      </c>
      <c r="CT106" s="1" t="s">
        <v>61</v>
      </c>
      <c r="CU106" s="5" t="s">
        <v>653</v>
      </c>
      <c r="CV106" s="4">
        <v>45</v>
      </c>
    </row>
    <row r="107" spans="13:100" x14ac:dyDescent="0.3">
      <c r="M107" s="1" t="s">
        <v>731</v>
      </c>
      <c r="N107" s="1" t="s">
        <v>84</v>
      </c>
      <c r="O107" s="1" t="s">
        <v>85</v>
      </c>
      <c r="P107" s="1" t="s">
        <v>31</v>
      </c>
      <c r="Q107" s="4">
        <v>17</v>
      </c>
      <c r="R107" s="4">
        <v>9</v>
      </c>
      <c r="S107" s="1" t="s">
        <v>43</v>
      </c>
      <c r="T107" s="1" t="s">
        <v>76</v>
      </c>
      <c r="U107" s="5" t="s">
        <v>732</v>
      </c>
      <c r="V107" s="4">
        <v>97</v>
      </c>
      <c r="AZ107" s="1" t="s">
        <v>731</v>
      </c>
      <c r="BA107" s="1" t="s">
        <v>84</v>
      </c>
      <c r="BB107" s="1" t="s">
        <v>85</v>
      </c>
      <c r="BC107" s="1" t="s">
        <v>31</v>
      </c>
      <c r="BD107" s="4">
        <v>17</v>
      </c>
      <c r="BE107" s="4">
        <v>9</v>
      </c>
      <c r="BF107" s="1" t="s">
        <v>43</v>
      </c>
      <c r="BG107" s="1" t="s">
        <v>76</v>
      </c>
      <c r="BH107" s="5" t="s">
        <v>732</v>
      </c>
      <c r="BI107" s="4">
        <v>97</v>
      </c>
      <c r="BZ107" s="1" t="s">
        <v>501</v>
      </c>
      <c r="CA107" s="1" t="s">
        <v>84</v>
      </c>
      <c r="CB107" s="1" t="s">
        <v>19</v>
      </c>
      <c r="CC107" s="1" t="s">
        <v>13</v>
      </c>
      <c r="CD107" s="4">
        <v>18</v>
      </c>
      <c r="CE107" s="4">
        <v>10</v>
      </c>
      <c r="CF107" s="1" t="s">
        <v>14</v>
      </c>
      <c r="CG107" s="1" t="s">
        <v>61</v>
      </c>
      <c r="CH107" s="5" t="s">
        <v>502</v>
      </c>
      <c r="CI107" s="4">
        <v>76</v>
      </c>
      <c r="CM107" s="1" t="s">
        <v>654</v>
      </c>
      <c r="CN107" s="1" t="s">
        <v>18</v>
      </c>
      <c r="CO107" s="1" t="s">
        <v>24</v>
      </c>
      <c r="CP107" s="1" t="s">
        <v>31</v>
      </c>
      <c r="CQ107" s="4">
        <v>14</v>
      </c>
      <c r="CR107" s="4">
        <v>12</v>
      </c>
      <c r="CS107" s="1" t="s">
        <v>14</v>
      </c>
      <c r="CT107" s="1" t="s">
        <v>46</v>
      </c>
      <c r="CU107" s="5" t="s">
        <v>655</v>
      </c>
      <c r="CV107" s="4">
        <v>42</v>
      </c>
    </row>
    <row r="108" spans="13:100" x14ac:dyDescent="0.3">
      <c r="M108" s="1" t="s">
        <v>735</v>
      </c>
      <c r="N108" s="1" t="s">
        <v>68</v>
      </c>
      <c r="O108" s="1" t="s">
        <v>24</v>
      </c>
      <c r="P108" s="1" t="s">
        <v>31</v>
      </c>
      <c r="Q108" s="4">
        <v>16</v>
      </c>
      <c r="R108" s="4">
        <v>12</v>
      </c>
      <c r="S108" s="1" t="s">
        <v>43</v>
      </c>
      <c r="T108" s="1" t="s">
        <v>26</v>
      </c>
      <c r="U108" s="5" t="s">
        <v>736</v>
      </c>
      <c r="V108" s="4">
        <v>85</v>
      </c>
      <c r="AZ108" s="1" t="s">
        <v>735</v>
      </c>
      <c r="BA108" s="1" t="s">
        <v>68</v>
      </c>
      <c r="BB108" s="1" t="s">
        <v>24</v>
      </c>
      <c r="BC108" s="1" t="s">
        <v>31</v>
      </c>
      <c r="BD108" s="4">
        <v>16</v>
      </c>
      <c r="BE108" s="4">
        <v>12</v>
      </c>
      <c r="BF108" s="1" t="s">
        <v>43</v>
      </c>
      <c r="BG108" s="1" t="s">
        <v>26</v>
      </c>
      <c r="BH108" s="5" t="s">
        <v>736</v>
      </c>
      <c r="BI108" s="4">
        <v>85</v>
      </c>
      <c r="BZ108" s="1" t="s">
        <v>507</v>
      </c>
      <c r="CA108" s="1" t="s">
        <v>54</v>
      </c>
      <c r="CB108" s="1" t="s">
        <v>12</v>
      </c>
      <c r="CC108" s="1" t="s">
        <v>31</v>
      </c>
      <c r="CD108" s="4">
        <v>16</v>
      </c>
      <c r="CE108" s="4">
        <v>12</v>
      </c>
      <c r="CF108" s="1" t="s">
        <v>43</v>
      </c>
      <c r="CG108" s="1" t="s">
        <v>61</v>
      </c>
      <c r="CH108" s="5" t="s">
        <v>483</v>
      </c>
      <c r="CI108" s="4">
        <v>45</v>
      </c>
      <c r="CM108" s="1" t="s">
        <v>667</v>
      </c>
      <c r="CN108" s="1" t="s">
        <v>35</v>
      </c>
      <c r="CO108" s="1" t="s">
        <v>12</v>
      </c>
      <c r="CP108" s="1" t="s">
        <v>31</v>
      </c>
      <c r="CQ108" s="4">
        <v>15</v>
      </c>
      <c r="CR108" s="4">
        <v>12</v>
      </c>
      <c r="CS108" s="1" t="s">
        <v>14</v>
      </c>
      <c r="CT108" s="1" t="s">
        <v>46</v>
      </c>
      <c r="CU108" s="5" t="s">
        <v>668</v>
      </c>
      <c r="CV108" s="4">
        <v>82</v>
      </c>
    </row>
    <row r="109" spans="13:100" x14ac:dyDescent="0.3">
      <c r="M109" s="1" t="s">
        <v>737</v>
      </c>
      <c r="N109" s="1" t="s">
        <v>54</v>
      </c>
      <c r="O109" s="1" t="s">
        <v>96</v>
      </c>
      <c r="P109" s="1" t="s">
        <v>13</v>
      </c>
      <c r="Q109" s="4">
        <v>19</v>
      </c>
      <c r="R109" s="4">
        <v>12</v>
      </c>
      <c r="S109" s="1" t="s">
        <v>25</v>
      </c>
      <c r="T109" s="1" t="s">
        <v>20</v>
      </c>
      <c r="U109" s="5" t="s">
        <v>738</v>
      </c>
      <c r="V109" s="4">
        <v>85</v>
      </c>
      <c r="AZ109" s="1" t="s">
        <v>737</v>
      </c>
      <c r="BA109" s="1" t="s">
        <v>54</v>
      </c>
      <c r="BB109" s="1" t="s">
        <v>96</v>
      </c>
      <c r="BC109" s="1" t="s">
        <v>13</v>
      </c>
      <c r="BD109" s="4">
        <v>19</v>
      </c>
      <c r="BE109" s="4">
        <v>12</v>
      </c>
      <c r="BF109" s="1" t="s">
        <v>25</v>
      </c>
      <c r="BG109" s="1" t="s">
        <v>20</v>
      </c>
      <c r="BH109" s="5" t="s">
        <v>738</v>
      </c>
      <c r="BI109" s="4">
        <v>85</v>
      </c>
      <c r="BZ109" s="1" t="s">
        <v>518</v>
      </c>
      <c r="CA109" s="1" t="s">
        <v>51</v>
      </c>
      <c r="CB109" s="1" t="s">
        <v>96</v>
      </c>
      <c r="CC109" s="1" t="s">
        <v>31</v>
      </c>
      <c r="CD109" s="4">
        <v>17</v>
      </c>
      <c r="CE109" s="4">
        <v>11</v>
      </c>
      <c r="CF109" s="1" t="s">
        <v>25</v>
      </c>
      <c r="CG109" s="1" t="s">
        <v>61</v>
      </c>
      <c r="CH109" s="5" t="s">
        <v>519</v>
      </c>
      <c r="CI109" s="4">
        <v>52</v>
      </c>
      <c r="CM109" s="1" t="s">
        <v>673</v>
      </c>
      <c r="CN109" s="1" t="s">
        <v>11</v>
      </c>
      <c r="CO109" s="1" t="s">
        <v>19</v>
      </c>
      <c r="CP109" s="1" t="s">
        <v>31</v>
      </c>
      <c r="CQ109" s="4">
        <v>17</v>
      </c>
      <c r="CR109" s="4">
        <v>10</v>
      </c>
      <c r="CS109" s="1" t="s">
        <v>32</v>
      </c>
      <c r="CT109" s="1" t="s">
        <v>46</v>
      </c>
      <c r="CU109" s="5" t="s">
        <v>674</v>
      </c>
      <c r="CV109" s="4">
        <v>85</v>
      </c>
    </row>
    <row r="110" spans="13:100" x14ac:dyDescent="0.3">
      <c r="M110" s="1" t="s">
        <v>739</v>
      </c>
      <c r="N110" s="1" t="s">
        <v>18</v>
      </c>
      <c r="O110" s="1" t="s">
        <v>79</v>
      </c>
      <c r="P110" s="1" t="s">
        <v>31</v>
      </c>
      <c r="Q110" s="4">
        <v>14</v>
      </c>
      <c r="R110" s="4">
        <v>10</v>
      </c>
      <c r="S110" s="1" t="s">
        <v>32</v>
      </c>
      <c r="T110" s="1" t="s">
        <v>20</v>
      </c>
      <c r="U110" s="5" t="s">
        <v>740</v>
      </c>
      <c r="V110" s="4">
        <v>99</v>
      </c>
      <c r="AZ110" s="1" t="s">
        <v>739</v>
      </c>
      <c r="BA110" s="1" t="s">
        <v>18</v>
      </c>
      <c r="BB110" s="1" t="s">
        <v>79</v>
      </c>
      <c r="BC110" s="1" t="s">
        <v>31</v>
      </c>
      <c r="BD110" s="4">
        <v>14</v>
      </c>
      <c r="BE110" s="4">
        <v>10</v>
      </c>
      <c r="BF110" s="1" t="s">
        <v>32</v>
      </c>
      <c r="BG110" s="1" t="s">
        <v>20</v>
      </c>
      <c r="BH110" s="5" t="s">
        <v>740</v>
      </c>
      <c r="BI110" s="4">
        <v>99</v>
      </c>
      <c r="BZ110" s="1" t="s">
        <v>522</v>
      </c>
      <c r="CA110" s="1" t="s">
        <v>54</v>
      </c>
      <c r="CB110" s="1" t="s">
        <v>79</v>
      </c>
      <c r="CC110" s="1" t="s">
        <v>31</v>
      </c>
      <c r="CD110" s="4">
        <v>18</v>
      </c>
      <c r="CE110" s="4">
        <v>10</v>
      </c>
      <c r="CF110" s="1" t="s">
        <v>14</v>
      </c>
      <c r="CG110" s="1" t="s">
        <v>61</v>
      </c>
      <c r="CH110" s="5" t="s">
        <v>523</v>
      </c>
      <c r="CI110" s="4">
        <v>82</v>
      </c>
      <c r="CM110" s="1" t="s">
        <v>679</v>
      </c>
      <c r="CN110" s="1" t="s">
        <v>18</v>
      </c>
      <c r="CO110" s="1" t="s">
        <v>96</v>
      </c>
      <c r="CP110" s="1" t="s">
        <v>13</v>
      </c>
      <c r="CQ110" s="4">
        <v>14</v>
      </c>
      <c r="CR110" s="4">
        <v>12</v>
      </c>
      <c r="CS110" s="1" t="s">
        <v>32</v>
      </c>
      <c r="CT110" s="1" t="s">
        <v>46</v>
      </c>
      <c r="CU110" s="5" t="s">
        <v>680</v>
      </c>
      <c r="CV110" s="4">
        <v>44</v>
      </c>
    </row>
    <row r="111" spans="13:100" x14ac:dyDescent="0.3">
      <c r="M111" s="1" t="s">
        <v>749</v>
      </c>
      <c r="N111" s="1" t="s">
        <v>84</v>
      </c>
      <c r="O111" s="1" t="s">
        <v>30</v>
      </c>
      <c r="P111" s="1" t="s">
        <v>13</v>
      </c>
      <c r="Q111" s="4">
        <v>15</v>
      </c>
      <c r="R111" s="4">
        <v>12</v>
      </c>
      <c r="S111" s="1" t="s">
        <v>25</v>
      </c>
      <c r="T111" s="1" t="s">
        <v>61</v>
      </c>
      <c r="U111" s="5" t="s">
        <v>750</v>
      </c>
      <c r="V111" s="4">
        <v>95</v>
      </c>
      <c r="AZ111" s="1" t="s">
        <v>749</v>
      </c>
      <c r="BA111" s="1" t="s">
        <v>84</v>
      </c>
      <c r="BB111" s="1" t="s">
        <v>30</v>
      </c>
      <c r="BC111" s="1" t="s">
        <v>13</v>
      </c>
      <c r="BD111" s="4">
        <v>15</v>
      </c>
      <c r="BE111" s="4">
        <v>12</v>
      </c>
      <c r="BF111" s="1" t="s">
        <v>25</v>
      </c>
      <c r="BG111" s="1" t="s">
        <v>61</v>
      </c>
      <c r="BH111" s="5" t="s">
        <v>750</v>
      </c>
      <c r="BI111" s="4">
        <v>95</v>
      </c>
      <c r="BZ111" s="1" t="s">
        <v>526</v>
      </c>
      <c r="CA111" s="1" t="s">
        <v>18</v>
      </c>
      <c r="CB111" s="1" t="s">
        <v>12</v>
      </c>
      <c r="CC111" s="1" t="s">
        <v>31</v>
      </c>
      <c r="CD111" s="4">
        <v>18</v>
      </c>
      <c r="CE111" s="4">
        <v>9</v>
      </c>
      <c r="CF111" s="1" t="s">
        <v>14</v>
      </c>
      <c r="CG111" s="1" t="s">
        <v>15</v>
      </c>
      <c r="CH111" s="5" t="s">
        <v>346</v>
      </c>
      <c r="CI111" s="4">
        <v>59</v>
      </c>
      <c r="CM111" s="1" t="s">
        <v>681</v>
      </c>
      <c r="CN111" s="1" t="s">
        <v>35</v>
      </c>
      <c r="CO111" s="1" t="s">
        <v>36</v>
      </c>
      <c r="CP111" s="1" t="s">
        <v>13</v>
      </c>
      <c r="CQ111" s="4">
        <v>14</v>
      </c>
      <c r="CR111" s="4">
        <v>9</v>
      </c>
      <c r="CS111" s="1" t="s">
        <v>43</v>
      </c>
      <c r="CT111" s="1" t="s">
        <v>46</v>
      </c>
      <c r="CU111" s="5" t="s">
        <v>682</v>
      </c>
      <c r="CV111" s="4">
        <v>67</v>
      </c>
    </row>
    <row r="112" spans="13:100" x14ac:dyDescent="0.3">
      <c r="M112" s="1" t="s">
        <v>751</v>
      </c>
      <c r="N112" s="1" t="s">
        <v>73</v>
      </c>
      <c r="O112" s="1" t="s">
        <v>79</v>
      </c>
      <c r="P112" s="1" t="s">
        <v>31</v>
      </c>
      <c r="Q112" s="4">
        <v>20</v>
      </c>
      <c r="R112" s="4">
        <v>12</v>
      </c>
      <c r="S112" s="1" t="s">
        <v>25</v>
      </c>
      <c r="T112" s="1" t="s">
        <v>76</v>
      </c>
      <c r="U112" s="5" t="s">
        <v>752</v>
      </c>
      <c r="V112" s="4">
        <v>91</v>
      </c>
      <c r="AZ112" s="1" t="s">
        <v>751</v>
      </c>
      <c r="BA112" s="1" t="s">
        <v>73</v>
      </c>
      <c r="BB112" s="1" t="s">
        <v>79</v>
      </c>
      <c r="BC112" s="1" t="s">
        <v>31</v>
      </c>
      <c r="BD112" s="4">
        <v>20</v>
      </c>
      <c r="BE112" s="4">
        <v>12</v>
      </c>
      <c r="BF112" s="1" t="s">
        <v>25</v>
      </c>
      <c r="BG112" s="1" t="s">
        <v>76</v>
      </c>
      <c r="BH112" s="5" t="s">
        <v>752</v>
      </c>
      <c r="BI112" s="4">
        <v>91</v>
      </c>
      <c r="BZ112" s="1" t="s">
        <v>530</v>
      </c>
      <c r="CA112" s="1" t="s">
        <v>54</v>
      </c>
      <c r="CB112" s="1" t="s">
        <v>58</v>
      </c>
      <c r="CC112" s="1" t="s">
        <v>13</v>
      </c>
      <c r="CD112" s="4">
        <v>17</v>
      </c>
      <c r="CE112" s="4">
        <v>10</v>
      </c>
      <c r="CF112" s="1" t="s">
        <v>32</v>
      </c>
      <c r="CG112" s="1" t="s">
        <v>15</v>
      </c>
      <c r="CH112" s="5" t="s">
        <v>64</v>
      </c>
      <c r="CI112" s="4">
        <v>46</v>
      </c>
      <c r="CM112" s="1" t="s">
        <v>684</v>
      </c>
      <c r="CN112" s="1" t="s">
        <v>54</v>
      </c>
      <c r="CO112" s="1" t="s">
        <v>24</v>
      </c>
      <c r="CP112" s="1" t="s">
        <v>31</v>
      </c>
      <c r="CQ112" s="4">
        <v>17</v>
      </c>
      <c r="CR112" s="4">
        <v>10</v>
      </c>
      <c r="CS112" s="1" t="s">
        <v>43</v>
      </c>
      <c r="CT112" s="1" t="s">
        <v>46</v>
      </c>
      <c r="CU112" s="5" t="s">
        <v>685</v>
      </c>
      <c r="CV112" s="4">
        <v>74</v>
      </c>
    </row>
    <row r="113" spans="13:100" x14ac:dyDescent="0.3">
      <c r="M113" s="1" t="s">
        <v>754</v>
      </c>
      <c r="N113" s="1" t="s">
        <v>54</v>
      </c>
      <c r="O113" s="1" t="s">
        <v>12</v>
      </c>
      <c r="P113" s="1" t="s">
        <v>13</v>
      </c>
      <c r="Q113" s="4">
        <v>14</v>
      </c>
      <c r="R113" s="4">
        <v>12</v>
      </c>
      <c r="S113" s="1" t="s">
        <v>32</v>
      </c>
      <c r="T113" s="1" t="s">
        <v>20</v>
      </c>
      <c r="U113" s="5" t="s">
        <v>755</v>
      </c>
      <c r="V113" s="4">
        <v>98</v>
      </c>
      <c r="AZ113" s="1" t="s">
        <v>754</v>
      </c>
      <c r="BA113" s="1" t="s">
        <v>54</v>
      </c>
      <c r="BB113" s="1" t="s">
        <v>12</v>
      </c>
      <c r="BC113" s="1" t="s">
        <v>13</v>
      </c>
      <c r="BD113" s="4">
        <v>14</v>
      </c>
      <c r="BE113" s="4">
        <v>12</v>
      </c>
      <c r="BF113" s="1" t="s">
        <v>32</v>
      </c>
      <c r="BG113" s="1" t="s">
        <v>20</v>
      </c>
      <c r="BH113" s="5" t="s">
        <v>755</v>
      </c>
      <c r="BI113" s="4">
        <v>98</v>
      </c>
      <c r="BZ113" s="1" t="s">
        <v>537</v>
      </c>
      <c r="CA113" s="1" t="s">
        <v>68</v>
      </c>
      <c r="CB113" s="1" t="s">
        <v>36</v>
      </c>
      <c r="CC113" s="1" t="s">
        <v>31</v>
      </c>
      <c r="CD113" s="4">
        <v>16</v>
      </c>
      <c r="CE113" s="4">
        <v>12</v>
      </c>
      <c r="CF113" s="1" t="s">
        <v>25</v>
      </c>
      <c r="CG113" s="1" t="s">
        <v>26</v>
      </c>
      <c r="CH113" s="5" t="s">
        <v>538</v>
      </c>
      <c r="CI113" s="4">
        <v>42</v>
      </c>
      <c r="CM113" s="1" t="s">
        <v>687</v>
      </c>
      <c r="CN113" s="1" t="s">
        <v>84</v>
      </c>
      <c r="CO113" s="1" t="s">
        <v>19</v>
      </c>
      <c r="CP113" s="1" t="s">
        <v>13</v>
      </c>
      <c r="CQ113" s="4">
        <v>16</v>
      </c>
      <c r="CR113" s="4">
        <v>10</v>
      </c>
      <c r="CS113" s="1" t="s">
        <v>25</v>
      </c>
      <c r="CT113" s="1" t="s">
        <v>46</v>
      </c>
      <c r="CU113" s="5" t="s">
        <v>564</v>
      </c>
      <c r="CV113" s="4">
        <v>52</v>
      </c>
    </row>
    <row r="114" spans="13:100" x14ac:dyDescent="0.3">
      <c r="M114" s="1" t="s">
        <v>760</v>
      </c>
      <c r="N114" s="1" t="s">
        <v>84</v>
      </c>
      <c r="O114" s="1" t="s">
        <v>96</v>
      </c>
      <c r="P114" s="1" t="s">
        <v>31</v>
      </c>
      <c r="Q114" s="4">
        <v>16</v>
      </c>
      <c r="R114" s="4">
        <v>11</v>
      </c>
      <c r="S114" s="1" t="s">
        <v>32</v>
      </c>
      <c r="T114" s="1" t="s">
        <v>76</v>
      </c>
      <c r="U114" s="5" t="s">
        <v>761</v>
      </c>
      <c r="V114" s="4">
        <v>83</v>
      </c>
      <c r="AZ114" s="1" t="s">
        <v>760</v>
      </c>
      <c r="BA114" s="1" t="s">
        <v>84</v>
      </c>
      <c r="BB114" s="1" t="s">
        <v>96</v>
      </c>
      <c r="BC114" s="1" t="s">
        <v>31</v>
      </c>
      <c r="BD114" s="4">
        <v>16</v>
      </c>
      <c r="BE114" s="4">
        <v>11</v>
      </c>
      <c r="BF114" s="1" t="s">
        <v>32</v>
      </c>
      <c r="BG114" s="1" t="s">
        <v>76</v>
      </c>
      <c r="BH114" s="5" t="s">
        <v>761</v>
      </c>
      <c r="BI114" s="4">
        <v>83</v>
      </c>
      <c r="BZ114" s="1" t="s">
        <v>540</v>
      </c>
      <c r="CA114" s="1" t="s">
        <v>51</v>
      </c>
      <c r="CB114" s="1" t="s">
        <v>85</v>
      </c>
      <c r="CC114" s="1" t="s">
        <v>13</v>
      </c>
      <c r="CD114" s="4">
        <v>18</v>
      </c>
      <c r="CE114" s="4">
        <v>10</v>
      </c>
      <c r="CF114" s="1" t="s">
        <v>14</v>
      </c>
      <c r="CG114" s="1" t="s">
        <v>46</v>
      </c>
      <c r="CH114" s="5" t="s">
        <v>541</v>
      </c>
      <c r="CI114" s="4">
        <v>63</v>
      </c>
      <c r="CM114" s="1" t="s">
        <v>691</v>
      </c>
      <c r="CN114" s="1" t="s">
        <v>84</v>
      </c>
      <c r="CO114" s="1" t="s">
        <v>55</v>
      </c>
      <c r="CP114" s="1" t="s">
        <v>13</v>
      </c>
      <c r="CQ114" s="4">
        <v>16</v>
      </c>
      <c r="CR114" s="4">
        <v>10</v>
      </c>
      <c r="CS114" s="1" t="s">
        <v>43</v>
      </c>
      <c r="CT114" s="1" t="s">
        <v>46</v>
      </c>
      <c r="CU114" s="5" t="s">
        <v>692</v>
      </c>
      <c r="CV114" s="4">
        <v>91</v>
      </c>
    </row>
    <row r="115" spans="13:100" x14ac:dyDescent="0.3">
      <c r="M115" s="1" t="s">
        <v>762</v>
      </c>
      <c r="N115" s="1" t="s">
        <v>68</v>
      </c>
      <c r="O115" s="1" t="s">
        <v>85</v>
      </c>
      <c r="P115" s="1" t="s">
        <v>31</v>
      </c>
      <c r="Q115" s="4">
        <v>20</v>
      </c>
      <c r="R115" s="4">
        <v>12</v>
      </c>
      <c r="S115" s="1" t="s">
        <v>43</v>
      </c>
      <c r="T115" s="1" t="s">
        <v>20</v>
      </c>
      <c r="U115" s="5" t="s">
        <v>763</v>
      </c>
      <c r="V115" s="4">
        <v>82</v>
      </c>
      <c r="AZ115" s="1" t="s">
        <v>762</v>
      </c>
      <c r="BA115" s="1" t="s">
        <v>68</v>
      </c>
      <c r="BB115" s="1" t="s">
        <v>85</v>
      </c>
      <c r="BC115" s="1" t="s">
        <v>31</v>
      </c>
      <c r="BD115" s="4">
        <v>20</v>
      </c>
      <c r="BE115" s="4">
        <v>12</v>
      </c>
      <c r="BF115" s="1" t="s">
        <v>43</v>
      </c>
      <c r="BG115" s="1" t="s">
        <v>20</v>
      </c>
      <c r="BH115" s="5" t="s">
        <v>763</v>
      </c>
      <c r="BI115" s="4">
        <v>82</v>
      </c>
      <c r="BZ115" s="1" t="s">
        <v>542</v>
      </c>
      <c r="CA115" s="1" t="s">
        <v>84</v>
      </c>
      <c r="CB115" s="1" t="s">
        <v>55</v>
      </c>
      <c r="CC115" s="1" t="s">
        <v>31</v>
      </c>
      <c r="CD115" s="4">
        <v>18</v>
      </c>
      <c r="CE115" s="4">
        <v>12</v>
      </c>
      <c r="CF115" s="1" t="s">
        <v>32</v>
      </c>
      <c r="CG115" s="1" t="s">
        <v>40</v>
      </c>
      <c r="CH115" s="5" t="s">
        <v>543</v>
      </c>
      <c r="CI115" s="4">
        <v>51</v>
      </c>
      <c r="CM115" s="1" t="s">
        <v>697</v>
      </c>
      <c r="CN115" s="1" t="s">
        <v>29</v>
      </c>
      <c r="CO115" s="1" t="s">
        <v>30</v>
      </c>
      <c r="CP115" s="1" t="s">
        <v>31</v>
      </c>
      <c r="CQ115" s="4">
        <v>19</v>
      </c>
      <c r="CR115" s="4">
        <v>10</v>
      </c>
      <c r="CS115" s="1" t="s">
        <v>25</v>
      </c>
      <c r="CT115" s="1" t="s">
        <v>61</v>
      </c>
      <c r="CU115" s="5" t="s">
        <v>698</v>
      </c>
      <c r="CV115" s="4">
        <v>75</v>
      </c>
    </row>
    <row r="116" spans="13:100" x14ac:dyDescent="0.3">
      <c r="M116" s="1" t="s">
        <v>769</v>
      </c>
      <c r="N116" s="1" t="s">
        <v>35</v>
      </c>
      <c r="O116" s="1" t="s">
        <v>30</v>
      </c>
      <c r="P116" s="1" t="s">
        <v>13</v>
      </c>
      <c r="Q116" s="4">
        <v>16</v>
      </c>
      <c r="R116" s="4">
        <v>11</v>
      </c>
      <c r="S116" s="1" t="s">
        <v>32</v>
      </c>
      <c r="T116" s="1" t="s">
        <v>46</v>
      </c>
      <c r="U116" s="5" t="s">
        <v>770</v>
      </c>
      <c r="V116" s="4">
        <v>85</v>
      </c>
      <c r="AZ116" s="1" t="s">
        <v>769</v>
      </c>
      <c r="BA116" s="1" t="s">
        <v>35</v>
      </c>
      <c r="BB116" s="1" t="s">
        <v>30</v>
      </c>
      <c r="BC116" s="1" t="s">
        <v>13</v>
      </c>
      <c r="BD116" s="4">
        <v>16</v>
      </c>
      <c r="BE116" s="4">
        <v>11</v>
      </c>
      <c r="BF116" s="1" t="s">
        <v>32</v>
      </c>
      <c r="BG116" s="1" t="s">
        <v>46</v>
      </c>
      <c r="BH116" s="5" t="s">
        <v>770</v>
      </c>
      <c r="BI116" s="4">
        <v>85</v>
      </c>
      <c r="BZ116" s="1" t="s">
        <v>544</v>
      </c>
      <c r="CA116" s="1" t="s">
        <v>68</v>
      </c>
      <c r="CB116" s="1" t="s">
        <v>19</v>
      </c>
      <c r="CC116" s="1" t="s">
        <v>31</v>
      </c>
      <c r="CD116" s="4">
        <v>16</v>
      </c>
      <c r="CE116" s="4">
        <v>9</v>
      </c>
      <c r="CF116" s="1" t="s">
        <v>14</v>
      </c>
      <c r="CG116" s="1" t="s">
        <v>40</v>
      </c>
      <c r="CH116" s="5" t="s">
        <v>545</v>
      </c>
      <c r="CI116" s="4">
        <v>37</v>
      </c>
      <c r="CM116" s="1" t="s">
        <v>718</v>
      </c>
      <c r="CN116" s="1" t="s">
        <v>84</v>
      </c>
      <c r="CO116" s="1" t="s">
        <v>12</v>
      </c>
      <c r="CP116" s="1" t="s">
        <v>31</v>
      </c>
      <c r="CQ116" s="4">
        <v>20</v>
      </c>
      <c r="CR116" s="4">
        <v>10</v>
      </c>
      <c r="CS116" s="1" t="s">
        <v>25</v>
      </c>
      <c r="CT116" s="1" t="s">
        <v>61</v>
      </c>
      <c r="CU116" s="5" t="s">
        <v>639</v>
      </c>
      <c r="CV116" s="4">
        <v>35</v>
      </c>
    </row>
    <row r="117" spans="13:100" x14ac:dyDescent="0.3">
      <c r="M117" s="1" t="s">
        <v>771</v>
      </c>
      <c r="N117" s="1" t="s">
        <v>23</v>
      </c>
      <c r="O117" s="1" t="s">
        <v>24</v>
      </c>
      <c r="P117" s="1" t="s">
        <v>31</v>
      </c>
      <c r="Q117" s="4">
        <v>18</v>
      </c>
      <c r="R117" s="4">
        <v>11</v>
      </c>
      <c r="S117" s="1" t="s">
        <v>25</v>
      </c>
      <c r="T117" s="1" t="s">
        <v>46</v>
      </c>
      <c r="U117" s="5" t="s">
        <v>772</v>
      </c>
      <c r="V117" s="4">
        <v>89</v>
      </c>
      <c r="AZ117" s="1" t="s">
        <v>771</v>
      </c>
      <c r="BA117" s="1" t="s">
        <v>23</v>
      </c>
      <c r="BB117" s="1" t="s">
        <v>24</v>
      </c>
      <c r="BC117" s="1" t="s">
        <v>31</v>
      </c>
      <c r="BD117" s="4">
        <v>18</v>
      </c>
      <c r="BE117" s="4">
        <v>11</v>
      </c>
      <c r="BF117" s="1" t="s">
        <v>25</v>
      </c>
      <c r="BG117" s="1" t="s">
        <v>46</v>
      </c>
      <c r="BH117" s="5" t="s">
        <v>772</v>
      </c>
      <c r="BI117" s="4">
        <v>89</v>
      </c>
      <c r="BZ117" s="1" t="s">
        <v>555</v>
      </c>
      <c r="CA117" s="1" t="s">
        <v>73</v>
      </c>
      <c r="CB117" s="1" t="s">
        <v>55</v>
      </c>
      <c r="CC117" s="1" t="s">
        <v>31</v>
      </c>
      <c r="CD117" s="4">
        <v>16</v>
      </c>
      <c r="CE117" s="4">
        <v>9</v>
      </c>
      <c r="CF117" s="1" t="s">
        <v>14</v>
      </c>
      <c r="CG117" s="1" t="s">
        <v>76</v>
      </c>
      <c r="CH117" s="5" t="s">
        <v>556</v>
      </c>
      <c r="CI117" s="4">
        <v>93</v>
      </c>
      <c r="CM117" s="1" t="s">
        <v>749</v>
      </c>
      <c r="CN117" s="1" t="s">
        <v>84</v>
      </c>
      <c r="CO117" s="1" t="s">
        <v>30</v>
      </c>
      <c r="CP117" s="1" t="s">
        <v>13</v>
      </c>
      <c r="CQ117" s="4">
        <v>15</v>
      </c>
      <c r="CR117" s="4">
        <v>12</v>
      </c>
      <c r="CS117" s="1" t="s">
        <v>25</v>
      </c>
      <c r="CT117" s="1" t="s">
        <v>61</v>
      </c>
      <c r="CU117" s="5" t="s">
        <v>750</v>
      </c>
      <c r="CV117" s="4">
        <v>95</v>
      </c>
    </row>
    <row r="118" spans="13:100" x14ac:dyDescent="0.3">
      <c r="M118" s="1" t="s">
        <v>775</v>
      </c>
      <c r="N118" s="1" t="s">
        <v>29</v>
      </c>
      <c r="O118" s="1" t="s">
        <v>85</v>
      </c>
      <c r="P118" s="1" t="s">
        <v>31</v>
      </c>
      <c r="Q118" s="4">
        <v>20</v>
      </c>
      <c r="R118" s="4">
        <v>10</v>
      </c>
      <c r="S118" s="1" t="s">
        <v>14</v>
      </c>
      <c r="T118" s="1" t="s">
        <v>46</v>
      </c>
      <c r="U118" s="5" t="s">
        <v>366</v>
      </c>
      <c r="V118" s="4">
        <v>100</v>
      </c>
      <c r="AZ118" s="1" t="s">
        <v>775</v>
      </c>
      <c r="BA118" s="1" t="s">
        <v>29</v>
      </c>
      <c r="BB118" s="1" t="s">
        <v>85</v>
      </c>
      <c r="BC118" s="1" t="s">
        <v>31</v>
      </c>
      <c r="BD118" s="4">
        <v>20</v>
      </c>
      <c r="BE118" s="4">
        <v>10</v>
      </c>
      <c r="BF118" s="1" t="s">
        <v>14</v>
      </c>
      <c r="BG118" s="1" t="s">
        <v>46</v>
      </c>
      <c r="BH118" s="5" t="s">
        <v>366</v>
      </c>
      <c r="BI118" s="4">
        <v>100</v>
      </c>
      <c r="BZ118" s="1" t="s">
        <v>557</v>
      </c>
      <c r="CA118" s="1" t="s">
        <v>23</v>
      </c>
      <c r="CB118" s="1" t="s">
        <v>96</v>
      </c>
      <c r="CC118" s="1" t="s">
        <v>13</v>
      </c>
      <c r="CD118" s="4">
        <v>18</v>
      </c>
      <c r="CE118" s="4">
        <v>11</v>
      </c>
      <c r="CF118" s="1" t="s">
        <v>25</v>
      </c>
      <c r="CG118" s="1" t="s">
        <v>76</v>
      </c>
      <c r="CH118" s="5" t="s">
        <v>182</v>
      </c>
      <c r="CI118" s="4">
        <v>77</v>
      </c>
      <c r="CM118" s="1" t="s">
        <v>766</v>
      </c>
      <c r="CN118" s="1" t="s">
        <v>35</v>
      </c>
      <c r="CO118" s="1" t="s">
        <v>58</v>
      </c>
      <c r="CP118" s="1" t="s">
        <v>13</v>
      </c>
      <c r="CQ118" s="4">
        <v>20</v>
      </c>
      <c r="CR118" s="4">
        <v>11</v>
      </c>
      <c r="CS118" s="1" t="s">
        <v>32</v>
      </c>
      <c r="CT118" s="1" t="s">
        <v>46</v>
      </c>
      <c r="CU118" s="5" t="s">
        <v>767</v>
      </c>
      <c r="CV118" s="4">
        <v>54</v>
      </c>
    </row>
    <row r="119" spans="13:100" x14ac:dyDescent="0.3">
      <c r="M119" s="1" t="s">
        <v>776</v>
      </c>
      <c r="N119" s="1" t="s">
        <v>11</v>
      </c>
      <c r="O119" s="1" t="s">
        <v>12</v>
      </c>
      <c r="P119" s="1" t="s">
        <v>31</v>
      </c>
      <c r="Q119" s="4">
        <v>20</v>
      </c>
      <c r="R119" s="4">
        <v>9</v>
      </c>
      <c r="S119" s="1" t="s">
        <v>14</v>
      </c>
      <c r="T119" s="1" t="s">
        <v>76</v>
      </c>
      <c r="U119" s="5" t="s">
        <v>777</v>
      </c>
      <c r="V119" s="4">
        <v>84</v>
      </c>
      <c r="AZ119" s="1" t="s">
        <v>776</v>
      </c>
      <c r="BA119" s="1" t="s">
        <v>11</v>
      </c>
      <c r="BB119" s="1" t="s">
        <v>12</v>
      </c>
      <c r="BC119" s="1" t="s">
        <v>31</v>
      </c>
      <c r="BD119" s="4">
        <v>20</v>
      </c>
      <c r="BE119" s="4">
        <v>9</v>
      </c>
      <c r="BF119" s="1" t="s">
        <v>14</v>
      </c>
      <c r="BG119" s="1" t="s">
        <v>76</v>
      </c>
      <c r="BH119" s="5" t="s">
        <v>777</v>
      </c>
      <c r="BI119" s="4">
        <v>84</v>
      </c>
      <c r="BZ119" s="1" t="s">
        <v>567</v>
      </c>
      <c r="CA119" s="1" t="s">
        <v>54</v>
      </c>
      <c r="CB119" s="1" t="s">
        <v>12</v>
      </c>
      <c r="CC119" s="1" t="s">
        <v>31</v>
      </c>
      <c r="CD119" s="4">
        <v>18</v>
      </c>
      <c r="CE119" s="4">
        <v>12</v>
      </c>
      <c r="CF119" s="1" t="s">
        <v>25</v>
      </c>
      <c r="CG119" s="1" t="s">
        <v>26</v>
      </c>
      <c r="CH119" s="5" t="s">
        <v>568</v>
      </c>
      <c r="CI119" s="4">
        <v>96</v>
      </c>
      <c r="CM119" s="1" t="s">
        <v>769</v>
      </c>
      <c r="CN119" s="1" t="s">
        <v>35</v>
      </c>
      <c r="CO119" s="1" t="s">
        <v>30</v>
      </c>
      <c r="CP119" s="1" t="s">
        <v>13</v>
      </c>
      <c r="CQ119" s="4">
        <v>16</v>
      </c>
      <c r="CR119" s="4">
        <v>11</v>
      </c>
      <c r="CS119" s="1" t="s">
        <v>32</v>
      </c>
      <c r="CT119" s="1" t="s">
        <v>46</v>
      </c>
      <c r="CU119" s="5" t="s">
        <v>770</v>
      </c>
      <c r="CV119" s="4">
        <v>85</v>
      </c>
    </row>
    <row r="120" spans="13:100" x14ac:dyDescent="0.3">
      <c r="M120" s="1" t="s">
        <v>782</v>
      </c>
      <c r="N120" s="1" t="s">
        <v>84</v>
      </c>
      <c r="O120" s="1" t="s">
        <v>12</v>
      </c>
      <c r="P120" s="1" t="s">
        <v>31</v>
      </c>
      <c r="Q120" s="4">
        <v>14</v>
      </c>
      <c r="R120" s="4">
        <v>11</v>
      </c>
      <c r="S120" s="1" t="s">
        <v>14</v>
      </c>
      <c r="T120" s="1" t="s">
        <v>37</v>
      </c>
      <c r="U120" s="5" t="s">
        <v>252</v>
      </c>
      <c r="V120" s="4">
        <v>95</v>
      </c>
      <c r="AZ120" s="1" t="s">
        <v>782</v>
      </c>
      <c r="BA120" s="1" t="s">
        <v>84</v>
      </c>
      <c r="BB120" s="1" t="s">
        <v>12</v>
      </c>
      <c r="BC120" s="1" t="s">
        <v>31</v>
      </c>
      <c r="BD120" s="4">
        <v>14</v>
      </c>
      <c r="BE120" s="4">
        <v>11</v>
      </c>
      <c r="BF120" s="1" t="s">
        <v>14</v>
      </c>
      <c r="BG120" s="1" t="s">
        <v>37</v>
      </c>
      <c r="BH120" s="5" t="s">
        <v>252</v>
      </c>
      <c r="BI120" s="4">
        <v>95</v>
      </c>
      <c r="BZ120" s="1" t="s">
        <v>569</v>
      </c>
      <c r="CA120" s="1" t="s">
        <v>54</v>
      </c>
      <c r="CB120" s="1" t="s">
        <v>12</v>
      </c>
      <c r="CC120" s="1" t="s">
        <v>31</v>
      </c>
      <c r="CD120" s="4">
        <v>17</v>
      </c>
      <c r="CE120" s="4">
        <v>9</v>
      </c>
      <c r="CF120" s="1" t="s">
        <v>25</v>
      </c>
      <c r="CG120" s="1" t="s">
        <v>37</v>
      </c>
      <c r="CH120" s="5" t="s">
        <v>570</v>
      </c>
      <c r="CI120" s="4">
        <v>100</v>
      </c>
      <c r="CM120" s="1" t="s">
        <v>771</v>
      </c>
      <c r="CN120" s="1" t="s">
        <v>23</v>
      </c>
      <c r="CO120" s="1" t="s">
        <v>24</v>
      </c>
      <c r="CP120" s="1" t="s">
        <v>31</v>
      </c>
      <c r="CQ120" s="4">
        <v>18</v>
      </c>
      <c r="CR120" s="4">
        <v>11</v>
      </c>
      <c r="CS120" s="1" t="s">
        <v>25</v>
      </c>
      <c r="CT120" s="1" t="s">
        <v>46</v>
      </c>
      <c r="CU120" s="5" t="s">
        <v>772</v>
      </c>
      <c r="CV120" s="4">
        <v>89</v>
      </c>
    </row>
    <row r="121" spans="13:100" x14ac:dyDescent="0.3">
      <c r="M121" s="1" t="s">
        <v>784</v>
      </c>
      <c r="N121" s="1" t="s">
        <v>84</v>
      </c>
      <c r="O121" s="1" t="s">
        <v>12</v>
      </c>
      <c r="P121" s="1" t="s">
        <v>13</v>
      </c>
      <c r="Q121" s="4">
        <v>17</v>
      </c>
      <c r="R121" s="4">
        <v>9</v>
      </c>
      <c r="S121" s="1" t="s">
        <v>43</v>
      </c>
      <c r="T121" s="1" t="s">
        <v>76</v>
      </c>
      <c r="U121" s="5" t="s">
        <v>685</v>
      </c>
      <c r="V121" s="4">
        <v>89</v>
      </c>
      <c r="AZ121" s="1" t="s">
        <v>784</v>
      </c>
      <c r="BA121" s="1" t="s">
        <v>84</v>
      </c>
      <c r="BB121" s="1" t="s">
        <v>12</v>
      </c>
      <c r="BC121" s="1" t="s">
        <v>13</v>
      </c>
      <c r="BD121" s="4">
        <v>17</v>
      </c>
      <c r="BE121" s="4">
        <v>9</v>
      </c>
      <c r="BF121" s="1" t="s">
        <v>43</v>
      </c>
      <c r="BG121" s="1" t="s">
        <v>76</v>
      </c>
      <c r="BH121" s="5" t="s">
        <v>685</v>
      </c>
      <c r="BI121" s="4">
        <v>89</v>
      </c>
      <c r="BZ121" s="1" t="s">
        <v>571</v>
      </c>
      <c r="CA121" s="1" t="s">
        <v>68</v>
      </c>
      <c r="CB121" s="1" t="s">
        <v>12</v>
      </c>
      <c r="CC121" s="1" t="s">
        <v>13</v>
      </c>
      <c r="CD121" s="4">
        <v>16</v>
      </c>
      <c r="CE121" s="4">
        <v>10</v>
      </c>
      <c r="CF121" s="1" t="s">
        <v>25</v>
      </c>
      <c r="CG121" s="1" t="s">
        <v>26</v>
      </c>
      <c r="CH121" s="5" t="s">
        <v>434</v>
      </c>
      <c r="CI121" s="4">
        <v>63</v>
      </c>
      <c r="CM121" s="1" t="s">
        <v>775</v>
      </c>
      <c r="CN121" s="1" t="s">
        <v>29</v>
      </c>
      <c r="CO121" s="1" t="s">
        <v>85</v>
      </c>
      <c r="CP121" s="1" t="s">
        <v>31</v>
      </c>
      <c r="CQ121" s="4">
        <v>20</v>
      </c>
      <c r="CR121" s="4">
        <v>10</v>
      </c>
      <c r="CS121" s="1" t="s">
        <v>14</v>
      </c>
      <c r="CT121" s="1" t="s">
        <v>46</v>
      </c>
      <c r="CU121" s="5" t="s">
        <v>366</v>
      </c>
      <c r="CV121" s="4">
        <v>100</v>
      </c>
    </row>
    <row r="122" spans="13:100" x14ac:dyDescent="0.3">
      <c r="M122" s="1" t="s">
        <v>785</v>
      </c>
      <c r="N122" s="1" t="s">
        <v>35</v>
      </c>
      <c r="O122" s="1" t="s">
        <v>58</v>
      </c>
      <c r="P122" s="1" t="s">
        <v>13</v>
      </c>
      <c r="Q122" s="4">
        <v>18</v>
      </c>
      <c r="R122" s="4">
        <v>12</v>
      </c>
      <c r="S122" s="1" t="s">
        <v>43</v>
      </c>
      <c r="T122" s="1" t="s">
        <v>20</v>
      </c>
      <c r="U122" s="5" t="s">
        <v>786</v>
      </c>
      <c r="V122" s="4">
        <v>93</v>
      </c>
      <c r="AZ122" s="1" t="s">
        <v>785</v>
      </c>
      <c r="BA122" s="1" t="s">
        <v>35</v>
      </c>
      <c r="BB122" s="1" t="s">
        <v>58</v>
      </c>
      <c r="BC122" s="1" t="s">
        <v>13</v>
      </c>
      <c r="BD122" s="4">
        <v>18</v>
      </c>
      <c r="BE122" s="4">
        <v>12</v>
      </c>
      <c r="BF122" s="1" t="s">
        <v>43</v>
      </c>
      <c r="BG122" s="1" t="s">
        <v>20</v>
      </c>
      <c r="BH122" s="5" t="s">
        <v>786</v>
      </c>
      <c r="BI122" s="4">
        <v>93</v>
      </c>
      <c r="BZ122" s="1" t="s">
        <v>580</v>
      </c>
      <c r="CA122" s="1" t="s">
        <v>29</v>
      </c>
      <c r="CB122" s="1" t="s">
        <v>36</v>
      </c>
      <c r="CC122" s="1" t="s">
        <v>13</v>
      </c>
      <c r="CD122" s="4">
        <v>17</v>
      </c>
      <c r="CE122" s="4">
        <v>10</v>
      </c>
      <c r="CF122" s="1" t="s">
        <v>32</v>
      </c>
      <c r="CG122" s="1" t="s">
        <v>15</v>
      </c>
      <c r="CH122" s="5" t="s">
        <v>581</v>
      </c>
      <c r="CI122" s="4">
        <v>37</v>
      </c>
      <c r="CM122" s="1" t="s">
        <v>783</v>
      </c>
      <c r="CN122" s="1" t="s">
        <v>54</v>
      </c>
      <c r="CO122" s="1" t="s">
        <v>79</v>
      </c>
      <c r="CP122" s="1" t="s">
        <v>31</v>
      </c>
      <c r="CQ122" s="4">
        <v>15</v>
      </c>
      <c r="CR122" s="4">
        <v>11</v>
      </c>
      <c r="CS122" s="1" t="s">
        <v>25</v>
      </c>
      <c r="CT122" s="1" t="s">
        <v>61</v>
      </c>
      <c r="CU122" s="5" t="s">
        <v>628</v>
      </c>
      <c r="CV122" s="4">
        <v>39</v>
      </c>
    </row>
    <row r="123" spans="13:100" x14ac:dyDescent="0.3">
      <c r="M123" s="1" t="s">
        <v>787</v>
      </c>
      <c r="N123" s="1" t="s">
        <v>18</v>
      </c>
      <c r="O123" s="1" t="s">
        <v>36</v>
      </c>
      <c r="P123" s="1" t="s">
        <v>31</v>
      </c>
      <c r="Q123" s="4">
        <v>16</v>
      </c>
      <c r="R123" s="4">
        <v>9</v>
      </c>
      <c r="S123" s="1" t="s">
        <v>14</v>
      </c>
      <c r="T123" s="1" t="s">
        <v>76</v>
      </c>
      <c r="U123" s="5" t="s">
        <v>788</v>
      </c>
      <c r="V123" s="4">
        <v>88</v>
      </c>
      <c r="AZ123" s="1" t="s">
        <v>787</v>
      </c>
      <c r="BA123" s="1" t="s">
        <v>18</v>
      </c>
      <c r="BB123" s="1" t="s">
        <v>36</v>
      </c>
      <c r="BC123" s="1" t="s">
        <v>31</v>
      </c>
      <c r="BD123" s="4">
        <v>16</v>
      </c>
      <c r="BE123" s="4">
        <v>9</v>
      </c>
      <c r="BF123" s="1" t="s">
        <v>14</v>
      </c>
      <c r="BG123" s="1" t="s">
        <v>76</v>
      </c>
      <c r="BH123" s="5" t="s">
        <v>788</v>
      </c>
      <c r="BI123" s="4">
        <v>88</v>
      </c>
      <c r="BZ123" s="1" t="s">
        <v>584</v>
      </c>
      <c r="CA123" s="1" t="s">
        <v>68</v>
      </c>
      <c r="CB123" s="1" t="s">
        <v>55</v>
      </c>
      <c r="CC123" s="1" t="s">
        <v>31</v>
      </c>
      <c r="CD123" s="4">
        <v>16</v>
      </c>
      <c r="CE123" s="4">
        <v>9</v>
      </c>
      <c r="CF123" s="1" t="s">
        <v>14</v>
      </c>
      <c r="CG123" s="1" t="s">
        <v>61</v>
      </c>
      <c r="CH123" s="5" t="s">
        <v>585</v>
      </c>
      <c r="CI123" s="4">
        <v>59</v>
      </c>
      <c r="CM123" s="1" t="s">
        <v>791</v>
      </c>
      <c r="CN123" s="1" t="s">
        <v>51</v>
      </c>
      <c r="CO123" s="1" t="s">
        <v>85</v>
      </c>
      <c r="CP123" s="1" t="s">
        <v>13</v>
      </c>
      <c r="CQ123" s="4">
        <v>14</v>
      </c>
      <c r="CR123" s="4">
        <v>9</v>
      </c>
      <c r="CS123" s="1" t="s">
        <v>43</v>
      </c>
      <c r="CT123" s="1" t="s">
        <v>61</v>
      </c>
      <c r="CU123" s="5" t="s">
        <v>792</v>
      </c>
      <c r="CV123" s="4">
        <v>96</v>
      </c>
    </row>
    <row r="124" spans="13:100" x14ac:dyDescent="0.3">
      <c r="M124" s="1" t="s">
        <v>789</v>
      </c>
      <c r="N124" s="1" t="s">
        <v>54</v>
      </c>
      <c r="O124" s="1" t="s">
        <v>12</v>
      </c>
      <c r="P124" s="1" t="s">
        <v>31</v>
      </c>
      <c r="Q124" s="4">
        <v>18</v>
      </c>
      <c r="R124" s="4">
        <v>10</v>
      </c>
      <c r="S124" s="1" t="s">
        <v>25</v>
      </c>
      <c r="T124" s="1" t="s">
        <v>15</v>
      </c>
      <c r="U124" s="5" t="s">
        <v>790</v>
      </c>
      <c r="V124" s="4">
        <v>95</v>
      </c>
      <c r="AZ124" s="1" t="s">
        <v>789</v>
      </c>
      <c r="BA124" s="1" t="s">
        <v>54</v>
      </c>
      <c r="BB124" s="1" t="s">
        <v>12</v>
      </c>
      <c r="BC124" s="1" t="s">
        <v>31</v>
      </c>
      <c r="BD124" s="4">
        <v>18</v>
      </c>
      <c r="BE124" s="4">
        <v>10</v>
      </c>
      <c r="BF124" s="1" t="s">
        <v>25</v>
      </c>
      <c r="BG124" s="1" t="s">
        <v>15</v>
      </c>
      <c r="BH124" s="5" t="s">
        <v>790</v>
      </c>
      <c r="BI124" s="4">
        <v>95</v>
      </c>
      <c r="BZ124" s="1" t="s">
        <v>586</v>
      </c>
      <c r="CA124" s="1" t="s">
        <v>11</v>
      </c>
      <c r="CB124" s="1" t="s">
        <v>24</v>
      </c>
      <c r="CC124" s="1" t="s">
        <v>31</v>
      </c>
      <c r="CD124" s="4">
        <v>17</v>
      </c>
      <c r="CE124" s="4">
        <v>11</v>
      </c>
      <c r="CF124" s="1" t="s">
        <v>43</v>
      </c>
      <c r="CG124" s="1" t="s">
        <v>61</v>
      </c>
      <c r="CH124" s="5" t="s">
        <v>587</v>
      </c>
      <c r="CI124" s="4">
        <v>73</v>
      </c>
      <c r="CM124" s="1" t="s">
        <v>799</v>
      </c>
      <c r="CN124" s="1" t="s">
        <v>54</v>
      </c>
      <c r="CO124" s="1" t="s">
        <v>36</v>
      </c>
      <c r="CP124" s="1" t="s">
        <v>31</v>
      </c>
      <c r="CQ124" s="4">
        <v>17</v>
      </c>
      <c r="CR124" s="4">
        <v>12</v>
      </c>
      <c r="CS124" s="1" t="s">
        <v>14</v>
      </c>
      <c r="CT124" s="1" t="s">
        <v>46</v>
      </c>
      <c r="CU124" s="5" t="s">
        <v>533</v>
      </c>
      <c r="CV124" s="4">
        <v>59</v>
      </c>
    </row>
    <row r="125" spans="13:100" x14ac:dyDescent="0.3">
      <c r="M125" s="1" t="s">
        <v>791</v>
      </c>
      <c r="N125" s="1" t="s">
        <v>51</v>
      </c>
      <c r="O125" s="1" t="s">
        <v>85</v>
      </c>
      <c r="P125" s="1" t="s">
        <v>13</v>
      </c>
      <c r="Q125" s="4">
        <v>14</v>
      </c>
      <c r="R125" s="4">
        <v>9</v>
      </c>
      <c r="S125" s="1" t="s">
        <v>43</v>
      </c>
      <c r="T125" s="1" t="s">
        <v>61</v>
      </c>
      <c r="U125" s="5" t="s">
        <v>792</v>
      </c>
      <c r="V125" s="4">
        <v>96</v>
      </c>
      <c r="AZ125" s="1" t="s">
        <v>791</v>
      </c>
      <c r="BA125" s="1" t="s">
        <v>51</v>
      </c>
      <c r="BB125" s="1" t="s">
        <v>85</v>
      </c>
      <c r="BC125" s="1" t="s">
        <v>13</v>
      </c>
      <c r="BD125" s="4">
        <v>14</v>
      </c>
      <c r="BE125" s="4">
        <v>9</v>
      </c>
      <c r="BF125" s="1" t="s">
        <v>43</v>
      </c>
      <c r="BG125" s="1" t="s">
        <v>61</v>
      </c>
      <c r="BH125" s="5" t="s">
        <v>792</v>
      </c>
      <c r="BI125" s="4">
        <v>96</v>
      </c>
      <c r="BZ125" s="1" t="s">
        <v>588</v>
      </c>
      <c r="CA125" s="1" t="s">
        <v>68</v>
      </c>
      <c r="CB125" s="1" t="s">
        <v>85</v>
      </c>
      <c r="CC125" s="1" t="s">
        <v>31</v>
      </c>
      <c r="CD125" s="4">
        <v>17</v>
      </c>
      <c r="CE125" s="4">
        <v>9</v>
      </c>
      <c r="CF125" s="1" t="s">
        <v>25</v>
      </c>
      <c r="CG125" s="1" t="s">
        <v>61</v>
      </c>
      <c r="CH125" s="5" t="s">
        <v>589</v>
      </c>
      <c r="CI125" s="4">
        <v>45</v>
      </c>
      <c r="CM125" s="1" t="s">
        <v>802</v>
      </c>
      <c r="CN125" s="1" t="s">
        <v>29</v>
      </c>
      <c r="CO125" s="1" t="s">
        <v>96</v>
      </c>
      <c r="CP125" s="1" t="s">
        <v>13</v>
      </c>
      <c r="CQ125" s="4">
        <v>14</v>
      </c>
      <c r="CR125" s="4">
        <v>10</v>
      </c>
      <c r="CS125" s="1" t="s">
        <v>25</v>
      </c>
      <c r="CT125" s="1" t="s">
        <v>61</v>
      </c>
      <c r="CU125" s="5" t="s">
        <v>803</v>
      </c>
      <c r="CV125" s="4">
        <v>89</v>
      </c>
    </row>
    <row r="126" spans="13:100" x14ac:dyDescent="0.3">
      <c r="M126" s="1" t="s">
        <v>798</v>
      </c>
      <c r="N126" s="1" t="s">
        <v>23</v>
      </c>
      <c r="O126" s="1" t="s">
        <v>19</v>
      </c>
      <c r="P126" s="1" t="s">
        <v>13</v>
      </c>
      <c r="Q126" s="4">
        <v>17</v>
      </c>
      <c r="R126" s="4">
        <v>12</v>
      </c>
      <c r="S126" s="1" t="s">
        <v>14</v>
      </c>
      <c r="T126" s="1" t="s">
        <v>40</v>
      </c>
      <c r="U126" s="5" t="s">
        <v>159</v>
      </c>
      <c r="V126" s="4">
        <v>95</v>
      </c>
      <c r="AZ126" s="1" t="s">
        <v>798</v>
      </c>
      <c r="BA126" s="1" t="s">
        <v>23</v>
      </c>
      <c r="BB126" s="1" t="s">
        <v>19</v>
      </c>
      <c r="BC126" s="1" t="s">
        <v>13</v>
      </c>
      <c r="BD126" s="4">
        <v>17</v>
      </c>
      <c r="BE126" s="4">
        <v>12</v>
      </c>
      <c r="BF126" s="1" t="s">
        <v>14</v>
      </c>
      <c r="BG126" s="1" t="s">
        <v>40</v>
      </c>
      <c r="BH126" s="5" t="s">
        <v>159</v>
      </c>
      <c r="BI126" s="4">
        <v>95</v>
      </c>
      <c r="BZ126" s="1" t="s">
        <v>592</v>
      </c>
      <c r="CA126" s="1" t="s">
        <v>51</v>
      </c>
      <c r="CB126" s="1" t="s">
        <v>19</v>
      </c>
      <c r="CC126" s="1" t="s">
        <v>31</v>
      </c>
      <c r="CD126" s="4">
        <v>18</v>
      </c>
      <c r="CE126" s="4">
        <v>10</v>
      </c>
      <c r="CF126" s="1" t="s">
        <v>43</v>
      </c>
      <c r="CG126" s="1" t="s">
        <v>76</v>
      </c>
      <c r="CH126" s="5" t="s">
        <v>593</v>
      </c>
      <c r="CI126" s="4">
        <v>98</v>
      </c>
      <c r="CM126" s="1" t="s">
        <v>804</v>
      </c>
      <c r="CN126" s="1" t="s">
        <v>54</v>
      </c>
      <c r="CO126" s="1" t="s">
        <v>79</v>
      </c>
      <c r="CP126" s="1" t="s">
        <v>13</v>
      </c>
      <c r="CQ126" s="4">
        <v>19</v>
      </c>
      <c r="CR126" s="4">
        <v>9</v>
      </c>
      <c r="CS126" s="1" t="s">
        <v>25</v>
      </c>
      <c r="CT126" s="1" t="s">
        <v>61</v>
      </c>
      <c r="CU126" s="5" t="s">
        <v>56</v>
      </c>
      <c r="CV126" s="4">
        <v>43</v>
      </c>
    </row>
    <row r="127" spans="13:100" x14ac:dyDescent="0.3">
      <c r="M127" s="1" t="s">
        <v>800</v>
      </c>
      <c r="N127" s="1" t="s">
        <v>23</v>
      </c>
      <c r="O127" s="1" t="s">
        <v>79</v>
      </c>
      <c r="P127" s="1" t="s">
        <v>31</v>
      </c>
      <c r="Q127" s="4">
        <v>18</v>
      </c>
      <c r="R127" s="4">
        <v>11</v>
      </c>
      <c r="S127" s="1" t="s">
        <v>32</v>
      </c>
      <c r="T127" s="1" t="s">
        <v>76</v>
      </c>
      <c r="U127" s="5" t="s">
        <v>801</v>
      </c>
      <c r="V127" s="4">
        <v>97</v>
      </c>
      <c r="AZ127" s="1" t="s">
        <v>800</v>
      </c>
      <c r="BA127" s="1" t="s">
        <v>23</v>
      </c>
      <c r="BB127" s="1" t="s">
        <v>79</v>
      </c>
      <c r="BC127" s="1" t="s">
        <v>31</v>
      </c>
      <c r="BD127" s="4">
        <v>18</v>
      </c>
      <c r="BE127" s="4">
        <v>11</v>
      </c>
      <c r="BF127" s="1" t="s">
        <v>32</v>
      </c>
      <c r="BG127" s="1" t="s">
        <v>76</v>
      </c>
      <c r="BH127" s="5" t="s">
        <v>801</v>
      </c>
      <c r="BI127" s="4">
        <v>97</v>
      </c>
      <c r="BZ127" s="1" t="s">
        <v>597</v>
      </c>
      <c r="CA127" s="1" t="s">
        <v>18</v>
      </c>
      <c r="CB127" s="1" t="s">
        <v>85</v>
      </c>
      <c r="CC127" s="1" t="s">
        <v>31</v>
      </c>
      <c r="CD127" s="4">
        <v>18</v>
      </c>
      <c r="CE127" s="4">
        <v>11</v>
      </c>
      <c r="CF127" s="1" t="s">
        <v>43</v>
      </c>
      <c r="CG127" s="1" t="s">
        <v>40</v>
      </c>
      <c r="CH127" s="5" t="s">
        <v>598</v>
      </c>
      <c r="CI127" s="4">
        <v>55</v>
      </c>
      <c r="CM127" s="1" t="s">
        <v>808</v>
      </c>
      <c r="CN127" s="1" t="s">
        <v>54</v>
      </c>
      <c r="CO127" s="1" t="s">
        <v>24</v>
      </c>
      <c r="CP127" s="1" t="s">
        <v>13</v>
      </c>
      <c r="CQ127" s="4">
        <v>14</v>
      </c>
      <c r="CR127" s="4">
        <v>9</v>
      </c>
      <c r="CS127" s="1" t="s">
        <v>25</v>
      </c>
      <c r="CT127" s="1" t="s">
        <v>46</v>
      </c>
      <c r="CU127" s="5" t="s">
        <v>809</v>
      </c>
      <c r="CV127" s="4">
        <v>92</v>
      </c>
    </row>
    <row r="128" spans="13:100" x14ac:dyDescent="0.3">
      <c r="M128" s="1" t="s">
        <v>802</v>
      </c>
      <c r="N128" s="1" t="s">
        <v>29</v>
      </c>
      <c r="O128" s="1" t="s">
        <v>96</v>
      </c>
      <c r="P128" s="1" t="s">
        <v>13</v>
      </c>
      <c r="Q128" s="4">
        <v>14</v>
      </c>
      <c r="R128" s="4">
        <v>10</v>
      </c>
      <c r="S128" s="1" t="s">
        <v>25</v>
      </c>
      <c r="T128" s="1" t="s">
        <v>61</v>
      </c>
      <c r="U128" s="5" t="s">
        <v>803</v>
      </c>
      <c r="V128" s="4">
        <v>89</v>
      </c>
      <c r="AZ128" s="1" t="s">
        <v>802</v>
      </c>
      <c r="BA128" s="1" t="s">
        <v>29</v>
      </c>
      <c r="BB128" s="1" t="s">
        <v>96</v>
      </c>
      <c r="BC128" s="1" t="s">
        <v>13</v>
      </c>
      <c r="BD128" s="4">
        <v>14</v>
      </c>
      <c r="BE128" s="4">
        <v>10</v>
      </c>
      <c r="BF128" s="1" t="s">
        <v>25</v>
      </c>
      <c r="BG128" s="1" t="s">
        <v>61</v>
      </c>
      <c r="BH128" s="5" t="s">
        <v>803</v>
      </c>
      <c r="BI128" s="4">
        <v>89</v>
      </c>
      <c r="BZ128" s="1" t="s">
        <v>599</v>
      </c>
      <c r="CA128" s="1" t="s">
        <v>84</v>
      </c>
      <c r="CB128" s="1" t="s">
        <v>30</v>
      </c>
      <c r="CC128" s="1" t="s">
        <v>13</v>
      </c>
      <c r="CD128" s="4">
        <v>17</v>
      </c>
      <c r="CE128" s="4">
        <v>11</v>
      </c>
      <c r="CF128" s="1" t="s">
        <v>43</v>
      </c>
      <c r="CG128" s="1" t="s">
        <v>15</v>
      </c>
      <c r="CH128" s="5" t="s">
        <v>600</v>
      </c>
      <c r="CI128" s="4">
        <v>73</v>
      </c>
      <c r="CM128" s="1" t="s">
        <v>810</v>
      </c>
      <c r="CN128" s="1" t="s">
        <v>73</v>
      </c>
      <c r="CO128" s="1" t="s">
        <v>12</v>
      </c>
      <c r="CP128" s="1" t="s">
        <v>13</v>
      </c>
      <c r="CQ128" s="4">
        <v>14</v>
      </c>
      <c r="CR128" s="4">
        <v>10</v>
      </c>
      <c r="CS128" s="1" t="s">
        <v>14</v>
      </c>
      <c r="CT128" s="1" t="s">
        <v>46</v>
      </c>
      <c r="CU128" s="5" t="s">
        <v>385</v>
      </c>
      <c r="CV128" s="4">
        <v>49</v>
      </c>
    </row>
    <row r="129" spans="13:100" x14ac:dyDescent="0.3">
      <c r="M129" s="1" t="s">
        <v>808</v>
      </c>
      <c r="N129" s="1" t="s">
        <v>54</v>
      </c>
      <c r="O129" s="1" t="s">
        <v>24</v>
      </c>
      <c r="P129" s="1" t="s">
        <v>13</v>
      </c>
      <c r="Q129" s="4">
        <v>14</v>
      </c>
      <c r="R129" s="4">
        <v>9</v>
      </c>
      <c r="S129" s="1" t="s">
        <v>25</v>
      </c>
      <c r="T129" s="1" t="s">
        <v>46</v>
      </c>
      <c r="U129" s="5" t="s">
        <v>809</v>
      </c>
      <c r="V129" s="4">
        <v>92</v>
      </c>
      <c r="AZ129" s="1" t="s">
        <v>808</v>
      </c>
      <c r="BA129" s="1" t="s">
        <v>54</v>
      </c>
      <c r="BB129" s="1" t="s">
        <v>24</v>
      </c>
      <c r="BC129" s="1" t="s">
        <v>13</v>
      </c>
      <c r="BD129" s="4">
        <v>14</v>
      </c>
      <c r="BE129" s="4">
        <v>9</v>
      </c>
      <c r="BF129" s="1" t="s">
        <v>25</v>
      </c>
      <c r="BG129" s="1" t="s">
        <v>46</v>
      </c>
      <c r="BH129" s="5" t="s">
        <v>809</v>
      </c>
      <c r="BI129" s="4">
        <v>92</v>
      </c>
      <c r="BZ129" s="1" t="s">
        <v>601</v>
      </c>
      <c r="CA129" s="1" t="s">
        <v>73</v>
      </c>
      <c r="CB129" s="1" t="s">
        <v>55</v>
      </c>
      <c r="CC129" s="1" t="s">
        <v>31</v>
      </c>
      <c r="CD129" s="4">
        <v>17</v>
      </c>
      <c r="CE129" s="4">
        <v>11</v>
      </c>
      <c r="CF129" s="1" t="s">
        <v>43</v>
      </c>
      <c r="CG129" s="1" t="s">
        <v>61</v>
      </c>
      <c r="CH129" s="5" t="s">
        <v>502</v>
      </c>
      <c r="CI129" s="4">
        <v>76</v>
      </c>
      <c r="CM129" s="1" t="s">
        <v>811</v>
      </c>
      <c r="CN129" s="1" t="s">
        <v>29</v>
      </c>
      <c r="CO129" s="1" t="s">
        <v>58</v>
      </c>
      <c r="CP129" s="1" t="s">
        <v>13</v>
      </c>
      <c r="CQ129" s="4">
        <v>20</v>
      </c>
      <c r="CR129" s="4">
        <v>11</v>
      </c>
      <c r="CS129" s="1" t="s">
        <v>14</v>
      </c>
      <c r="CT129" s="1" t="s">
        <v>61</v>
      </c>
      <c r="CU129" s="5" t="s">
        <v>358</v>
      </c>
      <c r="CV129" s="4">
        <v>44</v>
      </c>
    </row>
    <row r="130" spans="13:100" x14ac:dyDescent="0.3">
      <c r="M130" s="1" t="s">
        <v>823</v>
      </c>
      <c r="N130" s="1" t="s">
        <v>11</v>
      </c>
      <c r="O130" s="1" t="s">
        <v>79</v>
      </c>
      <c r="P130" s="1" t="s">
        <v>31</v>
      </c>
      <c r="Q130" s="4">
        <v>18</v>
      </c>
      <c r="R130" s="4">
        <v>12</v>
      </c>
      <c r="S130" s="1" t="s">
        <v>43</v>
      </c>
      <c r="T130" s="1" t="s">
        <v>37</v>
      </c>
      <c r="U130" s="5" t="s">
        <v>292</v>
      </c>
      <c r="V130" s="4">
        <v>94</v>
      </c>
      <c r="AZ130" s="1" t="s">
        <v>823</v>
      </c>
      <c r="BA130" s="1" t="s">
        <v>11</v>
      </c>
      <c r="BB130" s="1" t="s">
        <v>79</v>
      </c>
      <c r="BC130" s="1" t="s">
        <v>31</v>
      </c>
      <c r="BD130" s="4">
        <v>18</v>
      </c>
      <c r="BE130" s="4">
        <v>12</v>
      </c>
      <c r="BF130" s="1" t="s">
        <v>43</v>
      </c>
      <c r="BG130" s="1" t="s">
        <v>37</v>
      </c>
      <c r="BH130" s="5" t="s">
        <v>292</v>
      </c>
      <c r="BI130" s="4">
        <v>94</v>
      </c>
      <c r="BZ130" s="1" t="s">
        <v>615</v>
      </c>
      <c r="CA130" s="1" t="s">
        <v>18</v>
      </c>
      <c r="CB130" s="1" t="s">
        <v>12</v>
      </c>
      <c r="CC130" s="1" t="s">
        <v>13</v>
      </c>
      <c r="CD130" s="4">
        <v>17</v>
      </c>
      <c r="CE130" s="4">
        <v>12</v>
      </c>
      <c r="CF130" s="1" t="s">
        <v>14</v>
      </c>
      <c r="CG130" s="1" t="s">
        <v>61</v>
      </c>
      <c r="CH130" s="5" t="s">
        <v>616</v>
      </c>
      <c r="CI130" s="4">
        <v>99</v>
      </c>
      <c r="CM130" s="1" t="s">
        <v>812</v>
      </c>
      <c r="CN130" s="1" t="s">
        <v>51</v>
      </c>
      <c r="CO130" s="1" t="s">
        <v>55</v>
      </c>
      <c r="CP130" s="1" t="s">
        <v>13</v>
      </c>
      <c r="CQ130" s="4">
        <v>15</v>
      </c>
      <c r="CR130" s="4">
        <v>10</v>
      </c>
      <c r="CS130" s="1" t="s">
        <v>43</v>
      </c>
      <c r="CT130" s="1" t="s">
        <v>46</v>
      </c>
      <c r="CU130" s="5" t="s">
        <v>82</v>
      </c>
      <c r="CV130" s="4">
        <v>62</v>
      </c>
    </row>
    <row r="131" spans="13:100" x14ac:dyDescent="0.3">
      <c r="M131" s="1" t="s">
        <v>850</v>
      </c>
      <c r="N131" s="1" t="s">
        <v>51</v>
      </c>
      <c r="O131" s="1" t="s">
        <v>96</v>
      </c>
      <c r="P131" s="1" t="s">
        <v>13</v>
      </c>
      <c r="Q131" s="4">
        <v>14</v>
      </c>
      <c r="R131" s="4">
        <v>9</v>
      </c>
      <c r="S131" s="1" t="s">
        <v>25</v>
      </c>
      <c r="T131" s="1" t="s">
        <v>26</v>
      </c>
      <c r="U131" s="5" t="s">
        <v>851</v>
      </c>
      <c r="V131" s="4">
        <v>90</v>
      </c>
      <c r="AZ131" s="1" t="s">
        <v>850</v>
      </c>
      <c r="BA131" s="1" t="s">
        <v>51</v>
      </c>
      <c r="BB131" s="1" t="s">
        <v>96</v>
      </c>
      <c r="BC131" s="1" t="s">
        <v>13</v>
      </c>
      <c r="BD131" s="4">
        <v>14</v>
      </c>
      <c r="BE131" s="4">
        <v>9</v>
      </c>
      <c r="BF131" s="1" t="s">
        <v>25</v>
      </c>
      <c r="BG131" s="1" t="s">
        <v>26</v>
      </c>
      <c r="BH131" s="5" t="s">
        <v>851</v>
      </c>
      <c r="BI131" s="4">
        <v>90</v>
      </c>
      <c r="BZ131" s="1" t="s">
        <v>622</v>
      </c>
      <c r="CA131" s="1" t="s">
        <v>23</v>
      </c>
      <c r="CB131" s="1" t="s">
        <v>96</v>
      </c>
      <c r="CC131" s="1" t="s">
        <v>31</v>
      </c>
      <c r="CD131" s="4">
        <v>17</v>
      </c>
      <c r="CE131" s="4">
        <v>12</v>
      </c>
      <c r="CF131" s="1" t="s">
        <v>43</v>
      </c>
      <c r="CG131" s="1" t="s">
        <v>46</v>
      </c>
      <c r="CH131" s="5" t="s">
        <v>170</v>
      </c>
      <c r="CI131" s="4">
        <v>62</v>
      </c>
      <c r="CM131" s="1" t="s">
        <v>813</v>
      </c>
      <c r="CN131" s="1" t="s">
        <v>73</v>
      </c>
      <c r="CO131" s="1" t="s">
        <v>58</v>
      </c>
      <c r="CP131" s="1" t="s">
        <v>13</v>
      </c>
      <c r="CQ131" s="4">
        <v>17</v>
      </c>
      <c r="CR131" s="4">
        <v>12</v>
      </c>
      <c r="CS131" s="1" t="s">
        <v>32</v>
      </c>
      <c r="CT131" s="1" t="s">
        <v>46</v>
      </c>
      <c r="CU131" s="5" t="s">
        <v>346</v>
      </c>
      <c r="CV131" s="4">
        <v>60</v>
      </c>
    </row>
    <row r="132" spans="13:100" x14ac:dyDescent="0.3">
      <c r="M132" s="1" t="s">
        <v>854</v>
      </c>
      <c r="N132" s="1" t="s">
        <v>51</v>
      </c>
      <c r="O132" s="1" t="s">
        <v>55</v>
      </c>
      <c r="P132" s="1" t="s">
        <v>13</v>
      </c>
      <c r="Q132" s="4">
        <v>15</v>
      </c>
      <c r="R132" s="4">
        <v>11</v>
      </c>
      <c r="S132" s="1" t="s">
        <v>14</v>
      </c>
      <c r="T132" s="1" t="s">
        <v>61</v>
      </c>
      <c r="U132" s="5" t="s">
        <v>855</v>
      </c>
      <c r="V132" s="4">
        <v>84</v>
      </c>
      <c r="AZ132" s="1" t="s">
        <v>854</v>
      </c>
      <c r="BA132" s="1" t="s">
        <v>51</v>
      </c>
      <c r="BB132" s="1" t="s">
        <v>55</v>
      </c>
      <c r="BC132" s="1" t="s">
        <v>13</v>
      </c>
      <c r="BD132" s="4">
        <v>15</v>
      </c>
      <c r="BE132" s="4">
        <v>11</v>
      </c>
      <c r="BF132" s="1" t="s">
        <v>14</v>
      </c>
      <c r="BG132" s="1" t="s">
        <v>61</v>
      </c>
      <c r="BH132" s="5" t="s">
        <v>855</v>
      </c>
      <c r="BI132" s="4">
        <v>84</v>
      </c>
      <c r="BZ132" s="1" t="s">
        <v>627</v>
      </c>
      <c r="CA132" s="1" t="s">
        <v>35</v>
      </c>
      <c r="CB132" s="1" t="s">
        <v>85</v>
      </c>
      <c r="CC132" s="1" t="s">
        <v>31</v>
      </c>
      <c r="CD132" s="4">
        <v>16</v>
      </c>
      <c r="CE132" s="4">
        <v>9</v>
      </c>
      <c r="CF132" s="1" t="s">
        <v>43</v>
      </c>
      <c r="CG132" s="1" t="s">
        <v>20</v>
      </c>
      <c r="CH132" s="5" t="s">
        <v>628</v>
      </c>
      <c r="CI132" s="4">
        <v>84</v>
      </c>
      <c r="CM132" s="1" t="s">
        <v>827</v>
      </c>
      <c r="CN132" s="1" t="s">
        <v>35</v>
      </c>
      <c r="CO132" s="1" t="s">
        <v>12</v>
      </c>
      <c r="CP132" s="1" t="s">
        <v>13</v>
      </c>
      <c r="CQ132" s="4">
        <v>14</v>
      </c>
      <c r="CR132" s="4">
        <v>12</v>
      </c>
      <c r="CS132" s="1" t="s">
        <v>25</v>
      </c>
      <c r="CT132" s="1" t="s">
        <v>61</v>
      </c>
      <c r="CU132" s="5" t="s">
        <v>570</v>
      </c>
      <c r="CV132" s="4">
        <v>65</v>
      </c>
    </row>
    <row r="133" spans="13:100" x14ac:dyDescent="0.3">
      <c r="M133" s="1" t="s">
        <v>857</v>
      </c>
      <c r="N133" s="1" t="s">
        <v>18</v>
      </c>
      <c r="O133" s="1" t="s">
        <v>96</v>
      </c>
      <c r="P133" s="1" t="s">
        <v>13</v>
      </c>
      <c r="Q133" s="4">
        <v>20</v>
      </c>
      <c r="R133" s="4">
        <v>11</v>
      </c>
      <c r="S133" s="1" t="s">
        <v>32</v>
      </c>
      <c r="T133" s="1" t="s">
        <v>61</v>
      </c>
      <c r="U133" s="5" t="s">
        <v>570</v>
      </c>
      <c r="V133" s="4">
        <v>94</v>
      </c>
      <c r="AZ133" s="1" t="s">
        <v>857</v>
      </c>
      <c r="BA133" s="1" t="s">
        <v>18</v>
      </c>
      <c r="BB133" s="1" t="s">
        <v>96</v>
      </c>
      <c r="BC133" s="1" t="s">
        <v>13</v>
      </c>
      <c r="BD133" s="4">
        <v>20</v>
      </c>
      <c r="BE133" s="4">
        <v>11</v>
      </c>
      <c r="BF133" s="1" t="s">
        <v>32</v>
      </c>
      <c r="BG133" s="1" t="s">
        <v>61</v>
      </c>
      <c r="BH133" s="5" t="s">
        <v>570</v>
      </c>
      <c r="BI133" s="4">
        <v>94</v>
      </c>
      <c r="BZ133" s="1" t="s">
        <v>629</v>
      </c>
      <c r="CA133" s="1" t="s">
        <v>35</v>
      </c>
      <c r="CB133" s="1" t="s">
        <v>58</v>
      </c>
      <c r="CC133" s="1" t="s">
        <v>13</v>
      </c>
      <c r="CD133" s="4">
        <v>18</v>
      </c>
      <c r="CE133" s="4">
        <v>9</v>
      </c>
      <c r="CF133" s="1" t="s">
        <v>25</v>
      </c>
      <c r="CG133" s="1" t="s">
        <v>76</v>
      </c>
      <c r="CH133" s="5" t="s">
        <v>105</v>
      </c>
      <c r="CI133" s="4">
        <v>82</v>
      </c>
      <c r="CM133" s="1" t="s">
        <v>830</v>
      </c>
      <c r="CN133" s="1" t="s">
        <v>23</v>
      </c>
      <c r="CO133" s="1" t="s">
        <v>58</v>
      </c>
      <c r="CP133" s="1" t="s">
        <v>31</v>
      </c>
      <c r="CQ133" s="4">
        <v>17</v>
      </c>
      <c r="CR133" s="4">
        <v>9</v>
      </c>
      <c r="CS133" s="1" t="s">
        <v>43</v>
      </c>
      <c r="CT133" s="1" t="s">
        <v>61</v>
      </c>
      <c r="CU133" s="5" t="s">
        <v>820</v>
      </c>
      <c r="CV133" s="4">
        <v>59</v>
      </c>
    </row>
    <row r="134" spans="13:100" x14ac:dyDescent="0.3">
      <c r="M134" s="1" t="s">
        <v>858</v>
      </c>
      <c r="N134" s="1" t="s">
        <v>35</v>
      </c>
      <c r="O134" s="1" t="s">
        <v>12</v>
      </c>
      <c r="P134" s="1" t="s">
        <v>31</v>
      </c>
      <c r="Q134" s="4">
        <v>19</v>
      </c>
      <c r="R134" s="4">
        <v>9</v>
      </c>
      <c r="S134" s="1" t="s">
        <v>43</v>
      </c>
      <c r="T134" s="1" t="s">
        <v>26</v>
      </c>
      <c r="U134" s="5" t="s">
        <v>859</v>
      </c>
      <c r="V134" s="4">
        <v>88</v>
      </c>
      <c r="AZ134" s="1" t="s">
        <v>858</v>
      </c>
      <c r="BA134" s="1" t="s">
        <v>35</v>
      </c>
      <c r="BB134" s="1" t="s">
        <v>12</v>
      </c>
      <c r="BC134" s="1" t="s">
        <v>31</v>
      </c>
      <c r="BD134" s="4">
        <v>19</v>
      </c>
      <c r="BE134" s="4">
        <v>9</v>
      </c>
      <c r="BF134" s="1" t="s">
        <v>43</v>
      </c>
      <c r="BG134" s="1" t="s">
        <v>26</v>
      </c>
      <c r="BH134" s="5" t="s">
        <v>859</v>
      </c>
      <c r="BI134" s="4">
        <v>88</v>
      </c>
      <c r="BZ134" s="1" t="s">
        <v>644</v>
      </c>
      <c r="CA134" s="1" t="s">
        <v>51</v>
      </c>
      <c r="CB134" s="1" t="s">
        <v>36</v>
      </c>
      <c r="CC134" s="1" t="s">
        <v>31</v>
      </c>
      <c r="CD134" s="4">
        <v>16</v>
      </c>
      <c r="CE134" s="4">
        <v>11</v>
      </c>
      <c r="CF134" s="1" t="s">
        <v>43</v>
      </c>
      <c r="CG134" s="1" t="s">
        <v>20</v>
      </c>
      <c r="CH134" s="5" t="s">
        <v>645</v>
      </c>
      <c r="CI134" s="4">
        <v>81</v>
      </c>
      <c r="CM134" s="1" t="s">
        <v>835</v>
      </c>
      <c r="CN134" s="1" t="s">
        <v>18</v>
      </c>
      <c r="CO134" s="1" t="s">
        <v>55</v>
      </c>
      <c r="CP134" s="1" t="s">
        <v>31</v>
      </c>
      <c r="CQ134" s="4">
        <v>16</v>
      </c>
      <c r="CR134" s="4">
        <v>10</v>
      </c>
      <c r="CS134" s="1" t="s">
        <v>14</v>
      </c>
      <c r="CT134" s="1" t="s">
        <v>61</v>
      </c>
      <c r="CU134" s="5" t="s">
        <v>411</v>
      </c>
      <c r="CV134" s="4">
        <v>52</v>
      </c>
    </row>
    <row r="135" spans="13:100" x14ac:dyDescent="0.3">
      <c r="M135" s="1" t="s">
        <v>860</v>
      </c>
      <c r="N135" s="1" t="s">
        <v>68</v>
      </c>
      <c r="O135" s="1" t="s">
        <v>12</v>
      </c>
      <c r="P135" s="1" t="s">
        <v>13</v>
      </c>
      <c r="Q135" s="4">
        <v>16</v>
      </c>
      <c r="R135" s="4">
        <v>12</v>
      </c>
      <c r="S135" s="1" t="s">
        <v>14</v>
      </c>
      <c r="T135" s="1" t="s">
        <v>37</v>
      </c>
      <c r="U135" s="5" t="s">
        <v>861</v>
      </c>
      <c r="V135" s="4">
        <v>84</v>
      </c>
      <c r="AZ135" s="1" t="s">
        <v>860</v>
      </c>
      <c r="BA135" s="1" t="s">
        <v>68</v>
      </c>
      <c r="BB135" s="1" t="s">
        <v>12</v>
      </c>
      <c r="BC135" s="1" t="s">
        <v>13</v>
      </c>
      <c r="BD135" s="4">
        <v>16</v>
      </c>
      <c r="BE135" s="4">
        <v>12</v>
      </c>
      <c r="BF135" s="1" t="s">
        <v>14</v>
      </c>
      <c r="BG135" s="1" t="s">
        <v>37</v>
      </c>
      <c r="BH135" s="5" t="s">
        <v>861</v>
      </c>
      <c r="BI135" s="4">
        <v>84</v>
      </c>
      <c r="BZ135" s="1" t="s">
        <v>646</v>
      </c>
      <c r="CA135" s="1" t="s">
        <v>84</v>
      </c>
      <c r="CB135" s="1" t="s">
        <v>12</v>
      </c>
      <c r="CC135" s="1" t="s">
        <v>31</v>
      </c>
      <c r="CD135" s="4">
        <v>17</v>
      </c>
      <c r="CE135" s="4">
        <v>12</v>
      </c>
      <c r="CF135" s="1" t="s">
        <v>25</v>
      </c>
      <c r="CG135" s="1" t="s">
        <v>76</v>
      </c>
      <c r="CH135" s="5" t="s">
        <v>647</v>
      </c>
      <c r="CI135" s="4">
        <v>83</v>
      </c>
      <c r="CM135" s="1" t="s">
        <v>846</v>
      </c>
      <c r="CN135" s="1" t="s">
        <v>35</v>
      </c>
      <c r="CO135" s="1" t="s">
        <v>79</v>
      </c>
      <c r="CP135" s="1" t="s">
        <v>13</v>
      </c>
      <c r="CQ135" s="4">
        <v>17</v>
      </c>
      <c r="CR135" s="4">
        <v>12</v>
      </c>
      <c r="CS135" s="1" t="s">
        <v>25</v>
      </c>
      <c r="CT135" s="1" t="s">
        <v>46</v>
      </c>
      <c r="CU135" s="5" t="s">
        <v>847</v>
      </c>
      <c r="CV135" s="4">
        <v>41</v>
      </c>
    </row>
    <row r="136" spans="13:100" x14ac:dyDescent="0.3">
      <c r="M136" s="1" t="s">
        <v>862</v>
      </c>
      <c r="N136" s="1" t="s">
        <v>51</v>
      </c>
      <c r="O136" s="1" t="s">
        <v>24</v>
      </c>
      <c r="P136" s="1" t="s">
        <v>13</v>
      </c>
      <c r="Q136" s="4">
        <v>17</v>
      </c>
      <c r="R136" s="4">
        <v>9</v>
      </c>
      <c r="S136" s="1" t="s">
        <v>43</v>
      </c>
      <c r="T136" s="1" t="s">
        <v>15</v>
      </c>
      <c r="U136" s="5" t="s">
        <v>863</v>
      </c>
      <c r="V136" s="4">
        <v>86</v>
      </c>
      <c r="AZ136" s="1" t="s">
        <v>862</v>
      </c>
      <c r="BA136" s="1" t="s">
        <v>51</v>
      </c>
      <c r="BB136" s="1" t="s">
        <v>24</v>
      </c>
      <c r="BC136" s="1" t="s">
        <v>13</v>
      </c>
      <c r="BD136" s="4">
        <v>17</v>
      </c>
      <c r="BE136" s="4">
        <v>9</v>
      </c>
      <c r="BF136" s="1" t="s">
        <v>43</v>
      </c>
      <c r="BG136" s="1" t="s">
        <v>15</v>
      </c>
      <c r="BH136" s="5" t="s">
        <v>863</v>
      </c>
      <c r="BI136" s="4">
        <v>86</v>
      </c>
      <c r="BZ136" s="1" t="s">
        <v>650</v>
      </c>
      <c r="CA136" s="1" t="s">
        <v>23</v>
      </c>
      <c r="CB136" s="1" t="s">
        <v>24</v>
      </c>
      <c r="CC136" s="1" t="s">
        <v>13</v>
      </c>
      <c r="CD136" s="4">
        <v>17</v>
      </c>
      <c r="CE136" s="4">
        <v>12</v>
      </c>
      <c r="CF136" s="1" t="s">
        <v>25</v>
      </c>
      <c r="CG136" s="1" t="s">
        <v>46</v>
      </c>
      <c r="CH136" s="5" t="s">
        <v>651</v>
      </c>
      <c r="CI136" s="4">
        <v>45</v>
      </c>
      <c r="CM136" s="1" t="s">
        <v>848</v>
      </c>
      <c r="CN136" s="1" t="s">
        <v>18</v>
      </c>
      <c r="CO136" s="1" t="s">
        <v>24</v>
      </c>
      <c r="CP136" s="1" t="s">
        <v>31</v>
      </c>
      <c r="CQ136" s="4">
        <v>16</v>
      </c>
      <c r="CR136" s="4">
        <v>10</v>
      </c>
      <c r="CS136" s="1" t="s">
        <v>25</v>
      </c>
      <c r="CT136" s="1" t="s">
        <v>61</v>
      </c>
      <c r="CU136" s="5" t="s">
        <v>849</v>
      </c>
      <c r="CV136" s="4">
        <v>78</v>
      </c>
    </row>
    <row r="137" spans="13:100" x14ac:dyDescent="0.3">
      <c r="M137" s="1" t="s">
        <v>864</v>
      </c>
      <c r="N137" s="1" t="s">
        <v>35</v>
      </c>
      <c r="O137" s="1" t="s">
        <v>58</v>
      </c>
      <c r="P137" s="1" t="s">
        <v>13</v>
      </c>
      <c r="Q137" s="4">
        <v>17</v>
      </c>
      <c r="R137" s="4">
        <v>10</v>
      </c>
      <c r="S137" s="1" t="s">
        <v>14</v>
      </c>
      <c r="T137" s="1" t="s">
        <v>20</v>
      </c>
      <c r="U137" s="5" t="s">
        <v>865</v>
      </c>
      <c r="V137" s="4">
        <v>92</v>
      </c>
      <c r="AZ137" s="1" t="s">
        <v>864</v>
      </c>
      <c r="BA137" s="1" t="s">
        <v>35</v>
      </c>
      <c r="BB137" s="1" t="s">
        <v>58</v>
      </c>
      <c r="BC137" s="1" t="s">
        <v>13</v>
      </c>
      <c r="BD137" s="4">
        <v>17</v>
      </c>
      <c r="BE137" s="4">
        <v>10</v>
      </c>
      <c r="BF137" s="1" t="s">
        <v>14</v>
      </c>
      <c r="BG137" s="1" t="s">
        <v>20</v>
      </c>
      <c r="BH137" s="5" t="s">
        <v>865</v>
      </c>
      <c r="BI137" s="4">
        <v>92</v>
      </c>
      <c r="BZ137" s="1" t="s">
        <v>652</v>
      </c>
      <c r="CA137" s="1" t="s">
        <v>51</v>
      </c>
      <c r="CB137" s="1" t="s">
        <v>55</v>
      </c>
      <c r="CC137" s="1" t="s">
        <v>13</v>
      </c>
      <c r="CD137" s="4">
        <v>16</v>
      </c>
      <c r="CE137" s="4">
        <v>12</v>
      </c>
      <c r="CF137" s="1" t="s">
        <v>32</v>
      </c>
      <c r="CG137" s="1" t="s">
        <v>61</v>
      </c>
      <c r="CH137" s="5" t="s">
        <v>653</v>
      </c>
      <c r="CI137" s="4">
        <v>45</v>
      </c>
      <c r="CM137" s="1" t="s">
        <v>854</v>
      </c>
      <c r="CN137" s="1" t="s">
        <v>51</v>
      </c>
      <c r="CO137" s="1" t="s">
        <v>55</v>
      </c>
      <c r="CP137" s="1" t="s">
        <v>13</v>
      </c>
      <c r="CQ137" s="4">
        <v>15</v>
      </c>
      <c r="CR137" s="4">
        <v>11</v>
      </c>
      <c r="CS137" s="1" t="s">
        <v>14</v>
      </c>
      <c r="CT137" s="1" t="s">
        <v>61</v>
      </c>
      <c r="CU137" s="5" t="s">
        <v>855</v>
      </c>
      <c r="CV137" s="4">
        <v>84</v>
      </c>
    </row>
    <row r="138" spans="13:100" x14ac:dyDescent="0.3">
      <c r="M138" s="1" t="s">
        <v>866</v>
      </c>
      <c r="N138" s="1" t="s">
        <v>18</v>
      </c>
      <c r="O138" s="1" t="s">
        <v>24</v>
      </c>
      <c r="P138" s="1" t="s">
        <v>13</v>
      </c>
      <c r="Q138" s="4">
        <v>15</v>
      </c>
      <c r="R138" s="4">
        <v>11</v>
      </c>
      <c r="S138" s="1" t="s">
        <v>14</v>
      </c>
      <c r="T138" s="1" t="s">
        <v>61</v>
      </c>
      <c r="U138" s="5" t="s">
        <v>867</v>
      </c>
      <c r="V138" s="4">
        <v>97</v>
      </c>
      <c r="AZ138" s="1" t="s">
        <v>866</v>
      </c>
      <c r="BA138" s="1" t="s">
        <v>18</v>
      </c>
      <c r="BB138" s="1" t="s">
        <v>24</v>
      </c>
      <c r="BC138" s="1" t="s">
        <v>13</v>
      </c>
      <c r="BD138" s="4">
        <v>15</v>
      </c>
      <c r="BE138" s="4">
        <v>11</v>
      </c>
      <c r="BF138" s="1" t="s">
        <v>14</v>
      </c>
      <c r="BG138" s="1" t="s">
        <v>61</v>
      </c>
      <c r="BH138" s="5" t="s">
        <v>867</v>
      </c>
      <c r="BI138" s="4">
        <v>97</v>
      </c>
      <c r="BZ138" s="1" t="s">
        <v>660</v>
      </c>
      <c r="CA138" s="1" t="s">
        <v>23</v>
      </c>
      <c r="CB138" s="1" t="s">
        <v>12</v>
      </c>
      <c r="CC138" s="1" t="s">
        <v>13</v>
      </c>
      <c r="CD138" s="4">
        <v>16</v>
      </c>
      <c r="CE138" s="4">
        <v>11</v>
      </c>
      <c r="CF138" s="1" t="s">
        <v>25</v>
      </c>
      <c r="CG138" s="1" t="s">
        <v>40</v>
      </c>
      <c r="CH138" s="5" t="s">
        <v>41</v>
      </c>
      <c r="CI138" s="4">
        <v>86</v>
      </c>
      <c r="CM138" s="1" t="s">
        <v>856</v>
      </c>
      <c r="CN138" s="1" t="s">
        <v>29</v>
      </c>
      <c r="CO138" s="1" t="s">
        <v>85</v>
      </c>
      <c r="CP138" s="1" t="s">
        <v>13</v>
      </c>
      <c r="CQ138" s="4">
        <v>16</v>
      </c>
      <c r="CR138" s="4">
        <v>9</v>
      </c>
      <c r="CS138" s="1" t="s">
        <v>14</v>
      </c>
      <c r="CT138" s="1" t="s">
        <v>61</v>
      </c>
      <c r="CU138" s="5" t="s">
        <v>262</v>
      </c>
      <c r="CV138" s="4">
        <v>78</v>
      </c>
    </row>
    <row r="139" spans="13:100" x14ac:dyDescent="0.3">
      <c r="M139" s="1" t="s">
        <v>873</v>
      </c>
      <c r="N139" s="1" t="s">
        <v>18</v>
      </c>
      <c r="O139" s="1" t="s">
        <v>79</v>
      </c>
      <c r="P139" s="1" t="s">
        <v>31</v>
      </c>
      <c r="Q139" s="4">
        <v>19</v>
      </c>
      <c r="R139" s="4">
        <v>12</v>
      </c>
      <c r="S139" s="1" t="s">
        <v>32</v>
      </c>
      <c r="T139" s="1" t="s">
        <v>76</v>
      </c>
      <c r="U139" s="5" t="s">
        <v>742</v>
      </c>
      <c r="V139" s="4">
        <v>83</v>
      </c>
      <c r="AZ139" s="1" t="s">
        <v>873</v>
      </c>
      <c r="BA139" s="1" t="s">
        <v>18</v>
      </c>
      <c r="BB139" s="1" t="s">
        <v>79</v>
      </c>
      <c r="BC139" s="1" t="s">
        <v>31</v>
      </c>
      <c r="BD139" s="4">
        <v>19</v>
      </c>
      <c r="BE139" s="4">
        <v>12</v>
      </c>
      <c r="BF139" s="1" t="s">
        <v>32</v>
      </c>
      <c r="BG139" s="1" t="s">
        <v>76</v>
      </c>
      <c r="BH139" s="5" t="s">
        <v>742</v>
      </c>
      <c r="BI139" s="4">
        <v>83</v>
      </c>
      <c r="BZ139" s="1" t="s">
        <v>673</v>
      </c>
      <c r="CA139" s="1" t="s">
        <v>11</v>
      </c>
      <c r="CB139" s="1" t="s">
        <v>19</v>
      </c>
      <c r="CC139" s="1" t="s">
        <v>31</v>
      </c>
      <c r="CD139" s="4">
        <v>17</v>
      </c>
      <c r="CE139" s="4">
        <v>10</v>
      </c>
      <c r="CF139" s="1" t="s">
        <v>32</v>
      </c>
      <c r="CG139" s="1" t="s">
        <v>46</v>
      </c>
      <c r="CH139" s="5" t="s">
        <v>674</v>
      </c>
      <c r="CI139" s="4">
        <v>85</v>
      </c>
      <c r="CM139" s="1" t="s">
        <v>857</v>
      </c>
      <c r="CN139" s="1" t="s">
        <v>18</v>
      </c>
      <c r="CO139" s="1" t="s">
        <v>96</v>
      </c>
      <c r="CP139" s="1" t="s">
        <v>13</v>
      </c>
      <c r="CQ139" s="4">
        <v>20</v>
      </c>
      <c r="CR139" s="4">
        <v>11</v>
      </c>
      <c r="CS139" s="1" t="s">
        <v>32</v>
      </c>
      <c r="CT139" s="1" t="s">
        <v>61</v>
      </c>
      <c r="CU139" s="5" t="s">
        <v>570</v>
      </c>
      <c r="CV139" s="4">
        <v>94</v>
      </c>
    </row>
    <row r="140" spans="13:100" x14ac:dyDescent="0.3">
      <c r="M140" s="1" t="s">
        <v>877</v>
      </c>
      <c r="N140" s="1" t="s">
        <v>73</v>
      </c>
      <c r="O140" s="1" t="s">
        <v>85</v>
      </c>
      <c r="P140" s="1" t="s">
        <v>13</v>
      </c>
      <c r="Q140" s="4">
        <v>19</v>
      </c>
      <c r="R140" s="4">
        <v>10</v>
      </c>
      <c r="S140" s="1" t="s">
        <v>25</v>
      </c>
      <c r="T140" s="1" t="s">
        <v>26</v>
      </c>
      <c r="U140" s="5" t="s">
        <v>878</v>
      </c>
      <c r="V140" s="4">
        <v>81</v>
      </c>
      <c r="AZ140" s="1" t="s">
        <v>877</v>
      </c>
      <c r="BA140" s="1" t="s">
        <v>73</v>
      </c>
      <c r="BB140" s="1" t="s">
        <v>85</v>
      </c>
      <c r="BC140" s="1" t="s">
        <v>13</v>
      </c>
      <c r="BD140" s="4">
        <v>19</v>
      </c>
      <c r="BE140" s="4">
        <v>10</v>
      </c>
      <c r="BF140" s="1" t="s">
        <v>25</v>
      </c>
      <c r="BG140" s="1" t="s">
        <v>26</v>
      </c>
      <c r="BH140" s="5" t="s">
        <v>878</v>
      </c>
      <c r="BI140" s="4">
        <v>81</v>
      </c>
      <c r="BZ140" s="1" t="s">
        <v>683</v>
      </c>
      <c r="CA140" s="1" t="s">
        <v>84</v>
      </c>
      <c r="CB140" s="1" t="s">
        <v>55</v>
      </c>
      <c r="CC140" s="1" t="s">
        <v>31</v>
      </c>
      <c r="CD140" s="4">
        <v>16</v>
      </c>
      <c r="CE140" s="4">
        <v>12</v>
      </c>
      <c r="CF140" s="1" t="s">
        <v>14</v>
      </c>
      <c r="CG140" s="1" t="s">
        <v>76</v>
      </c>
      <c r="CH140" s="5" t="s">
        <v>125</v>
      </c>
      <c r="CI140" s="4">
        <v>60</v>
      </c>
      <c r="CM140" s="1" t="s">
        <v>866</v>
      </c>
      <c r="CN140" s="1" t="s">
        <v>18</v>
      </c>
      <c r="CO140" s="1" t="s">
        <v>24</v>
      </c>
      <c r="CP140" s="1" t="s">
        <v>13</v>
      </c>
      <c r="CQ140" s="4">
        <v>15</v>
      </c>
      <c r="CR140" s="4">
        <v>11</v>
      </c>
      <c r="CS140" s="1" t="s">
        <v>14</v>
      </c>
      <c r="CT140" s="1" t="s">
        <v>61</v>
      </c>
      <c r="CU140" s="5" t="s">
        <v>867</v>
      </c>
      <c r="CV140" s="4">
        <v>97</v>
      </c>
    </row>
    <row r="141" spans="13:100" x14ac:dyDescent="0.3">
      <c r="M141" s="1" t="s">
        <v>879</v>
      </c>
      <c r="N141" s="1" t="s">
        <v>18</v>
      </c>
      <c r="O141" s="1" t="s">
        <v>85</v>
      </c>
      <c r="P141" s="1" t="s">
        <v>13</v>
      </c>
      <c r="Q141" s="4">
        <v>15</v>
      </c>
      <c r="R141" s="4">
        <v>11</v>
      </c>
      <c r="S141" s="1" t="s">
        <v>32</v>
      </c>
      <c r="T141" s="1" t="s">
        <v>37</v>
      </c>
      <c r="U141" s="5" t="s">
        <v>880</v>
      </c>
      <c r="V141" s="4">
        <v>86</v>
      </c>
      <c r="AZ141" s="1" t="s">
        <v>879</v>
      </c>
      <c r="BA141" s="1" t="s">
        <v>18</v>
      </c>
      <c r="BB141" s="1" t="s">
        <v>85</v>
      </c>
      <c r="BC141" s="1" t="s">
        <v>13</v>
      </c>
      <c r="BD141" s="4">
        <v>15</v>
      </c>
      <c r="BE141" s="4">
        <v>11</v>
      </c>
      <c r="BF141" s="1" t="s">
        <v>32</v>
      </c>
      <c r="BG141" s="1" t="s">
        <v>37</v>
      </c>
      <c r="BH141" s="5" t="s">
        <v>880</v>
      </c>
      <c r="BI141" s="4">
        <v>86</v>
      </c>
      <c r="BZ141" s="1" t="s">
        <v>684</v>
      </c>
      <c r="CA141" s="1" t="s">
        <v>54</v>
      </c>
      <c r="CB141" s="1" t="s">
        <v>24</v>
      </c>
      <c r="CC141" s="1" t="s">
        <v>31</v>
      </c>
      <c r="CD141" s="4">
        <v>17</v>
      </c>
      <c r="CE141" s="4">
        <v>10</v>
      </c>
      <c r="CF141" s="1" t="s">
        <v>43</v>
      </c>
      <c r="CG141" s="1" t="s">
        <v>46</v>
      </c>
      <c r="CH141" s="5" t="s">
        <v>685</v>
      </c>
      <c r="CI141" s="4">
        <v>74</v>
      </c>
      <c r="CM141" s="1" t="s">
        <v>868</v>
      </c>
      <c r="CN141" s="1" t="s">
        <v>84</v>
      </c>
      <c r="CO141" s="1" t="s">
        <v>30</v>
      </c>
      <c r="CP141" s="1" t="s">
        <v>31</v>
      </c>
      <c r="CQ141" s="4">
        <v>15</v>
      </c>
      <c r="CR141" s="4">
        <v>9</v>
      </c>
      <c r="CS141" s="1" t="s">
        <v>43</v>
      </c>
      <c r="CT141" s="1" t="s">
        <v>61</v>
      </c>
      <c r="CU141" s="5" t="s">
        <v>151</v>
      </c>
      <c r="CV141" s="4">
        <v>45</v>
      </c>
    </row>
    <row r="142" spans="13:100" x14ac:dyDescent="0.3">
      <c r="M142" s="1" t="s">
        <v>888</v>
      </c>
      <c r="N142" s="1" t="s">
        <v>23</v>
      </c>
      <c r="O142" s="1" t="s">
        <v>58</v>
      </c>
      <c r="P142" s="1" t="s">
        <v>31</v>
      </c>
      <c r="Q142" s="4">
        <v>18</v>
      </c>
      <c r="R142" s="4">
        <v>10</v>
      </c>
      <c r="S142" s="1" t="s">
        <v>14</v>
      </c>
      <c r="T142" s="1" t="s">
        <v>20</v>
      </c>
      <c r="U142" s="5" t="s">
        <v>153</v>
      </c>
      <c r="V142" s="4">
        <v>92</v>
      </c>
      <c r="AZ142" s="1" t="s">
        <v>888</v>
      </c>
      <c r="BA142" s="1" t="s">
        <v>23</v>
      </c>
      <c r="BB142" s="1" t="s">
        <v>58</v>
      </c>
      <c r="BC142" s="1" t="s">
        <v>31</v>
      </c>
      <c r="BD142" s="4">
        <v>18</v>
      </c>
      <c r="BE142" s="4">
        <v>10</v>
      </c>
      <c r="BF142" s="1" t="s">
        <v>14</v>
      </c>
      <c r="BG142" s="1" t="s">
        <v>20</v>
      </c>
      <c r="BH142" s="5" t="s">
        <v>153</v>
      </c>
      <c r="BI142" s="4">
        <v>92</v>
      </c>
      <c r="BZ142" s="1" t="s">
        <v>686</v>
      </c>
      <c r="CA142" s="1" t="s">
        <v>23</v>
      </c>
      <c r="CB142" s="1" t="s">
        <v>96</v>
      </c>
      <c r="CC142" s="1" t="s">
        <v>31</v>
      </c>
      <c r="CD142" s="4">
        <v>16</v>
      </c>
      <c r="CE142" s="4">
        <v>9</v>
      </c>
      <c r="CF142" s="1" t="s">
        <v>25</v>
      </c>
      <c r="CG142" s="1" t="s">
        <v>20</v>
      </c>
      <c r="CH142" s="5" t="s">
        <v>277</v>
      </c>
      <c r="CI142" s="4">
        <v>71</v>
      </c>
      <c r="CM142" s="1" t="s">
        <v>874</v>
      </c>
      <c r="CN142" s="1" t="s">
        <v>35</v>
      </c>
      <c r="CO142" s="1" t="s">
        <v>36</v>
      </c>
      <c r="CP142" s="1" t="s">
        <v>13</v>
      </c>
      <c r="CQ142" s="4">
        <v>16</v>
      </c>
      <c r="CR142" s="4">
        <v>10</v>
      </c>
      <c r="CS142" s="1" t="s">
        <v>14</v>
      </c>
      <c r="CT142" s="1" t="s">
        <v>61</v>
      </c>
      <c r="CU142" s="5" t="s">
        <v>875</v>
      </c>
      <c r="CV142" s="4">
        <v>35</v>
      </c>
    </row>
    <row r="143" spans="13:100" x14ac:dyDescent="0.3">
      <c r="M143" s="1" t="s">
        <v>889</v>
      </c>
      <c r="N143" s="1" t="s">
        <v>68</v>
      </c>
      <c r="O143" s="1" t="s">
        <v>19</v>
      </c>
      <c r="P143" s="1" t="s">
        <v>31</v>
      </c>
      <c r="Q143" s="4">
        <v>18</v>
      </c>
      <c r="R143" s="4">
        <v>12</v>
      </c>
      <c r="S143" s="1" t="s">
        <v>32</v>
      </c>
      <c r="T143" s="1" t="s">
        <v>46</v>
      </c>
      <c r="U143" s="5" t="s">
        <v>890</v>
      </c>
      <c r="V143" s="4">
        <v>88</v>
      </c>
      <c r="AZ143" s="1" t="s">
        <v>889</v>
      </c>
      <c r="BA143" s="1" t="s">
        <v>68</v>
      </c>
      <c r="BB143" s="1" t="s">
        <v>19</v>
      </c>
      <c r="BC143" s="1" t="s">
        <v>31</v>
      </c>
      <c r="BD143" s="4">
        <v>18</v>
      </c>
      <c r="BE143" s="4">
        <v>12</v>
      </c>
      <c r="BF143" s="1" t="s">
        <v>32</v>
      </c>
      <c r="BG143" s="1" t="s">
        <v>46</v>
      </c>
      <c r="BH143" s="5" t="s">
        <v>890</v>
      </c>
      <c r="BI143" s="4">
        <v>88</v>
      </c>
      <c r="BZ143" s="1" t="s">
        <v>687</v>
      </c>
      <c r="CA143" s="1" t="s">
        <v>84</v>
      </c>
      <c r="CB143" s="1" t="s">
        <v>19</v>
      </c>
      <c r="CC143" s="1" t="s">
        <v>13</v>
      </c>
      <c r="CD143" s="4">
        <v>16</v>
      </c>
      <c r="CE143" s="4">
        <v>10</v>
      </c>
      <c r="CF143" s="1" t="s">
        <v>25</v>
      </c>
      <c r="CG143" s="1" t="s">
        <v>46</v>
      </c>
      <c r="CH143" s="5" t="s">
        <v>564</v>
      </c>
      <c r="CI143" s="4">
        <v>52</v>
      </c>
      <c r="CM143" s="1" t="s">
        <v>881</v>
      </c>
      <c r="CN143" s="1" t="s">
        <v>73</v>
      </c>
      <c r="CO143" s="1" t="s">
        <v>24</v>
      </c>
      <c r="CP143" s="1" t="s">
        <v>31</v>
      </c>
      <c r="CQ143" s="4">
        <v>14</v>
      </c>
      <c r="CR143" s="4">
        <v>12</v>
      </c>
      <c r="CS143" s="1" t="s">
        <v>25</v>
      </c>
      <c r="CT143" s="1" t="s">
        <v>46</v>
      </c>
      <c r="CU143" s="5" t="s">
        <v>882</v>
      </c>
      <c r="CV143" s="4">
        <v>58</v>
      </c>
    </row>
    <row r="144" spans="13:100" x14ac:dyDescent="0.3">
      <c r="M144" s="1" t="s">
        <v>896</v>
      </c>
      <c r="N144" s="1" t="s">
        <v>11</v>
      </c>
      <c r="O144" s="1" t="s">
        <v>36</v>
      </c>
      <c r="P144" s="1" t="s">
        <v>13</v>
      </c>
      <c r="Q144" s="4">
        <v>15</v>
      </c>
      <c r="R144" s="4">
        <v>11</v>
      </c>
      <c r="S144" s="1" t="s">
        <v>14</v>
      </c>
      <c r="T144" s="1" t="s">
        <v>26</v>
      </c>
      <c r="U144" s="5" t="s">
        <v>897</v>
      </c>
      <c r="V144" s="4">
        <v>95</v>
      </c>
      <c r="AZ144" s="1" t="s">
        <v>896</v>
      </c>
      <c r="BA144" s="1" t="s">
        <v>11</v>
      </c>
      <c r="BB144" s="1" t="s">
        <v>36</v>
      </c>
      <c r="BC144" s="1" t="s">
        <v>13</v>
      </c>
      <c r="BD144" s="4">
        <v>15</v>
      </c>
      <c r="BE144" s="4">
        <v>11</v>
      </c>
      <c r="BF144" s="1" t="s">
        <v>14</v>
      </c>
      <c r="BG144" s="1" t="s">
        <v>26</v>
      </c>
      <c r="BH144" s="5" t="s">
        <v>897</v>
      </c>
      <c r="BI144" s="4">
        <v>95</v>
      </c>
      <c r="BZ144" s="1" t="s">
        <v>691</v>
      </c>
      <c r="CA144" s="1" t="s">
        <v>84</v>
      </c>
      <c r="CB144" s="1" t="s">
        <v>55</v>
      </c>
      <c r="CC144" s="1" t="s">
        <v>13</v>
      </c>
      <c r="CD144" s="4">
        <v>16</v>
      </c>
      <c r="CE144" s="4">
        <v>10</v>
      </c>
      <c r="CF144" s="1" t="s">
        <v>43</v>
      </c>
      <c r="CG144" s="1" t="s">
        <v>46</v>
      </c>
      <c r="CH144" s="5" t="s">
        <v>692</v>
      </c>
      <c r="CI144" s="4">
        <v>91</v>
      </c>
      <c r="CM144" s="1" t="s">
        <v>889</v>
      </c>
      <c r="CN144" s="1" t="s">
        <v>68</v>
      </c>
      <c r="CO144" s="1" t="s">
        <v>19</v>
      </c>
      <c r="CP144" s="1" t="s">
        <v>31</v>
      </c>
      <c r="CQ144" s="4">
        <v>18</v>
      </c>
      <c r="CR144" s="4">
        <v>12</v>
      </c>
      <c r="CS144" s="1" t="s">
        <v>32</v>
      </c>
      <c r="CT144" s="1" t="s">
        <v>46</v>
      </c>
      <c r="CU144" s="5" t="s">
        <v>890</v>
      </c>
      <c r="CV144" s="4">
        <v>88</v>
      </c>
    </row>
    <row r="145" spans="13:100" x14ac:dyDescent="0.3">
      <c r="M145" s="1" t="s">
        <v>899</v>
      </c>
      <c r="N145" s="1" t="s">
        <v>11</v>
      </c>
      <c r="O145" s="1" t="s">
        <v>79</v>
      </c>
      <c r="P145" s="1" t="s">
        <v>13</v>
      </c>
      <c r="Q145" s="4">
        <v>15</v>
      </c>
      <c r="R145" s="4">
        <v>10</v>
      </c>
      <c r="S145" s="1" t="s">
        <v>14</v>
      </c>
      <c r="T145" s="1" t="s">
        <v>37</v>
      </c>
      <c r="U145" s="5" t="s">
        <v>900</v>
      </c>
      <c r="V145" s="4">
        <v>88</v>
      </c>
      <c r="AZ145" s="1" t="s">
        <v>899</v>
      </c>
      <c r="BA145" s="1" t="s">
        <v>11</v>
      </c>
      <c r="BB145" s="1" t="s">
        <v>79</v>
      </c>
      <c r="BC145" s="1" t="s">
        <v>13</v>
      </c>
      <c r="BD145" s="4">
        <v>15</v>
      </c>
      <c r="BE145" s="4">
        <v>10</v>
      </c>
      <c r="BF145" s="1" t="s">
        <v>14</v>
      </c>
      <c r="BG145" s="1" t="s">
        <v>37</v>
      </c>
      <c r="BH145" s="5" t="s">
        <v>900</v>
      </c>
      <c r="BI145" s="4">
        <v>88</v>
      </c>
      <c r="BZ145" s="1" t="s">
        <v>693</v>
      </c>
      <c r="CA145" s="1" t="s">
        <v>73</v>
      </c>
      <c r="CB145" s="1" t="s">
        <v>58</v>
      </c>
      <c r="CC145" s="1" t="s">
        <v>31</v>
      </c>
      <c r="CD145" s="4">
        <v>16</v>
      </c>
      <c r="CE145" s="4">
        <v>11</v>
      </c>
      <c r="CF145" s="1" t="s">
        <v>25</v>
      </c>
      <c r="CG145" s="1" t="s">
        <v>37</v>
      </c>
      <c r="CH145" s="5" t="s">
        <v>694</v>
      </c>
      <c r="CI145" s="4">
        <v>65</v>
      </c>
      <c r="CM145" s="1" t="s">
        <v>891</v>
      </c>
      <c r="CN145" s="1" t="s">
        <v>68</v>
      </c>
      <c r="CO145" s="1" t="s">
        <v>79</v>
      </c>
      <c r="CP145" s="1" t="s">
        <v>31</v>
      </c>
      <c r="CQ145" s="4">
        <v>17</v>
      </c>
      <c r="CR145" s="4">
        <v>10</v>
      </c>
      <c r="CS145" s="1" t="s">
        <v>32</v>
      </c>
      <c r="CT145" s="1" t="s">
        <v>61</v>
      </c>
      <c r="CU145" s="5" t="s">
        <v>892</v>
      </c>
      <c r="CV145" s="4">
        <v>56</v>
      </c>
    </row>
    <row r="146" spans="13:100" x14ac:dyDescent="0.3">
      <c r="M146" s="1" t="s">
        <v>905</v>
      </c>
      <c r="N146" s="1" t="s">
        <v>54</v>
      </c>
      <c r="O146" s="1" t="s">
        <v>30</v>
      </c>
      <c r="P146" s="1" t="s">
        <v>13</v>
      </c>
      <c r="Q146" s="4">
        <v>16</v>
      </c>
      <c r="R146" s="4">
        <v>12</v>
      </c>
      <c r="S146" s="1" t="s">
        <v>43</v>
      </c>
      <c r="T146" s="1" t="s">
        <v>40</v>
      </c>
      <c r="U146" s="5" t="s">
        <v>556</v>
      </c>
      <c r="V146" s="4">
        <v>81</v>
      </c>
      <c r="AZ146" s="1" t="s">
        <v>905</v>
      </c>
      <c r="BA146" s="1" t="s">
        <v>54</v>
      </c>
      <c r="BB146" s="1" t="s">
        <v>30</v>
      </c>
      <c r="BC146" s="1" t="s">
        <v>13</v>
      </c>
      <c r="BD146" s="4">
        <v>16</v>
      </c>
      <c r="BE146" s="4">
        <v>12</v>
      </c>
      <c r="BF146" s="1" t="s">
        <v>43</v>
      </c>
      <c r="BG146" s="1" t="s">
        <v>40</v>
      </c>
      <c r="BH146" s="5" t="s">
        <v>556</v>
      </c>
      <c r="BI146" s="4">
        <v>81</v>
      </c>
      <c r="BZ146" s="1" t="s">
        <v>695</v>
      </c>
      <c r="CA146" s="1" t="s">
        <v>51</v>
      </c>
      <c r="CB146" s="1" t="s">
        <v>24</v>
      </c>
      <c r="CC146" s="1" t="s">
        <v>13</v>
      </c>
      <c r="CD146" s="4">
        <v>17</v>
      </c>
      <c r="CE146" s="4">
        <v>9</v>
      </c>
      <c r="CF146" s="1" t="s">
        <v>32</v>
      </c>
      <c r="CG146" s="1" t="s">
        <v>15</v>
      </c>
      <c r="CH146" s="5" t="s">
        <v>696</v>
      </c>
      <c r="CI146" s="4">
        <v>69</v>
      </c>
      <c r="CM146" s="1" t="s">
        <v>893</v>
      </c>
      <c r="CN146" s="1" t="s">
        <v>29</v>
      </c>
      <c r="CO146" s="1" t="s">
        <v>30</v>
      </c>
      <c r="CP146" s="1" t="s">
        <v>13</v>
      </c>
      <c r="CQ146" s="4">
        <v>17</v>
      </c>
      <c r="CR146" s="4">
        <v>9</v>
      </c>
      <c r="CS146" s="1" t="s">
        <v>14</v>
      </c>
      <c r="CT146" s="1" t="s">
        <v>46</v>
      </c>
      <c r="CU146" s="5" t="s">
        <v>423</v>
      </c>
      <c r="CV146" s="4">
        <v>46</v>
      </c>
    </row>
    <row r="147" spans="13:100" x14ac:dyDescent="0.3">
      <c r="M147" s="1" t="s">
        <v>910</v>
      </c>
      <c r="N147" s="1" t="s">
        <v>84</v>
      </c>
      <c r="O147" s="1" t="s">
        <v>12</v>
      </c>
      <c r="P147" s="1" t="s">
        <v>31</v>
      </c>
      <c r="Q147" s="4">
        <v>18</v>
      </c>
      <c r="R147" s="4">
        <v>11</v>
      </c>
      <c r="S147" s="1" t="s">
        <v>25</v>
      </c>
      <c r="T147" s="1" t="s">
        <v>15</v>
      </c>
      <c r="U147" s="5" t="s">
        <v>911</v>
      </c>
      <c r="V147" s="4">
        <v>87</v>
      </c>
      <c r="AZ147" s="1" t="s">
        <v>910</v>
      </c>
      <c r="BA147" s="1" t="s">
        <v>84</v>
      </c>
      <c r="BB147" s="1" t="s">
        <v>12</v>
      </c>
      <c r="BC147" s="1" t="s">
        <v>31</v>
      </c>
      <c r="BD147" s="4">
        <v>18</v>
      </c>
      <c r="BE147" s="4">
        <v>11</v>
      </c>
      <c r="BF147" s="1" t="s">
        <v>25</v>
      </c>
      <c r="BG147" s="1" t="s">
        <v>15</v>
      </c>
      <c r="BH147" s="5" t="s">
        <v>911</v>
      </c>
      <c r="BI147" s="4">
        <v>87</v>
      </c>
      <c r="BZ147" s="1" t="s">
        <v>699</v>
      </c>
      <c r="CA147" s="1" t="s">
        <v>11</v>
      </c>
      <c r="CB147" s="1" t="s">
        <v>30</v>
      </c>
      <c r="CC147" s="1" t="s">
        <v>31</v>
      </c>
      <c r="CD147" s="4">
        <v>16</v>
      </c>
      <c r="CE147" s="4">
        <v>11</v>
      </c>
      <c r="CF147" s="1" t="s">
        <v>43</v>
      </c>
      <c r="CG147" s="1" t="s">
        <v>40</v>
      </c>
      <c r="CH147" s="5" t="s">
        <v>97</v>
      </c>
      <c r="CI147" s="4">
        <v>72</v>
      </c>
      <c r="CM147" s="1" t="s">
        <v>898</v>
      </c>
      <c r="CN147" s="1" t="s">
        <v>18</v>
      </c>
      <c r="CO147" s="1" t="s">
        <v>19</v>
      </c>
      <c r="CP147" s="1" t="s">
        <v>13</v>
      </c>
      <c r="CQ147" s="4">
        <v>17</v>
      </c>
      <c r="CR147" s="4">
        <v>10</v>
      </c>
      <c r="CS147" s="1" t="s">
        <v>25</v>
      </c>
      <c r="CT147" s="1" t="s">
        <v>61</v>
      </c>
      <c r="CU147" s="5" t="s">
        <v>471</v>
      </c>
      <c r="CV147" s="4">
        <v>58</v>
      </c>
    </row>
    <row r="148" spans="13:100" x14ac:dyDescent="0.3">
      <c r="M148" s="1" t="s">
        <v>915</v>
      </c>
      <c r="N148" s="1" t="s">
        <v>23</v>
      </c>
      <c r="O148" s="1" t="s">
        <v>58</v>
      </c>
      <c r="P148" s="1" t="s">
        <v>31</v>
      </c>
      <c r="Q148" s="4">
        <v>17</v>
      </c>
      <c r="R148" s="4">
        <v>9</v>
      </c>
      <c r="S148" s="1" t="s">
        <v>25</v>
      </c>
      <c r="T148" s="1" t="s">
        <v>46</v>
      </c>
      <c r="U148" s="5" t="s">
        <v>916</v>
      </c>
      <c r="V148" s="4">
        <v>85</v>
      </c>
      <c r="AZ148" s="1" t="s">
        <v>915</v>
      </c>
      <c r="BA148" s="1" t="s">
        <v>23</v>
      </c>
      <c r="BB148" s="1" t="s">
        <v>58</v>
      </c>
      <c r="BC148" s="1" t="s">
        <v>31</v>
      </c>
      <c r="BD148" s="4">
        <v>17</v>
      </c>
      <c r="BE148" s="4">
        <v>9</v>
      </c>
      <c r="BF148" s="1" t="s">
        <v>25</v>
      </c>
      <c r="BG148" s="1" t="s">
        <v>46</v>
      </c>
      <c r="BH148" s="5" t="s">
        <v>916</v>
      </c>
      <c r="BI148" s="4">
        <v>85</v>
      </c>
      <c r="BZ148" s="1" t="s">
        <v>703</v>
      </c>
      <c r="CA148" s="1" t="s">
        <v>73</v>
      </c>
      <c r="CB148" s="1" t="s">
        <v>30</v>
      </c>
      <c r="CC148" s="1" t="s">
        <v>31</v>
      </c>
      <c r="CD148" s="4">
        <v>17</v>
      </c>
      <c r="CE148" s="4">
        <v>12</v>
      </c>
      <c r="CF148" s="1" t="s">
        <v>32</v>
      </c>
      <c r="CG148" s="1" t="s">
        <v>40</v>
      </c>
      <c r="CH148" s="5" t="s">
        <v>704</v>
      </c>
      <c r="CI148" s="4">
        <v>93</v>
      </c>
      <c r="CM148" s="1" t="s">
        <v>908</v>
      </c>
      <c r="CN148" s="1" t="s">
        <v>11</v>
      </c>
      <c r="CO148" s="1" t="s">
        <v>79</v>
      </c>
      <c r="CP148" s="1" t="s">
        <v>31</v>
      </c>
      <c r="CQ148" s="4">
        <v>14</v>
      </c>
      <c r="CR148" s="4">
        <v>10</v>
      </c>
      <c r="CS148" s="1" t="s">
        <v>14</v>
      </c>
      <c r="CT148" s="1" t="s">
        <v>46</v>
      </c>
      <c r="CU148" s="5" t="s">
        <v>909</v>
      </c>
      <c r="CV148" s="4">
        <v>55</v>
      </c>
    </row>
    <row r="149" spans="13:100" x14ac:dyDescent="0.3">
      <c r="M149" s="1" t="s">
        <v>917</v>
      </c>
      <c r="N149" s="1" t="s">
        <v>11</v>
      </c>
      <c r="O149" s="1" t="s">
        <v>96</v>
      </c>
      <c r="P149" s="1" t="s">
        <v>31</v>
      </c>
      <c r="Q149" s="4">
        <v>19</v>
      </c>
      <c r="R149" s="4">
        <v>11</v>
      </c>
      <c r="S149" s="1" t="s">
        <v>43</v>
      </c>
      <c r="T149" s="1" t="s">
        <v>26</v>
      </c>
      <c r="U149" s="5" t="s">
        <v>918</v>
      </c>
      <c r="V149" s="4">
        <v>87</v>
      </c>
      <c r="AZ149" s="1" t="s">
        <v>917</v>
      </c>
      <c r="BA149" s="1" t="s">
        <v>11</v>
      </c>
      <c r="BB149" s="1" t="s">
        <v>96</v>
      </c>
      <c r="BC149" s="1" t="s">
        <v>31</v>
      </c>
      <c r="BD149" s="4">
        <v>19</v>
      </c>
      <c r="BE149" s="4">
        <v>11</v>
      </c>
      <c r="BF149" s="1" t="s">
        <v>43</v>
      </c>
      <c r="BG149" s="1" t="s">
        <v>26</v>
      </c>
      <c r="BH149" s="5" t="s">
        <v>918</v>
      </c>
      <c r="BI149" s="4">
        <v>87</v>
      </c>
      <c r="BZ149" s="1" t="s">
        <v>709</v>
      </c>
      <c r="CA149" s="1" t="s">
        <v>54</v>
      </c>
      <c r="CB149" s="1" t="s">
        <v>19</v>
      </c>
      <c r="CC149" s="1" t="s">
        <v>31</v>
      </c>
      <c r="CD149" s="4">
        <v>18</v>
      </c>
      <c r="CE149" s="4">
        <v>10</v>
      </c>
      <c r="CF149" s="1" t="s">
        <v>43</v>
      </c>
      <c r="CG149" s="1" t="s">
        <v>37</v>
      </c>
      <c r="CH149" s="5" t="s">
        <v>710</v>
      </c>
      <c r="CI149" s="4">
        <v>89</v>
      </c>
      <c r="CM149" s="1" t="s">
        <v>912</v>
      </c>
      <c r="CN149" s="1" t="s">
        <v>23</v>
      </c>
      <c r="CO149" s="1" t="s">
        <v>79</v>
      </c>
      <c r="CP149" s="1" t="s">
        <v>31</v>
      </c>
      <c r="CQ149" s="4">
        <v>17</v>
      </c>
      <c r="CR149" s="4">
        <v>12</v>
      </c>
      <c r="CS149" s="1" t="s">
        <v>32</v>
      </c>
      <c r="CT149" s="1" t="s">
        <v>46</v>
      </c>
      <c r="CU149" s="5" t="s">
        <v>400</v>
      </c>
      <c r="CV149" s="4">
        <v>70</v>
      </c>
    </row>
    <row r="150" spans="13:100" x14ac:dyDescent="0.3">
      <c r="M150" s="1" t="s">
        <v>919</v>
      </c>
      <c r="N150" s="1" t="s">
        <v>23</v>
      </c>
      <c r="O150" s="1" t="s">
        <v>19</v>
      </c>
      <c r="P150" s="1" t="s">
        <v>13</v>
      </c>
      <c r="Q150" s="4">
        <v>14</v>
      </c>
      <c r="R150" s="4">
        <v>12</v>
      </c>
      <c r="S150" s="1" t="s">
        <v>14</v>
      </c>
      <c r="T150" s="1" t="s">
        <v>15</v>
      </c>
      <c r="U150" s="5" t="s">
        <v>920</v>
      </c>
      <c r="V150" s="4">
        <v>92</v>
      </c>
      <c r="AZ150" s="1" t="s">
        <v>919</v>
      </c>
      <c r="BA150" s="1" t="s">
        <v>23</v>
      </c>
      <c r="BB150" s="1" t="s">
        <v>19</v>
      </c>
      <c r="BC150" s="1" t="s">
        <v>13</v>
      </c>
      <c r="BD150" s="4">
        <v>14</v>
      </c>
      <c r="BE150" s="4">
        <v>12</v>
      </c>
      <c r="BF150" s="1" t="s">
        <v>14</v>
      </c>
      <c r="BG150" s="1" t="s">
        <v>15</v>
      </c>
      <c r="BH150" s="5" t="s">
        <v>920</v>
      </c>
      <c r="BI150" s="4">
        <v>92</v>
      </c>
      <c r="BZ150" s="1" t="s">
        <v>713</v>
      </c>
      <c r="CA150" s="1" t="s">
        <v>29</v>
      </c>
      <c r="CB150" s="1" t="s">
        <v>24</v>
      </c>
      <c r="CC150" s="1" t="s">
        <v>31</v>
      </c>
      <c r="CD150" s="4">
        <v>16</v>
      </c>
      <c r="CE150" s="4">
        <v>12</v>
      </c>
      <c r="CF150" s="1" t="s">
        <v>32</v>
      </c>
      <c r="CG150" s="1" t="s">
        <v>26</v>
      </c>
      <c r="CH150" s="5" t="s">
        <v>714</v>
      </c>
      <c r="CI150" s="4">
        <v>57</v>
      </c>
      <c r="CM150" s="1" t="s">
        <v>915</v>
      </c>
      <c r="CN150" s="1" t="s">
        <v>23</v>
      </c>
      <c r="CO150" s="1" t="s">
        <v>58</v>
      </c>
      <c r="CP150" s="1" t="s">
        <v>31</v>
      </c>
      <c r="CQ150" s="4">
        <v>17</v>
      </c>
      <c r="CR150" s="4">
        <v>9</v>
      </c>
      <c r="CS150" s="1" t="s">
        <v>25</v>
      </c>
      <c r="CT150" s="1" t="s">
        <v>46</v>
      </c>
      <c r="CU150" s="5" t="s">
        <v>916</v>
      </c>
      <c r="CV150" s="4">
        <v>85</v>
      </c>
    </row>
    <row r="151" spans="13:100" x14ac:dyDescent="0.3">
      <c r="M151" s="1" t="s">
        <v>925</v>
      </c>
      <c r="N151" s="1" t="s">
        <v>68</v>
      </c>
      <c r="O151" s="1" t="s">
        <v>30</v>
      </c>
      <c r="P151" s="1" t="s">
        <v>31</v>
      </c>
      <c r="Q151" s="4">
        <v>18</v>
      </c>
      <c r="R151" s="4">
        <v>9</v>
      </c>
      <c r="S151" s="1" t="s">
        <v>32</v>
      </c>
      <c r="T151" s="1" t="s">
        <v>20</v>
      </c>
      <c r="U151" s="5" t="s">
        <v>732</v>
      </c>
      <c r="V151" s="4">
        <v>86</v>
      </c>
      <c r="AZ151" s="1" t="s">
        <v>925</v>
      </c>
      <c r="BA151" s="1" t="s">
        <v>68</v>
      </c>
      <c r="BB151" s="1" t="s">
        <v>30</v>
      </c>
      <c r="BC151" s="1" t="s">
        <v>31</v>
      </c>
      <c r="BD151" s="4">
        <v>18</v>
      </c>
      <c r="BE151" s="4">
        <v>9</v>
      </c>
      <c r="BF151" s="1" t="s">
        <v>32</v>
      </c>
      <c r="BG151" s="1" t="s">
        <v>20</v>
      </c>
      <c r="BH151" s="5" t="s">
        <v>732</v>
      </c>
      <c r="BI151" s="4">
        <v>86</v>
      </c>
      <c r="BZ151" s="1" t="s">
        <v>716</v>
      </c>
      <c r="CA151" s="1" t="s">
        <v>23</v>
      </c>
      <c r="CB151" s="1" t="s">
        <v>58</v>
      </c>
      <c r="CC151" s="1" t="s">
        <v>31</v>
      </c>
      <c r="CD151" s="4">
        <v>17</v>
      </c>
      <c r="CE151" s="4">
        <v>9</v>
      </c>
      <c r="CF151" s="1" t="s">
        <v>25</v>
      </c>
      <c r="CG151" s="1" t="s">
        <v>15</v>
      </c>
      <c r="CH151" s="5" t="s">
        <v>717</v>
      </c>
      <c r="CI151" s="4">
        <v>51</v>
      </c>
      <c r="CM151" s="1" t="s">
        <v>930</v>
      </c>
      <c r="CN151" s="1" t="s">
        <v>35</v>
      </c>
      <c r="CO151" s="1" t="s">
        <v>96</v>
      </c>
      <c r="CP151" s="1" t="s">
        <v>31</v>
      </c>
      <c r="CQ151" s="4">
        <v>20</v>
      </c>
      <c r="CR151" s="4">
        <v>9</v>
      </c>
      <c r="CS151" s="1" t="s">
        <v>25</v>
      </c>
      <c r="CT151" s="1" t="s">
        <v>61</v>
      </c>
      <c r="CU151" s="5" t="s">
        <v>342</v>
      </c>
      <c r="CV151" s="4">
        <v>62</v>
      </c>
    </row>
    <row r="152" spans="13:100" x14ac:dyDescent="0.3">
      <c r="M152" s="1" t="s">
        <v>926</v>
      </c>
      <c r="N152" s="1" t="s">
        <v>73</v>
      </c>
      <c r="O152" s="1" t="s">
        <v>85</v>
      </c>
      <c r="P152" s="1" t="s">
        <v>13</v>
      </c>
      <c r="Q152" s="4">
        <v>14</v>
      </c>
      <c r="R152" s="4">
        <v>9</v>
      </c>
      <c r="S152" s="1" t="s">
        <v>32</v>
      </c>
      <c r="T152" s="1" t="s">
        <v>20</v>
      </c>
      <c r="U152" s="5" t="s">
        <v>927</v>
      </c>
      <c r="V152" s="4">
        <v>94</v>
      </c>
      <c r="AZ152" s="1" t="s">
        <v>926</v>
      </c>
      <c r="BA152" s="1" t="s">
        <v>73</v>
      </c>
      <c r="BB152" s="1" t="s">
        <v>85</v>
      </c>
      <c r="BC152" s="1" t="s">
        <v>13</v>
      </c>
      <c r="BD152" s="4">
        <v>14</v>
      </c>
      <c r="BE152" s="4">
        <v>9</v>
      </c>
      <c r="BF152" s="1" t="s">
        <v>32</v>
      </c>
      <c r="BG152" s="1" t="s">
        <v>20</v>
      </c>
      <c r="BH152" s="5" t="s">
        <v>927</v>
      </c>
      <c r="BI152" s="4">
        <v>94</v>
      </c>
      <c r="BZ152" s="1" t="s">
        <v>719</v>
      </c>
      <c r="CA152" s="1" t="s">
        <v>18</v>
      </c>
      <c r="CB152" s="1" t="s">
        <v>24</v>
      </c>
      <c r="CC152" s="1" t="s">
        <v>31</v>
      </c>
      <c r="CD152" s="4">
        <v>18</v>
      </c>
      <c r="CE152" s="4">
        <v>11</v>
      </c>
      <c r="CF152" s="1" t="s">
        <v>43</v>
      </c>
      <c r="CG152" s="1" t="s">
        <v>40</v>
      </c>
      <c r="CH152" s="5" t="s">
        <v>720</v>
      </c>
      <c r="CI152" s="4">
        <v>83</v>
      </c>
      <c r="CM152" s="1" t="s">
        <v>935</v>
      </c>
      <c r="CN152" s="1" t="s">
        <v>18</v>
      </c>
      <c r="CO152" s="1" t="s">
        <v>12</v>
      </c>
      <c r="CP152" s="1" t="s">
        <v>13</v>
      </c>
      <c r="CQ152" s="4">
        <v>20</v>
      </c>
      <c r="CR152" s="4">
        <v>11</v>
      </c>
      <c r="CS152" s="1" t="s">
        <v>43</v>
      </c>
      <c r="CT152" s="1" t="s">
        <v>46</v>
      </c>
      <c r="CU152" s="5" t="s">
        <v>936</v>
      </c>
      <c r="CV152" s="4">
        <v>94</v>
      </c>
    </row>
    <row r="153" spans="13:100" x14ac:dyDescent="0.3">
      <c r="M153" s="1" t="s">
        <v>931</v>
      </c>
      <c r="N153" s="1" t="s">
        <v>23</v>
      </c>
      <c r="O153" s="1" t="s">
        <v>36</v>
      </c>
      <c r="P153" s="1" t="s">
        <v>13</v>
      </c>
      <c r="Q153" s="4">
        <v>20</v>
      </c>
      <c r="R153" s="4">
        <v>9</v>
      </c>
      <c r="S153" s="1" t="s">
        <v>43</v>
      </c>
      <c r="T153" s="1" t="s">
        <v>40</v>
      </c>
      <c r="U153" s="5" t="s">
        <v>932</v>
      </c>
      <c r="V153" s="4">
        <v>85</v>
      </c>
      <c r="AZ153" s="1" t="s">
        <v>931</v>
      </c>
      <c r="BA153" s="1" t="s">
        <v>23</v>
      </c>
      <c r="BB153" s="1" t="s">
        <v>36</v>
      </c>
      <c r="BC153" s="1" t="s">
        <v>13</v>
      </c>
      <c r="BD153" s="4">
        <v>20</v>
      </c>
      <c r="BE153" s="4">
        <v>9</v>
      </c>
      <c r="BF153" s="1" t="s">
        <v>43</v>
      </c>
      <c r="BG153" s="1" t="s">
        <v>40</v>
      </c>
      <c r="BH153" s="5" t="s">
        <v>932</v>
      </c>
      <c r="BI153" s="4">
        <v>85</v>
      </c>
      <c r="BZ153" s="1" t="s">
        <v>721</v>
      </c>
      <c r="CA153" s="1" t="s">
        <v>23</v>
      </c>
      <c r="CB153" s="1" t="s">
        <v>19</v>
      </c>
      <c r="CC153" s="1" t="s">
        <v>31</v>
      </c>
      <c r="CD153" s="4">
        <v>18</v>
      </c>
      <c r="CE153" s="4">
        <v>10</v>
      </c>
      <c r="CF153" s="1" t="s">
        <v>14</v>
      </c>
      <c r="CG153" s="1" t="s">
        <v>26</v>
      </c>
      <c r="CH153" s="5" t="s">
        <v>722</v>
      </c>
      <c r="CI153" s="4">
        <v>43</v>
      </c>
    </row>
    <row r="154" spans="13:100" x14ac:dyDescent="0.3">
      <c r="M154" s="1" t="s">
        <v>934</v>
      </c>
      <c r="N154" s="1" t="s">
        <v>51</v>
      </c>
      <c r="O154" s="1" t="s">
        <v>58</v>
      </c>
      <c r="P154" s="1" t="s">
        <v>31</v>
      </c>
      <c r="Q154" s="4">
        <v>18</v>
      </c>
      <c r="R154" s="4">
        <v>11</v>
      </c>
      <c r="S154" s="1" t="s">
        <v>14</v>
      </c>
      <c r="T154" s="1" t="s">
        <v>37</v>
      </c>
      <c r="U154" s="5" t="s">
        <v>806</v>
      </c>
      <c r="V154" s="4">
        <v>88</v>
      </c>
      <c r="AZ154" s="1" t="s">
        <v>934</v>
      </c>
      <c r="BA154" s="1" t="s">
        <v>51</v>
      </c>
      <c r="BB154" s="1" t="s">
        <v>58</v>
      </c>
      <c r="BC154" s="1" t="s">
        <v>31</v>
      </c>
      <c r="BD154" s="4">
        <v>18</v>
      </c>
      <c r="BE154" s="4">
        <v>11</v>
      </c>
      <c r="BF154" s="1" t="s">
        <v>14</v>
      </c>
      <c r="BG154" s="1" t="s">
        <v>37</v>
      </c>
      <c r="BH154" s="5" t="s">
        <v>806</v>
      </c>
      <c r="BI154" s="4">
        <v>88</v>
      </c>
      <c r="BZ154" s="1" t="s">
        <v>731</v>
      </c>
      <c r="CA154" s="1" t="s">
        <v>84</v>
      </c>
      <c r="CB154" s="1" t="s">
        <v>85</v>
      </c>
      <c r="CC154" s="1" t="s">
        <v>31</v>
      </c>
      <c r="CD154" s="4">
        <v>17</v>
      </c>
      <c r="CE154" s="4">
        <v>9</v>
      </c>
      <c r="CF154" s="1" t="s">
        <v>43</v>
      </c>
      <c r="CG154" s="1" t="s">
        <v>76</v>
      </c>
      <c r="CH154" s="5" t="s">
        <v>732</v>
      </c>
      <c r="CI154" s="4">
        <v>97</v>
      </c>
    </row>
    <row r="155" spans="13:100" x14ac:dyDescent="0.3">
      <c r="M155" s="1" t="s">
        <v>935</v>
      </c>
      <c r="N155" s="1" t="s">
        <v>18</v>
      </c>
      <c r="O155" s="1" t="s">
        <v>12</v>
      </c>
      <c r="P155" s="1" t="s">
        <v>13</v>
      </c>
      <c r="Q155" s="4">
        <v>20</v>
      </c>
      <c r="R155" s="4">
        <v>11</v>
      </c>
      <c r="S155" s="1" t="s">
        <v>43</v>
      </c>
      <c r="T155" s="1" t="s">
        <v>46</v>
      </c>
      <c r="U155" s="5" t="s">
        <v>936</v>
      </c>
      <c r="V155" s="4">
        <v>94</v>
      </c>
      <c r="AZ155" s="1" t="s">
        <v>935</v>
      </c>
      <c r="BA155" s="1" t="s">
        <v>18</v>
      </c>
      <c r="BB155" s="1" t="s">
        <v>12</v>
      </c>
      <c r="BC155" s="1" t="s">
        <v>13</v>
      </c>
      <c r="BD155" s="4">
        <v>20</v>
      </c>
      <c r="BE155" s="4">
        <v>11</v>
      </c>
      <c r="BF155" s="1" t="s">
        <v>43</v>
      </c>
      <c r="BG155" s="1" t="s">
        <v>46</v>
      </c>
      <c r="BH155" s="5" t="s">
        <v>936</v>
      </c>
      <c r="BI155" s="4">
        <v>94</v>
      </c>
      <c r="BZ155" s="1" t="s">
        <v>733</v>
      </c>
      <c r="CA155" s="1" t="s">
        <v>84</v>
      </c>
      <c r="CB155" s="1" t="s">
        <v>85</v>
      </c>
      <c r="CC155" s="1" t="s">
        <v>31</v>
      </c>
      <c r="CD155" s="4">
        <v>17</v>
      </c>
      <c r="CE155" s="4">
        <v>12</v>
      </c>
      <c r="CF155" s="1" t="s">
        <v>43</v>
      </c>
      <c r="CG155" s="1" t="s">
        <v>15</v>
      </c>
      <c r="CH155" s="5" t="s">
        <v>734</v>
      </c>
      <c r="CI155" s="4">
        <v>77</v>
      </c>
    </row>
    <row r="156" spans="13:100" x14ac:dyDescent="0.3">
      <c r="M156" s="1" t="s">
        <v>937</v>
      </c>
      <c r="N156" s="1" t="s">
        <v>73</v>
      </c>
      <c r="O156" s="1" t="s">
        <v>85</v>
      </c>
      <c r="P156" s="1" t="s">
        <v>31</v>
      </c>
      <c r="Q156" s="4">
        <v>16</v>
      </c>
      <c r="R156" s="4">
        <v>10</v>
      </c>
      <c r="S156" s="1" t="s">
        <v>25</v>
      </c>
      <c r="T156" s="1" t="s">
        <v>76</v>
      </c>
      <c r="U156" s="5" t="s">
        <v>305</v>
      </c>
      <c r="V156" s="4">
        <v>90</v>
      </c>
      <c r="AZ156" s="1" t="s">
        <v>937</v>
      </c>
      <c r="BA156" s="1" t="s">
        <v>73</v>
      </c>
      <c r="BB156" s="1" t="s">
        <v>85</v>
      </c>
      <c r="BC156" s="1" t="s">
        <v>31</v>
      </c>
      <c r="BD156" s="4">
        <v>16</v>
      </c>
      <c r="BE156" s="4">
        <v>10</v>
      </c>
      <c r="BF156" s="1" t="s">
        <v>25</v>
      </c>
      <c r="BG156" s="1" t="s">
        <v>76</v>
      </c>
      <c r="BH156" s="5" t="s">
        <v>305</v>
      </c>
      <c r="BI156" s="4">
        <v>90</v>
      </c>
      <c r="BZ156" s="1" t="s">
        <v>735</v>
      </c>
      <c r="CA156" s="1" t="s">
        <v>68</v>
      </c>
      <c r="CB156" s="1" t="s">
        <v>24</v>
      </c>
      <c r="CC156" s="1" t="s">
        <v>31</v>
      </c>
      <c r="CD156" s="4">
        <v>16</v>
      </c>
      <c r="CE156" s="4">
        <v>12</v>
      </c>
      <c r="CF156" s="1" t="s">
        <v>43</v>
      </c>
      <c r="CG156" s="1" t="s">
        <v>26</v>
      </c>
      <c r="CH156" s="5" t="s">
        <v>736</v>
      </c>
      <c r="CI156" s="4">
        <v>85</v>
      </c>
    </row>
    <row r="157" spans="13:100" x14ac:dyDescent="0.3">
      <c r="BZ157" s="1" t="s">
        <v>745</v>
      </c>
      <c r="CA157" s="1" t="s">
        <v>73</v>
      </c>
      <c r="CB157" s="1" t="s">
        <v>36</v>
      </c>
      <c r="CC157" s="1" t="s">
        <v>13</v>
      </c>
      <c r="CD157" s="4">
        <v>16</v>
      </c>
      <c r="CE157" s="4">
        <v>9</v>
      </c>
      <c r="CF157" s="1" t="s">
        <v>32</v>
      </c>
      <c r="CG157" s="1" t="s">
        <v>76</v>
      </c>
      <c r="CH157" s="5" t="s">
        <v>746</v>
      </c>
      <c r="CI157" s="4">
        <v>38</v>
      </c>
    </row>
    <row r="158" spans="13:100" x14ac:dyDescent="0.3">
      <c r="BZ158" s="1" t="s">
        <v>747</v>
      </c>
      <c r="CA158" s="1" t="s">
        <v>51</v>
      </c>
      <c r="CB158" s="1" t="s">
        <v>96</v>
      </c>
      <c r="CC158" s="1" t="s">
        <v>13</v>
      </c>
      <c r="CD158" s="4">
        <v>17</v>
      </c>
      <c r="CE158" s="4">
        <v>12</v>
      </c>
      <c r="CF158" s="1" t="s">
        <v>14</v>
      </c>
      <c r="CG158" s="1" t="s">
        <v>26</v>
      </c>
      <c r="CH158" s="5" t="s">
        <v>748</v>
      </c>
      <c r="CI158" s="4">
        <v>67</v>
      </c>
    </row>
    <row r="159" spans="13:100" x14ac:dyDescent="0.3">
      <c r="BZ159" s="1" t="s">
        <v>753</v>
      </c>
      <c r="CA159" s="1" t="s">
        <v>73</v>
      </c>
      <c r="CB159" s="1" t="s">
        <v>24</v>
      </c>
      <c r="CC159" s="1" t="s">
        <v>13</v>
      </c>
      <c r="CD159" s="4">
        <v>18</v>
      </c>
      <c r="CE159" s="4">
        <v>11</v>
      </c>
      <c r="CF159" s="1" t="s">
        <v>32</v>
      </c>
      <c r="CG159" s="1" t="s">
        <v>40</v>
      </c>
      <c r="CH159" s="5" t="s">
        <v>313</v>
      </c>
      <c r="CI159" s="4">
        <v>58</v>
      </c>
    </row>
    <row r="160" spans="13:100" x14ac:dyDescent="0.3">
      <c r="BZ160" s="1" t="s">
        <v>758</v>
      </c>
      <c r="CA160" s="1" t="s">
        <v>73</v>
      </c>
      <c r="CB160" s="1" t="s">
        <v>12</v>
      </c>
      <c r="CC160" s="1" t="s">
        <v>31</v>
      </c>
      <c r="CD160" s="4">
        <v>16</v>
      </c>
      <c r="CE160" s="4">
        <v>11</v>
      </c>
      <c r="CF160" s="1" t="s">
        <v>43</v>
      </c>
      <c r="CG160" s="1" t="s">
        <v>40</v>
      </c>
      <c r="CH160" s="5" t="s">
        <v>759</v>
      </c>
      <c r="CI160" s="4">
        <v>70</v>
      </c>
    </row>
    <row r="161" spans="78:87" x14ac:dyDescent="0.3">
      <c r="BZ161" s="1" t="s">
        <v>760</v>
      </c>
      <c r="CA161" s="1" t="s">
        <v>84</v>
      </c>
      <c r="CB161" s="1" t="s">
        <v>96</v>
      </c>
      <c r="CC161" s="1" t="s">
        <v>31</v>
      </c>
      <c r="CD161" s="4">
        <v>16</v>
      </c>
      <c r="CE161" s="4">
        <v>11</v>
      </c>
      <c r="CF161" s="1" t="s">
        <v>32</v>
      </c>
      <c r="CG161" s="1" t="s">
        <v>76</v>
      </c>
      <c r="CH161" s="5" t="s">
        <v>761</v>
      </c>
      <c r="CI161" s="4">
        <v>83</v>
      </c>
    </row>
    <row r="162" spans="78:87" x14ac:dyDescent="0.3">
      <c r="BZ162" s="1" t="s">
        <v>764</v>
      </c>
      <c r="CA162" s="1" t="s">
        <v>18</v>
      </c>
      <c r="CB162" s="1" t="s">
        <v>55</v>
      </c>
      <c r="CC162" s="1" t="s">
        <v>13</v>
      </c>
      <c r="CD162" s="4">
        <v>16</v>
      </c>
      <c r="CE162" s="4">
        <v>12</v>
      </c>
      <c r="CF162" s="1" t="s">
        <v>14</v>
      </c>
      <c r="CG162" s="1" t="s">
        <v>40</v>
      </c>
      <c r="CH162" s="5" t="s">
        <v>765</v>
      </c>
      <c r="CI162" s="4">
        <v>61</v>
      </c>
    </row>
    <row r="163" spans="78:87" x14ac:dyDescent="0.3">
      <c r="BZ163" s="1" t="s">
        <v>768</v>
      </c>
      <c r="CA163" s="1" t="s">
        <v>23</v>
      </c>
      <c r="CB163" s="1" t="s">
        <v>24</v>
      </c>
      <c r="CC163" s="1" t="s">
        <v>13</v>
      </c>
      <c r="CD163" s="4">
        <v>17</v>
      </c>
      <c r="CE163" s="4">
        <v>11</v>
      </c>
      <c r="CF163" s="1" t="s">
        <v>25</v>
      </c>
      <c r="CG163" s="1" t="s">
        <v>40</v>
      </c>
      <c r="CH163" s="5" t="s">
        <v>258</v>
      </c>
      <c r="CI163" s="4">
        <v>61</v>
      </c>
    </row>
    <row r="164" spans="78:87" x14ac:dyDescent="0.3">
      <c r="BZ164" s="1" t="s">
        <v>769</v>
      </c>
      <c r="CA164" s="1" t="s">
        <v>35</v>
      </c>
      <c r="CB164" s="1" t="s">
        <v>30</v>
      </c>
      <c r="CC164" s="1" t="s">
        <v>13</v>
      </c>
      <c r="CD164" s="4">
        <v>16</v>
      </c>
      <c r="CE164" s="4">
        <v>11</v>
      </c>
      <c r="CF164" s="1" t="s">
        <v>32</v>
      </c>
      <c r="CG164" s="1" t="s">
        <v>46</v>
      </c>
      <c r="CH164" s="5" t="s">
        <v>770</v>
      </c>
      <c r="CI164" s="4">
        <v>85</v>
      </c>
    </row>
    <row r="165" spans="78:87" x14ac:dyDescent="0.3">
      <c r="BZ165" s="1" t="s">
        <v>771</v>
      </c>
      <c r="CA165" s="1" t="s">
        <v>23</v>
      </c>
      <c r="CB165" s="1" t="s">
        <v>24</v>
      </c>
      <c r="CC165" s="1" t="s">
        <v>31</v>
      </c>
      <c r="CD165" s="4">
        <v>18</v>
      </c>
      <c r="CE165" s="4">
        <v>11</v>
      </c>
      <c r="CF165" s="1" t="s">
        <v>25</v>
      </c>
      <c r="CG165" s="1" t="s">
        <v>46</v>
      </c>
      <c r="CH165" s="5" t="s">
        <v>772</v>
      </c>
      <c r="CI165" s="4">
        <v>89</v>
      </c>
    </row>
    <row r="166" spans="78:87" x14ac:dyDescent="0.3">
      <c r="BZ166" s="1" t="s">
        <v>778</v>
      </c>
      <c r="CA166" s="1" t="s">
        <v>73</v>
      </c>
      <c r="CB166" s="1" t="s">
        <v>19</v>
      </c>
      <c r="CC166" s="1" t="s">
        <v>13</v>
      </c>
      <c r="CD166" s="4">
        <v>17</v>
      </c>
      <c r="CE166" s="4">
        <v>12</v>
      </c>
      <c r="CF166" s="1" t="s">
        <v>14</v>
      </c>
      <c r="CG166" s="1" t="s">
        <v>37</v>
      </c>
      <c r="CH166" s="5" t="s">
        <v>779</v>
      </c>
      <c r="CI166" s="4">
        <v>76</v>
      </c>
    </row>
    <row r="167" spans="78:87" x14ac:dyDescent="0.3">
      <c r="BZ167" s="1" t="s">
        <v>784</v>
      </c>
      <c r="CA167" s="1" t="s">
        <v>84</v>
      </c>
      <c r="CB167" s="1" t="s">
        <v>12</v>
      </c>
      <c r="CC167" s="1" t="s">
        <v>13</v>
      </c>
      <c r="CD167" s="4">
        <v>17</v>
      </c>
      <c r="CE167" s="4">
        <v>9</v>
      </c>
      <c r="CF167" s="1" t="s">
        <v>43</v>
      </c>
      <c r="CG167" s="1" t="s">
        <v>76</v>
      </c>
      <c r="CH167" s="5" t="s">
        <v>685</v>
      </c>
      <c r="CI167" s="4">
        <v>89</v>
      </c>
    </row>
    <row r="168" spans="78:87" x14ac:dyDescent="0.3">
      <c r="BZ168" s="1" t="s">
        <v>785</v>
      </c>
      <c r="CA168" s="1" t="s">
        <v>35</v>
      </c>
      <c r="CB168" s="1" t="s">
        <v>58</v>
      </c>
      <c r="CC168" s="1" t="s">
        <v>13</v>
      </c>
      <c r="CD168" s="4">
        <v>18</v>
      </c>
      <c r="CE168" s="4">
        <v>12</v>
      </c>
      <c r="CF168" s="1" t="s">
        <v>43</v>
      </c>
      <c r="CG168" s="1" t="s">
        <v>20</v>
      </c>
      <c r="CH168" s="5" t="s">
        <v>786</v>
      </c>
      <c r="CI168" s="4">
        <v>93</v>
      </c>
    </row>
    <row r="169" spans="78:87" x14ac:dyDescent="0.3">
      <c r="BZ169" s="1" t="s">
        <v>787</v>
      </c>
      <c r="CA169" s="1" t="s">
        <v>18</v>
      </c>
      <c r="CB169" s="1" t="s">
        <v>36</v>
      </c>
      <c r="CC169" s="1" t="s">
        <v>31</v>
      </c>
      <c r="CD169" s="4">
        <v>16</v>
      </c>
      <c r="CE169" s="4">
        <v>9</v>
      </c>
      <c r="CF169" s="1" t="s">
        <v>14</v>
      </c>
      <c r="CG169" s="1" t="s">
        <v>76</v>
      </c>
      <c r="CH169" s="5" t="s">
        <v>788</v>
      </c>
      <c r="CI169" s="4">
        <v>88</v>
      </c>
    </row>
    <row r="170" spans="78:87" x14ac:dyDescent="0.3">
      <c r="BZ170" s="1" t="s">
        <v>789</v>
      </c>
      <c r="CA170" s="1" t="s">
        <v>54</v>
      </c>
      <c r="CB170" s="1" t="s">
        <v>12</v>
      </c>
      <c r="CC170" s="1" t="s">
        <v>31</v>
      </c>
      <c r="CD170" s="4">
        <v>18</v>
      </c>
      <c r="CE170" s="4">
        <v>10</v>
      </c>
      <c r="CF170" s="1" t="s">
        <v>25</v>
      </c>
      <c r="CG170" s="1" t="s">
        <v>15</v>
      </c>
      <c r="CH170" s="5" t="s">
        <v>790</v>
      </c>
      <c r="CI170" s="4">
        <v>95</v>
      </c>
    </row>
    <row r="171" spans="78:87" x14ac:dyDescent="0.3">
      <c r="BZ171" s="1" t="s">
        <v>795</v>
      </c>
      <c r="CA171" s="1" t="s">
        <v>54</v>
      </c>
      <c r="CB171" s="1" t="s">
        <v>30</v>
      </c>
      <c r="CC171" s="1" t="s">
        <v>13</v>
      </c>
      <c r="CD171" s="4">
        <v>18</v>
      </c>
      <c r="CE171" s="4">
        <v>12</v>
      </c>
      <c r="CF171" s="1" t="s">
        <v>32</v>
      </c>
      <c r="CG171" s="1" t="s">
        <v>20</v>
      </c>
      <c r="CH171" s="5" t="s">
        <v>796</v>
      </c>
      <c r="CI171" s="4">
        <v>55</v>
      </c>
    </row>
    <row r="172" spans="78:87" x14ac:dyDescent="0.3">
      <c r="BZ172" s="1" t="s">
        <v>797</v>
      </c>
      <c r="CA172" s="1" t="s">
        <v>23</v>
      </c>
      <c r="CB172" s="1" t="s">
        <v>85</v>
      </c>
      <c r="CC172" s="1" t="s">
        <v>13</v>
      </c>
      <c r="CD172" s="4">
        <v>17</v>
      </c>
      <c r="CE172" s="4">
        <v>12</v>
      </c>
      <c r="CF172" s="1" t="s">
        <v>14</v>
      </c>
      <c r="CG172" s="1" t="s">
        <v>76</v>
      </c>
      <c r="CH172" s="5" t="s">
        <v>71</v>
      </c>
      <c r="CI172" s="4">
        <v>77</v>
      </c>
    </row>
    <row r="173" spans="78:87" x14ac:dyDescent="0.3">
      <c r="BZ173" s="1" t="s">
        <v>798</v>
      </c>
      <c r="CA173" s="1" t="s">
        <v>23</v>
      </c>
      <c r="CB173" s="1" t="s">
        <v>19</v>
      </c>
      <c r="CC173" s="1" t="s">
        <v>13</v>
      </c>
      <c r="CD173" s="4">
        <v>17</v>
      </c>
      <c r="CE173" s="4">
        <v>12</v>
      </c>
      <c r="CF173" s="1" t="s">
        <v>14</v>
      </c>
      <c r="CG173" s="1" t="s">
        <v>40</v>
      </c>
      <c r="CH173" s="5" t="s">
        <v>159</v>
      </c>
      <c r="CI173" s="4">
        <v>95</v>
      </c>
    </row>
    <row r="174" spans="78:87" x14ac:dyDescent="0.3">
      <c r="BZ174" s="1" t="s">
        <v>799</v>
      </c>
      <c r="CA174" s="1" t="s">
        <v>54</v>
      </c>
      <c r="CB174" s="1" t="s">
        <v>36</v>
      </c>
      <c r="CC174" s="1" t="s">
        <v>31</v>
      </c>
      <c r="CD174" s="4">
        <v>17</v>
      </c>
      <c r="CE174" s="4">
        <v>12</v>
      </c>
      <c r="CF174" s="1" t="s">
        <v>14</v>
      </c>
      <c r="CG174" s="1" t="s">
        <v>46</v>
      </c>
      <c r="CH174" s="5" t="s">
        <v>533</v>
      </c>
      <c r="CI174" s="4">
        <v>59</v>
      </c>
    </row>
    <row r="175" spans="78:87" x14ac:dyDescent="0.3">
      <c r="BZ175" s="1" t="s">
        <v>800</v>
      </c>
      <c r="CA175" s="1" t="s">
        <v>23</v>
      </c>
      <c r="CB175" s="1" t="s">
        <v>79</v>
      </c>
      <c r="CC175" s="1" t="s">
        <v>31</v>
      </c>
      <c r="CD175" s="4">
        <v>18</v>
      </c>
      <c r="CE175" s="4">
        <v>11</v>
      </c>
      <c r="CF175" s="1" t="s">
        <v>32</v>
      </c>
      <c r="CG175" s="1" t="s">
        <v>76</v>
      </c>
      <c r="CH175" s="5" t="s">
        <v>801</v>
      </c>
      <c r="CI175" s="4">
        <v>97</v>
      </c>
    </row>
    <row r="176" spans="78:87" x14ac:dyDescent="0.3">
      <c r="BZ176" s="1" t="s">
        <v>805</v>
      </c>
      <c r="CA176" s="1" t="s">
        <v>29</v>
      </c>
      <c r="CB176" s="1" t="s">
        <v>36</v>
      </c>
      <c r="CC176" s="1" t="s">
        <v>31</v>
      </c>
      <c r="CD176" s="4">
        <v>17</v>
      </c>
      <c r="CE176" s="4">
        <v>10</v>
      </c>
      <c r="CF176" s="1" t="s">
        <v>25</v>
      </c>
      <c r="CG176" s="1" t="s">
        <v>15</v>
      </c>
      <c r="CH176" s="5" t="s">
        <v>806</v>
      </c>
      <c r="CI176" s="4">
        <v>59</v>
      </c>
    </row>
    <row r="177" spans="78:87" x14ac:dyDescent="0.3">
      <c r="BZ177" s="1" t="s">
        <v>807</v>
      </c>
      <c r="CA177" s="1" t="s">
        <v>68</v>
      </c>
      <c r="CB177" s="1" t="s">
        <v>79</v>
      </c>
      <c r="CC177" s="1" t="s">
        <v>31</v>
      </c>
      <c r="CD177" s="4">
        <v>16</v>
      </c>
      <c r="CE177" s="4">
        <v>10</v>
      </c>
      <c r="CF177" s="1" t="s">
        <v>43</v>
      </c>
      <c r="CG177" s="1" t="s">
        <v>76</v>
      </c>
      <c r="CH177" s="5" t="s">
        <v>305</v>
      </c>
      <c r="CI177" s="4">
        <v>40</v>
      </c>
    </row>
    <row r="178" spans="78:87" x14ac:dyDescent="0.3">
      <c r="BZ178" s="1" t="s">
        <v>813</v>
      </c>
      <c r="CA178" s="1" t="s">
        <v>73</v>
      </c>
      <c r="CB178" s="1" t="s">
        <v>58</v>
      </c>
      <c r="CC178" s="1" t="s">
        <v>13</v>
      </c>
      <c r="CD178" s="4">
        <v>17</v>
      </c>
      <c r="CE178" s="4">
        <v>12</v>
      </c>
      <c r="CF178" s="1" t="s">
        <v>32</v>
      </c>
      <c r="CG178" s="1" t="s">
        <v>46</v>
      </c>
      <c r="CH178" s="5" t="s">
        <v>346</v>
      </c>
      <c r="CI178" s="4">
        <v>60</v>
      </c>
    </row>
    <row r="179" spans="78:87" x14ac:dyDescent="0.3">
      <c r="BZ179" s="1" t="s">
        <v>814</v>
      </c>
      <c r="CA179" s="1" t="s">
        <v>18</v>
      </c>
      <c r="CB179" s="1" t="s">
        <v>24</v>
      </c>
      <c r="CC179" s="1" t="s">
        <v>31</v>
      </c>
      <c r="CD179" s="4">
        <v>17</v>
      </c>
      <c r="CE179" s="4">
        <v>10</v>
      </c>
      <c r="CF179" s="1" t="s">
        <v>14</v>
      </c>
      <c r="CG179" s="1" t="s">
        <v>76</v>
      </c>
      <c r="CH179" s="5" t="s">
        <v>815</v>
      </c>
      <c r="CI179" s="4">
        <v>47</v>
      </c>
    </row>
    <row r="180" spans="78:87" x14ac:dyDescent="0.3">
      <c r="BZ180" s="1" t="s">
        <v>823</v>
      </c>
      <c r="CA180" s="1" t="s">
        <v>11</v>
      </c>
      <c r="CB180" s="1" t="s">
        <v>79</v>
      </c>
      <c r="CC180" s="1" t="s">
        <v>31</v>
      </c>
      <c r="CD180" s="4">
        <v>18</v>
      </c>
      <c r="CE180" s="4">
        <v>12</v>
      </c>
      <c r="CF180" s="1" t="s">
        <v>43</v>
      </c>
      <c r="CG180" s="1" t="s">
        <v>37</v>
      </c>
      <c r="CH180" s="5" t="s">
        <v>292</v>
      </c>
      <c r="CI180" s="4">
        <v>94</v>
      </c>
    </row>
    <row r="181" spans="78:87" x14ac:dyDescent="0.3">
      <c r="BZ181" s="1" t="s">
        <v>830</v>
      </c>
      <c r="CA181" s="1" t="s">
        <v>23</v>
      </c>
      <c r="CB181" s="1" t="s">
        <v>58</v>
      </c>
      <c r="CC181" s="1" t="s">
        <v>31</v>
      </c>
      <c r="CD181" s="4">
        <v>17</v>
      </c>
      <c r="CE181" s="4">
        <v>9</v>
      </c>
      <c r="CF181" s="1" t="s">
        <v>43</v>
      </c>
      <c r="CG181" s="1" t="s">
        <v>61</v>
      </c>
      <c r="CH181" s="5" t="s">
        <v>820</v>
      </c>
      <c r="CI181" s="4">
        <v>59</v>
      </c>
    </row>
    <row r="182" spans="78:87" x14ac:dyDescent="0.3">
      <c r="BZ182" s="1" t="s">
        <v>835</v>
      </c>
      <c r="CA182" s="1" t="s">
        <v>18</v>
      </c>
      <c r="CB182" s="1" t="s">
        <v>55</v>
      </c>
      <c r="CC182" s="1" t="s">
        <v>31</v>
      </c>
      <c r="CD182" s="4">
        <v>16</v>
      </c>
      <c r="CE182" s="4">
        <v>10</v>
      </c>
      <c r="CF182" s="1" t="s">
        <v>14</v>
      </c>
      <c r="CG182" s="1" t="s">
        <v>61</v>
      </c>
      <c r="CH182" s="5" t="s">
        <v>411</v>
      </c>
      <c r="CI182" s="4">
        <v>52</v>
      </c>
    </row>
    <row r="183" spans="78:87" x14ac:dyDescent="0.3">
      <c r="BZ183" s="1" t="s">
        <v>836</v>
      </c>
      <c r="CA183" s="1" t="s">
        <v>18</v>
      </c>
      <c r="CB183" s="1" t="s">
        <v>58</v>
      </c>
      <c r="CC183" s="1" t="s">
        <v>13</v>
      </c>
      <c r="CD183" s="4">
        <v>16</v>
      </c>
      <c r="CE183" s="4">
        <v>9</v>
      </c>
      <c r="CF183" s="1" t="s">
        <v>14</v>
      </c>
      <c r="CG183" s="1" t="s">
        <v>37</v>
      </c>
      <c r="CH183" s="5" t="s">
        <v>837</v>
      </c>
      <c r="CI183" s="4">
        <v>64</v>
      </c>
    </row>
    <row r="184" spans="78:87" x14ac:dyDescent="0.3">
      <c r="BZ184" s="1" t="s">
        <v>838</v>
      </c>
      <c r="CA184" s="1" t="s">
        <v>29</v>
      </c>
      <c r="CB184" s="1" t="s">
        <v>36</v>
      </c>
      <c r="CC184" s="1" t="s">
        <v>31</v>
      </c>
      <c r="CD184" s="4">
        <v>17</v>
      </c>
      <c r="CE184" s="4">
        <v>10</v>
      </c>
      <c r="CF184" s="1" t="s">
        <v>25</v>
      </c>
      <c r="CG184" s="1" t="s">
        <v>15</v>
      </c>
      <c r="CH184" s="5" t="s">
        <v>839</v>
      </c>
      <c r="CI184" s="4">
        <v>35</v>
      </c>
    </row>
    <row r="185" spans="78:87" x14ac:dyDescent="0.3">
      <c r="BZ185" s="1" t="s">
        <v>843</v>
      </c>
      <c r="CA185" s="1" t="s">
        <v>54</v>
      </c>
      <c r="CB185" s="1" t="s">
        <v>12</v>
      </c>
      <c r="CC185" s="1" t="s">
        <v>31</v>
      </c>
      <c r="CD185" s="4">
        <v>17</v>
      </c>
      <c r="CE185" s="4">
        <v>10</v>
      </c>
      <c r="CF185" s="1" t="s">
        <v>25</v>
      </c>
      <c r="CG185" s="1" t="s">
        <v>40</v>
      </c>
      <c r="CH185" s="5" t="s">
        <v>844</v>
      </c>
      <c r="CI185" s="4">
        <v>43</v>
      </c>
    </row>
    <row r="186" spans="78:87" x14ac:dyDescent="0.3">
      <c r="BZ186" s="1" t="s">
        <v>846</v>
      </c>
      <c r="CA186" s="1" t="s">
        <v>35</v>
      </c>
      <c r="CB186" s="1" t="s">
        <v>79</v>
      </c>
      <c r="CC186" s="1" t="s">
        <v>13</v>
      </c>
      <c r="CD186" s="4">
        <v>17</v>
      </c>
      <c r="CE186" s="4">
        <v>12</v>
      </c>
      <c r="CF186" s="1" t="s">
        <v>25</v>
      </c>
      <c r="CG186" s="1" t="s">
        <v>46</v>
      </c>
      <c r="CH186" s="5" t="s">
        <v>847</v>
      </c>
      <c r="CI186" s="4">
        <v>41</v>
      </c>
    </row>
    <row r="187" spans="78:87" x14ac:dyDescent="0.3">
      <c r="BZ187" s="1" t="s">
        <v>848</v>
      </c>
      <c r="CA187" s="1" t="s">
        <v>18</v>
      </c>
      <c r="CB187" s="1" t="s">
        <v>24</v>
      </c>
      <c r="CC187" s="1" t="s">
        <v>31</v>
      </c>
      <c r="CD187" s="4">
        <v>16</v>
      </c>
      <c r="CE187" s="4">
        <v>10</v>
      </c>
      <c r="CF187" s="1" t="s">
        <v>25</v>
      </c>
      <c r="CG187" s="1" t="s">
        <v>61</v>
      </c>
      <c r="CH187" s="5" t="s">
        <v>849</v>
      </c>
      <c r="CI187" s="4">
        <v>78</v>
      </c>
    </row>
    <row r="188" spans="78:87" x14ac:dyDescent="0.3">
      <c r="BZ188" s="1" t="s">
        <v>856</v>
      </c>
      <c r="CA188" s="1" t="s">
        <v>29</v>
      </c>
      <c r="CB188" s="1" t="s">
        <v>85</v>
      </c>
      <c r="CC188" s="1" t="s">
        <v>13</v>
      </c>
      <c r="CD188" s="4">
        <v>16</v>
      </c>
      <c r="CE188" s="4">
        <v>9</v>
      </c>
      <c r="CF188" s="1" t="s">
        <v>14</v>
      </c>
      <c r="CG188" s="1" t="s">
        <v>61</v>
      </c>
      <c r="CH188" s="5" t="s">
        <v>262</v>
      </c>
      <c r="CI188" s="4">
        <v>78</v>
      </c>
    </row>
    <row r="189" spans="78:87" x14ac:dyDescent="0.3">
      <c r="BZ189" s="1" t="s">
        <v>860</v>
      </c>
      <c r="CA189" s="1" t="s">
        <v>68</v>
      </c>
      <c r="CB189" s="1" t="s">
        <v>12</v>
      </c>
      <c r="CC189" s="1" t="s">
        <v>13</v>
      </c>
      <c r="CD189" s="4">
        <v>16</v>
      </c>
      <c r="CE189" s="4">
        <v>12</v>
      </c>
      <c r="CF189" s="1" t="s">
        <v>14</v>
      </c>
      <c r="CG189" s="1" t="s">
        <v>37</v>
      </c>
      <c r="CH189" s="5" t="s">
        <v>861</v>
      </c>
      <c r="CI189" s="4">
        <v>84</v>
      </c>
    </row>
    <row r="190" spans="78:87" x14ac:dyDescent="0.3">
      <c r="BZ190" s="1" t="s">
        <v>862</v>
      </c>
      <c r="CA190" s="1" t="s">
        <v>51</v>
      </c>
      <c r="CB190" s="1" t="s">
        <v>24</v>
      </c>
      <c r="CC190" s="1" t="s">
        <v>13</v>
      </c>
      <c r="CD190" s="4">
        <v>17</v>
      </c>
      <c r="CE190" s="4">
        <v>9</v>
      </c>
      <c r="CF190" s="1" t="s">
        <v>43</v>
      </c>
      <c r="CG190" s="1" t="s">
        <v>15</v>
      </c>
      <c r="CH190" s="5" t="s">
        <v>863</v>
      </c>
      <c r="CI190" s="4">
        <v>86</v>
      </c>
    </row>
    <row r="191" spans="78:87" x14ac:dyDescent="0.3">
      <c r="BZ191" s="1" t="s">
        <v>864</v>
      </c>
      <c r="CA191" s="1" t="s">
        <v>35</v>
      </c>
      <c r="CB191" s="1" t="s">
        <v>58</v>
      </c>
      <c r="CC191" s="1" t="s">
        <v>13</v>
      </c>
      <c r="CD191" s="4">
        <v>17</v>
      </c>
      <c r="CE191" s="4">
        <v>10</v>
      </c>
      <c r="CF191" s="1" t="s">
        <v>14</v>
      </c>
      <c r="CG191" s="1" t="s">
        <v>20</v>
      </c>
      <c r="CH191" s="5" t="s">
        <v>865</v>
      </c>
      <c r="CI191" s="4">
        <v>92</v>
      </c>
    </row>
    <row r="192" spans="78:87" x14ac:dyDescent="0.3">
      <c r="BZ192" s="1" t="s">
        <v>869</v>
      </c>
      <c r="CA192" s="1" t="s">
        <v>73</v>
      </c>
      <c r="CB192" s="1" t="s">
        <v>96</v>
      </c>
      <c r="CC192" s="1" t="s">
        <v>31</v>
      </c>
      <c r="CD192" s="4">
        <v>17</v>
      </c>
      <c r="CE192" s="4">
        <v>9</v>
      </c>
      <c r="CF192" s="1" t="s">
        <v>43</v>
      </c>
      <c r="CG192" s="1" t="s">
        <v>26</v>
      </c>
      <c r="CH192" s="5" t="s">
        <v>870</v>
      </c>
      <c r="CI192" s="4">
        <v>53</v>
      </c>
    </row>
    <row r="193" spans="78:87" x14ac:dyDescent="0.3">
      <c r="BZ193" s="1" t="s">
        <v>874</v>
      </c>
      <c r="CA193" s="1" t="s">
        <v>35</v>
      </c>
      <c r="CB193" s="1" t="s">
        <v>36</v>
      </c>
      <c r="CC193" s="1" t="s">
        <v>13</v>
      </c>
      <c r="CD193" s="4">
        <v>16</v>
      </c>
      <c r="CE193" s="4">
        <v>10</v>
      </c>
      <c r="CF193" s="1" t="s">
        <v>14</v>
      </c>
      <c r="CG193" s="1" t="s">
        <v>61</v>
      </c>
      <c r="CH193" s="5" t="s">
        <v>875</v>
      </c>
      <c r="CI193" s="4">
        <v>35</v>
      </c>
    </row>
    <row r="194" spans="78:87" x14ac:dyDescent="0.3">
      <c r="BZ194" s="1" t="s">
        <v>876</v>
      </c>
      <c r="CA194" s="1" t="s">
        <v>18</v>
      </c>
      <c r="CB194" s="1" t="s">
        <v>24</v>
      </c>
      <c r="CC194" s="1" t="s">
        <v>31</v>
      </c>
      <c r="CD194" s="4">
        <v>16</v>
      </c>
      <c r="CE194" s="4">
        <v>9</v>
      </c>
      <c r="CF194" s="1" t="s">
        <v>43</v>
      </c>
      <c r="CG194" s="1" t="s">
        <v>26</v>
      </c>
      <c r="CH194" s="5" t="s">
        <v>515</v>
      </c>
      <c r="CI194" s="4">
        <v>48</v>
      </c>
    </row>
    <row r="195" spans="78:87" x14ac:dyDescent="0.3">
      <c r="BZ195" s="1" t="s">
        <v>885</v>
      </c>
      <c r="CA195" s="1" t="s">
        <v>51</v>
      </c>
      <c r="CB195" s="1" t="s">
        <v>55</v>
      </c>
      <c r="CC195" s="1" t="s">
        <v>13</v>
      </c>
      <c r="CD195" s="4">
        <v>16</v>
      </c>
      <c r="CE195" s="4">
        <v>11</v>
      </c>
      <c r="CF195" s="1" t="s">
        <v>32</v>
      </c>
      <c r="CG195" s="1" t="s">
        <v>76</v>
      </c>
      <c r="CH195" s="5" t="s">
        <v>886</v>
      </c>
      <c r="CI195" s="4">
        <v>65</v>
      </c>
    </row>
    <row r="196" spans="78:87" x14ac:dyDescent="0.3">
      <c r="BZ196" s="1" t="s">
        <v>887</v>
      </c>
      <c r="CA196" s="1" t="s">
        <v>11</v>
      </c>
      <c r="CB196" s="1" t="s">
        <v>30</v>
      </c>
      <c r="CC196" s="1" t="s">
        <v>31</v>
      </c>
      <c r="CD196" s="4">
        <v>17</v>
      </c>
      <c r="CE196" s="4">
        <v>9</v>
      </c>
      <c r="CF196" s="1" t="s">
        <v>14</v>
      </c>
      <c r="CG196" s="1" t="s">
        <v>76</v>
      </c>
      <c r="CH196" s="5" t="s">
        <v>653</v>
      </c>
      <c r="CI196" s="4">
        <v>53</v>
      </c>
    </row>
    <row r="197" spans="78:87" x14ac:dyDescent="0.3">
      <c r="BZ197" s="1" t="s">
        <v>888</v>
      </c>
      <c r="CA197" s="1" t="s">
        <v>23</v>
      </c>
      <c r="CB197" s="1" t="s">
        <v>58</v>
      </c>
      <c r="CC197" s="1" t="s">
        <v>31</v>
      </c>
      <c r="CD197" s="4">
        <v>18</v>
      </c>
      <c r="CE197" s="4">
        <v>10</v>
      </c>
      <c r="CF197" s="1" t="s">
        <v>14</v>
      </c>
      <c r="CG197" s="1" t="s">
        <v>20</v>
      </c>
      <c r="CH197" s="5" t="s">
        <v>153</v>
      </c>
      <c r="CI197" s="4">
        <v>92</v>
      </c>
    </row>
    <row r="198" spans="78:87" x14ac:dyDescent="0.3">
      <c r="BZ198" s="1" t="s">
        <v>889</v>
      </c>
      <c r="CA198" s="1" t="s">
        <v>68</v>
      </c>
      <c r="CB198" s="1" t="s">
        <v>19</v>
      </c>
      <c r="CC198" s="1" t="s">
        <v>31</v>
      </c>
      <c r="CD198" s="4">
        <v>18</v>
      </c>
      <c r="CE198" s="4">
        <v>12</v>
      </c>
      <c r="CF198" s="1" t="s">
        <v>32</v>
      </c>
      <c r="CG198" s="1" t="s">
        <v>46</v>
      </c>
      <c r="CH198" s="5" t="s">
        <v>890</v>
      </c>
      <c r="CI198" s="4">
        <v>88</v>
      </c>
    </row>
    <row r="199" spans="78:87" x14ac:dyDescent="0.3">
      <c r="BZ199" s="1" t="s">
        <v>891</v>
      </c>
      <c r="CA199" s="1" t="s">
        <v>68</v>
      </c>
      <c r="CB199" s="1" t="s">
        <v>79</v>
      </c>
      <c r="CC199" s="1" t="s">
        <v>31</v>
      </c>
      <c r="CD199" s="4">
        <v>17</v>
      </c>
      <c r="CE199" s="4">
        <v>10</v>
      </c>
      <c r="CF199" s="1" t="s">
        <v>32</v>
      </c>
      <c r="CG199" s="1" t="s">
        <v>61</v>
      </c>
      <c r="CH199" s="5" t="s">
        <v>892</v>
      </c>
      <c r="CI199" s="4">
        <v>56</v>
      </c>
    </row>
    <row r="200" spans="78:87" x14ac:dyDescent="0.3">
      <c r="BZ200" s="1" t="s">
        <v>893</v>
      </c>
      <c r="CA200" s="1" t="s">
        <v>29</v>
      </c>
      <c r="CB200" s="1" t="s">
        <v>30</v>
      </c>
      <c r="CC200" s="1" t="s">
        <v>13</v>
      </c>
      <c r="CD200" s="4">
        <v>17</v>
      </c>
      <c r="CE200" s="4">
        <v>9</v>
      </c>
      <c r="CF200" s="1" t="s">
        <v>14</v>
      </c>
      <c r="CG200" s="1" t="s">
        <v>46</v>
      </c>
      <c r="CH200" s="5" t="s">
        <v>423</v>
      </c>
      <c r="CI200" s="4">
        <v>46</v>
      </c>
    </row>
    <row r="201" spans="78:87" x14ac:dyDescent="0.3">
      <c r="BZ201" s="1" t="s">
        <v>898</v>
      </c>
      <c r="CA201" s="1" t="s">
        <v>18</v>
      </c>
      <c r="CB201" s="1" t="s">
        <v>19</v>
      </c>
      <c r="CC201" s="1" t="s">
        <v>13</v>
      </c>
      <c r="CD201" s="4">
        <v>17</v>
      </c>
      <c r="CE201" s="4">
        <v>10</v>
      </c>
      <c r="CF201" s="1" t="s">
        <v>25</v>
      </c>
      <c r="CG201" s="1" t="s">
        <v>61</v>
      </c>
      <c r="CH201" s="5" t="s">
        <v>471</v>
      </c>
      <c r="CI201" s="4">
        <v>58</v>
      </c>
    </row>
    <row r="202" spans="78:87" x14ac:dyDescent="0.3">
      <c r="BZ202" s="1" t="s">
        <v>901</v>
      </c>
      <c r="CA202" s="1" t="s">
        <v>68</v>
      </c>
      <c r="CB202" s="1" t="s">
        <v>19</v>
      </c>
      <c r="CC202" s="1" t="s">
        <v>31</v>
      </c>
      <c r="CD202" s="4">
        <v>18</v>
      </c>
      <c r="CE202" s="4">
        <v>11</v>
      </c>
      <c r="CF202" s="1" t="s">
        <v>14</v>
      </c>
      <c r="CG202" s="1" t="s">
        <v>40</v>
      </c>
      <c r="CH202" s="5" t="s">
        <v>139</v>
      </c>
      <c r="CI202" s="4">
        <v>75</v>
      </c>
    </row>
    <row r="203" spans="78:87" x14ac:dyDescent="0.3">
      <c r="BZ203" s="1" t="s">
        <v>905</v>
      </c>
      <c r="CA203" s="1" t="s">
        <v>54</v>
      </c>
      <c r="CB203" s="1" t="s">
        <v>30</v>
      </c>
      <c r="CC203" s="1" t="s">
        <v>13</v>
      </c>
      <c r="CD203" s="4">
        <v>16</v>
      </c>
      <c r="CE203" s="4">
        <v>12</v>
      </c>
      <c r="CF203" s="1" t="s">
        <v>43</v>
      </c>
      <c r="CG203" s="1" t="s">
        <v>40</v>
      </c>
      <c r="CH203" s="5" t="s">
        <v>556</v>
      </c>
      <c r="CI203" s="4">
        <v>81</v>
      </c>
    </row>
    <row r="204" spans="78:87" x14ac:dyDescent="0.3">
      <c r="BZ204" s="1" t="s">
        <v>906</v>
      </c>
      <c r="CA204" s="1" t="s">
        <v>73</v>
      </c>
      <c r="CB204" s="1" t="s">
        <v>36</v>
      </c>
      <c r="CC204" s="1" t="s">
        <v>13</v>
      </c>
      <c r="CD204" s="4">
        <v>17</v>
      </c>
      <c r="CE204" s="4">
        <v>12</v>
      </c>
      <c r="CF204" s="1" t="s">
        <v>25</v>
      </c>
      <c r="CG204" s="1" t="s">
        <v>76</v>
      </c>
      <c r="CH204" s="5" t="s">
        <v>907</v>
      </c>
      <c r="CI204" s="4">
        <v>75</v>
      </c>
    </row>
    <row r="205" spans="78:87" x14ac:dyDescent="0.3">
      <c r="BZ205" s="1" t="s">
        <v>910</v>
      </c>
      <c r="CA205" s="1" t="s">
        <v>84</v>
      </c>
      <c r="CB205" s="1" t="s">
        <v>12</v>
      </c>
      <c r="CC205" s="1" t="s">
        <v>31</v>
      </c>
      <c r="CD205" s="4">
        <v>18</v>
      </c>
      <c r="CE205" s="4">
        <v>11</v>
      </c>
      <c r="CF205" s="1" t="s">
        <v>25</v>
      </c>
      <c r="CG205" s="1" t="s">
        <v>15</v>
      </c>
      <c r="CH205" s="5" t="s">
        <v>911</v>
      </c>
      <c r="CI205" s="4">
        <v>87</v>
      </c>
    </row>
    <row r="206" spans="78:87" x14ac:dyDescent="0.3">
      <c r="BZ206" s="1" t="s">
        <v>912</v>
      </c>
      <c r="CA206" s="1" t="s">
        <v>23</v>
      </c>
      <c r="CB206" s="1" t="s">
        <v>79</v>
      </c>
      <c r="CC206" s="1" t="s">
        <v>31</v>
      </c>
      <c r="CD206" s="4">
        <v>17</v>
      </c>
      <c r="CE206" s="4">
        <v>12</v>
      </c>
      <c r="CF206" s="1" t="s">
        <v>32</v>
      </c>
      <c r="CG206" s="1" t="s">
        <v>46</v>
      </c>
      <c r="CH206" s="5" t="s">
        <v>400</v>
      </c>
      <c r="CI206" s="4">
        <v>70</v>
      </c>
    </row>
    <row r="207" spans="78:87" x14ac:dyDescent="0.3">
      <c r="BZ207" s="1" t="s">
        <v>915</v>
      </c>
      <c r="CA207" s="1" t="s">
        <v>23</v>
      </c>
      <c r="CB207" s="1" t="s">
        <v>58</v>
      </c>
      <c r="CC207" s="1" t="s">
        <v>31</v>
      </c>
      <c r="CD207" s="4">
        <v>17</v>
      </c>
      <c r="CE207" s="4">
        <v>9</v>
      </c>
      <c r="CF207" s="1" t="s">
        <v>25</v>
      </c>
      <c r="CG207" s="1" t="s">
        <v>46</v>
      </c>
      <c r="CH207" s="5" t="s">
        <v>916</v>
      </c>
      <c r="CI207" s="4">
        <v>85</v>
      </c>
    </row>
    <row r="208" spans="78:87" x14ac:dyDescent="0.3">
      <c r="BZ208" s="1" t="s">
        <v>923</v>
      </c>
      <c r="CA208" s="1" t="s">
        <v>68</v>
      </c>
      <c r="CB208" s="1" t="s">
        <v>55</v>
      </c>
      <c r="CC208" s="1" t="s">
        <v>31</v>
      </c>
      <c r="CD208" s="4">
        <v>16</v>
      </c>
      <c r="CE208" s="4">
        <v>12</v>
      </c>
      <c r="CF208" s="1" t="s">
        <v>43</v>
      </c>
      <c r="CG208" s="1" t="s">
        <v>37</v>
      </c>
      <c r="CH208" s="5" t="s">
        <v>924</v>
      </c>
      <c r="CI208" s="4">
        <v>77</v>
      </c>
    </row>
    <row r="209" spans="78:87" x14ac:dyDescent="0.3">
      <c r="BZ209" s="1" t="s">
        <v>925</v>
      </c>
      <c r="CA209" s="1" t="s">
        <v>68</v>
      </c>
      <c r="CB209" s="1" t="s">
        <v>30</v>
      </c>
      <c r="CC209" s="1" t="s">
        <v>31</v>
      </c>
      <c r="CD209" s="4">
        <v>18</v>
      </c>
      <c r="CE209" s="4">
        <v>9</v>
      </c>
      <c r="CF209" s="1" t="s">
        <v>32</v>
      </c>
      <c r="CG209" s="1" t="s">
        <v>20</v>
      </c>
      <c r="CH209" s="5" t="s">
        <v>732</v>
      </c>
      <c r="CI209" s="4">
        <v>86</v>
      </c>
    </row>
    <row r="210" spans="78:87" x14ac:dyDescent="0.3">
      <c r="BZ210" s="1" t="s">
        <v>934</v>
      </c>
      <c r="CA210" s="1" t="s">
        <v>51</v>
      </c>
      <c r="CB210" s="1" t="s">
        <v>58</v>
      </c>
      <c r="CC210" s="1" t="s">
        <v>31</v>
      </c>
      <c r="CD210" s="4">
        <v>18</v>
      </c>
      <c r="CE210" s="4">
        <v>11</v>
      </c>
      <c r="CF210" s="1" t="s">
        <v>14</v>
      </c>
      <c r="CG210" s="1" t="s">
        <v>37</v>
      </c>
      <c r="CH210" s="5" t="s">
        <v>806</v>
      </c>
      <c r="CI210" s="4">
        <v>88</v>
      </c>
    </row>
    <row r="211" spans="78:87" x14ac:dyDescent="0.3">
      <c r="BZ211" s="1" t="s">
        <v>937</v>
      </c>
      <c r="CA211" s="1" t="s">
        <v>73</v>
      </c>
      <c r="CB211" s="1" t="s">
        <v>85</v>
      </c>
      <c r="CC211" s="1" t="s">
        <v>31</v>
      </c>
      <c r="CD211" s="4">
        <v>16</v>
      </c>
      <c r="CE211" s="4">
        <v>10</v>
      </c>
      <c r="CF211" s="1" t="s">
        <v>25</v>
      </c>
      <c r="CG211" s="1" t="s">
        <v>76</v>
      </c>
      <c r="CH211" s="5" t="s">
        <v>305</v>
      </c>
      <c r="CI211" s="4">
        <v>90</v>
      </c>
    </row>
    <row r="212" spans="78:87" x14ac:dyDescent="0.3">
      <c r="BZ212" s="1" t="s">
        <v>938</v>
      </c>
      <c r="CA212" s="1" t="s">
        <v>18</v>
      </c>
      <c r="CB212" s="1" t="s">
        <v>58</v>
      </c>
      <c r="CC212" s="1" t="s">
        <v>13</v>
      </c>
      <c r="CD212" s="4">
        <v>16</v>
      </c>
      <c r="CE212" s="4">
        <v>12</v>
      </c>
      <c r="CF212" s="1" t="s">
        <v>25</v>
      </c>
      <c r="CG212" s="1" t="s">
        <v>26</v>
      </c>
      <c r="CH212" s="5" t="s">
        <v>939</v>
      </c>
      <c r="CI212" s="4">
        <v>41</v>
      </c>
    </row>
    <row r="213" spans="78:87" x14ac:dyDescent="0.3">
      <c r="BZ213" s="1" t="s">
        <v>940</v>
      </c>
      <c r="CA213" s="1" t="s">
        <v>51</v>
      </c>
      <c r="CB213" s="1" t="s">
        <v>96</v>
      </c>
      <c r="CC213" s="1" t="s">
        <v>31</v>
      </c>
      <c r="CD213" s="4">
        <v>18</v>
      </c>
      <c r="CE213" s="4">
        <v>9</v>
      </c>
      <c r="CF213" s="1" t="s">
        <v>43</v>
      </c>
      <c r="CG213" s="1" t="s">
        <v>76</v>
      </c>
      <c r="CH213" s="5" t="s">
        <v>506</v>
      </c>
      <c r="CI213" s="4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FF32-2892-4382-9ADD-A7D45238824A}">
  <dimension ref="A1:X507"/>
  <sheetViews>
    <sheetView topLeftCell="J1" workbookViewId="0">
      <selection activeCell="AC12" sqref="AC12"/>
    </sheetView>
  </sheetViews>
  <sheetFormatPr defaultRowHeight="14.4" x14ac:dyDescent="0.3"/>
  <sheetData>
    <row r="1" spans="1:24" x14ac:dyDescent="0.3">
      <c r="A1" s="6" t="s">
        <v>953</v>
      </c>
      <c r="N1" s="6" t="s">
        <v>955</v>
      </c>
    </row>
    <row r="2" spans="1:24" x14ac:dyDescent="0.3">
      <c r="A2" s="6" t="s">
        <v>954</v>
      </c>
      <c r="N2" s="6" t="s">
        <v>957</v>
      </c>
    </row>
    <row r="3" spans="1:24" x14ac:dyDescent="0.3">
      <c r="A3" s="6"/>
      <c r="N3" s="6"/>
    </row>
    <row r="4" spans="1:24" x14ac:dyDescent="0.3">
      <c r="A4" s="6" t="s">
        <v>956</v>
      </c>
      <c r="O4" s="2" t="s">
        <v>0</v>
      </c>
      <c r="P4" s="2" t="s">
        <v>1</v>
      </c>
      <c r="Q4" s="2" t="s">
        <v>2</v>
      </c>
      <c r="R4" s="2" t="s">
        <v>3</v>
      </c>
      <c r="S4" s="2" t="s">
        <v>4</v>
      </c>
      <c r="T4" s="2" t="s">
        <v>5</v>
      </c>
      <c r="U4" s="2" t="s">
        <v>6</v>
      </c>
      <c r="V4" s="2" t="s">
        <v>7</v>
      </c>
      <c r="W4" s="2" t="s">
        <v>8</v>
      </c>
      <c r="X4" s="2" t="s">
        <v>9</v>
      </c>
    </row>
    <row r="5" spans="1:24" x14ac:dyDescent="0.3">
      <c r="A5" s="6"/>
      <c r="O5" s="1" t="s">
        <v>10</v>
      </c>
      <c r="P5" s="1" t="s">
        <v>11</v>
      </c>
      <c r="Q5" s="1" t="s">
        <v>12</v>
      </c>
      <c r="R5" s="1" t="s">
        <v>13</v>
      </c>
      <c r="S5" s="4">
        <v>16</v>
      </c>
      <c r="T5" s="4">
        <v>10</v>
      </c>
      <c r="U5" s="1" t="s">
        <v>14</v>
      </c>
      <c r="V5" s="1" t="s">
        <v>15</v>
      </c>
      <c r="W5" s="5" t="s">
        <v>16</v>
      </c>
      <c r="X5" s="4">
        <v>37</v>
      </c>
    </row>
    <row r="6" spans="1:24" x14ac:dyDescent="0.3">
      <c r="A6" s="6"/>
      <c r="O6" s="1" t="s">
        <v>17</v>
      </c>
      <c r="P6" s="1" t="s">
        <v>18</v>
      </c>
      <c r="Q6" s="1" t="s">
        <v>19</v>
      </c>
      <c r="R6" s="1" t="s">
        <v>13</v>
      </c>
      <c r="S6" s="4">
        <v>15</v>
      </c>
      <c r="T6" s="4">
        <v>12</v>
      </c>
      <c r="U6" s="1" t="s">
        <v>14</v>
      </c>
      <c r="V6" s="1" t="s">
        <v>20</v>
      </c>
      <c r="W6" s="5" t="s">
        <v>21</v>
      </c>
      <c r="X6" s="4">
        <v>98</v>
      </c>
    </row>
    <row r="7" spans="1:24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L7" s="1" t="s">
        <v>11</v>
      </c>
      <c r="O7" s="1" t="s">
        <v>22</v>
      </c>
      <c r="P7" s="1" t="s">
        <v>23</v>
      </c>
      <c r="Q7" s="1" t="s">
        <v>24</v>
      </c>
      <c r="R7" s="1" t="s">
        <v>13</v>
      </c>
      <c r="S7" s="4">
        <v>14</v>
      </c>
      <c r="T7" s="4">
        <v>12</v>
      </c>
      <c r="U7" s="1" t="s">
        <v>25</v>
      </c>
      <c r="V7" s="1" t="s">
        <v>26</v>
      </c>
      <c r="W7" s="5" t="s">
        <v>27</v>
      </c>
      <c r="X7" s="4">
        <v>38</v>
      </c>
    </row>
    <row r="8" spans="1:24" x14ac:dyDescent="0.3">
      <c r="A8" s="1" t="s">
        <v>10</v>
      </c>
      <c r="B8" s="1" t="s">
        <v>11</v>
      </c>
      <c r="C8" s="1" t="s">
        <v>12</v>
      </c>
      <c r="D8" s="1" t="s">
        <v>13</v>
      </c>
      <c r="E8" s="4">
        <v>16</v>
      </c>
      <c r="F8" s="4">
        <v>10</v>
      </c>
      <c r="G8" s="1" t="s">
        <v>14</v>
      </c>
      <c r="H8" s="1" t="s">
        <v>15</v>
      </c>
      <c r="I8" s="5" t="s">
        <v>16</v>
      </c>
      <c r="J8" s="4">
        <v>37</v>
      </c>
      <c r="L8" s="1" t="s">
        <v>18</v>
      </c>
      <c r="O8" s="1" t="s">
        <v>28</v>
      </c>
      <c r="P8" s="1" t="s">
        <v>29</v>
      </c>
      <c r="Q8" s="1" t="s">
        <v>30</v>
      </c>
      <c r="R8" s="1" t="s">
        <v>31</v>
      </c>
      <c r="S8" s="4">
        <v>20</v>
      </c>
      <c r="T8" s="4">
        <v>9</v>
      </c>
      <c r="U8" s="1" t="s">
        <v>32</v>
      </c>
      <c r="V8" s="1" t="s">
        <v>26</v>
      </c>
      <c r="W8" s="5" t="s">
        <v>33</v>
      </c>
      <c r="X8" s="4">
        <v>84</v>
      </c>
    </row>
    <row r="9" spans="1:24" x14ac:dyDescent="0.3">
      <c r="A9" s="1" t="s">
        <v>17</v>
      </c>
      <c r="B9" s="1" t="s">
        <v>18</v>
      </c>
      <c r="C9" s="1" t="s">
        <v>19</v>
      </c>
      <c r="D9" s="1" t="s">
        <v>13</v>
      </c>
      <c r="E9" s="4">
        <v>15</v>
      </c>
      <c r="F9" s="4">
        <v>12</v>
      </c>
      <c r="G9" s="1" t="s">
        <v>14</v>
      </c>
      <c r="H9" s="1" t="s">
        <v>20</v>
      </c>
      <c r="I9" s="5" t="s">
        <v>21</v>
      </c>
      <c r="J9" s="4">
        <v>98</v>
      </c>
      <c r="L9" s="1" t="s">
        <v>23</v>
      </c>
      <c r="O9" s="1" t="s">
        <v>34</v>
      </c>
      <c r="P9" s="1" t="s">
        <v>35</v>
      </c>
      <c r="Q9" s="1" t="s">
        <v>36</v>
      </c>
      <c r="R9" s="1" t="s">
        <v>31</v>
      </c>
      <c r="S9" s="4">
        <v>17</v>
      </c>
      <c r="T9" s="4">
        <v>10</v>
      </c>
      <c r="U9" s="1" t="s">
        <v>32</v>
      </c>
      <c r="V9" s="1" t="s">
        <v>37</v>
      </c>
      <c r="W9" s="5" t="s">
        <v>38</v>
      </c>
      <c r="X9" s="4">
        <v>45</v>
      </c>
    </row>
    <row r="10" spans="1:24" x14ac:dyDescent="0.3">
      <c r="A10" s="1" t="s">
        <v>22</v>
      </c>
      <c r="B10" s="1" t="s">
        <v>23</v>
      </c>
      <c r="C10" s="1" t="s">
        <v>24</v>
      </c>
      <c r="D10" s="1" t="s">
        <v>13</v>
      </c>
      <c r="E10" s="4">
        <v>14</v>
      </c>
      <c r="F10" s="4">
        <v>12</v>
      </c>
      <c r="G10" s="1" t="s">
        <v>25</v>
      </c>
      <c r="H10" s="1" t="s">
        <v>26</v>
      </c>
      <c r="I10" s="5" t="s">
        <v>27</v>
      </c>
      <c r="J10" s="4">
        <v>38</v>
      </c>
      <c r="L10" s="1" t="s">
        <v>29</v>
      </c>
      <c r="O10" s="1" t="s">
        <v>39</v>
      </c>
      <c r="P10" s="1" t="s">
        <v>11</v>
      </c>
      <c r="Q10" s="1" t="s">
        <v>12</v>
      </c>
      <c r="R10" s="1" t="s">
        <v>31</v>
      </c>
      <c r="S10" s="4">
        <v>19</v>
      </c>
      <c r="T10" s="4">
        <v>10</v>
      </c>
      <c r="U10" s="1" t="s">
        <v>14</v>
      </c>
      <c r="V10" s="1" t="s">
        <v>40</v>
      </c>
      <c r="W10" s="5" t="s">
        <v>41</v>
      </c>
      <c r="X10" s="4">
        <v>36</v>
      </c>
    </row>
    <row r="11" spans="1:24" x14ac:dyDescent="0.3">
      <c r="A11" s="1" t="s">
        <v>28</v>
      </c>
      <c r="B11" s="1" t="s">
        <v>29</v>
      </c>
      <c r="C11" s="1" t="s">
        <v>30</v>
      </c>
      <c r="D11" s="1" t="s">
        <v>31</v>
      </c>
      <c r="E11" s="4">
        <v>20</v>
      </c>
      <c r="F11" s="4">
        <v>9</v>
      </c>
      <c r="G11" s="1" t="s">
        <v>32</v>
      </c>
      <c r="H11" s="1" t="s">
        <v>26</v>
      </c>
      <c r="I11" s="5" t="s">
        <v>33</v>
      </c>
      <c r="J11" s="4">
        <v>84</v>
      </c>
      <c r="L11" s="1" t="s">
        <v>35</v>
      </c>
      <c r="O11" s="1" t="s">
        <v>42</v>
      </c>
      <c r="P11" s="1" t="s">
        <v>29</v>
      </c>
      <c r="Q11" s="1" t="s">
        <v>24</v>
      </c>
      <c r="R11" s="1" t="s">
        <v>31</v>
      </c>
      <c r="S11" s="4">
        <v>20</v>
      </c>
      <c r="T11" s="4">
        <v>9</v>
      </c>
      <c r="U11" s="1" t="s">
        <v>43</v>
      </c>
      <c r="V11" s="1" t="s">
        <v>40</v>
      </c>
      <c r="W11" s="5" t="s">
        <v>44</v>
      </c>
      <c r="X11" s="4">
        <v>88</v>
      </c>
    </row>
    <row r="12" spans="1:24" x14ac:dyDescent="0.3">
      <c r="A12" s="1" t="s">
        <v>34</v>
      </c>
      <c r="B12" s="1" t="s">
        <v>35</v>
      </c>
      <c r="C12" s="1" t="s">
        <v>36</v>
      </c>
      <c r="D12" s="1" t="s">
        <v>31</v>
      </c>
      <c r="E12" s="4">
        <v>17</v>
      </c>
      <c r="F12" s="4">
        <v>10</v>
      </c>
      <c r="G12" s="1" t="s">
        <v>32</v>
      </c>
      <c r="H12" s="1" t="s">
        <v>37</v>
      </c>
      <c r="I12" s="5" t="s">
        <v>38</v>
      </c>
      <c r="J12" s="4">
        <v>45</v>
      </c>
      <c r="L12" s="1" t="s">
        <v>51</v>
      </c>
      <c r="O12" s="1" t="s">
        <v>45</v>
      </c>
      <c r="P12" s="1" t="s">
        <v>35</v>
      </c>
      <c r="Q12" s="1" t="s">
        <v>12</v>
      </c>
      <c r="R12" s="1" t="s">
        <v>13</v>
      </c>
      <c r="S12" s="4">
        <v>19</v>
      </c>
      <c r="T12" s="4">
        <v>12</v>
      </c>
      <c r="U12" s="1" t="s">
        <v>32</v>
      </c>
      <c r="V12" s="1" t="s">
        <v>46</v>
      </c>
      <c r="W12" s="5" t="s">
        <v>47</v>
      </c>
      <c r="X12" s="4">
        <v>60</v>
      </c>
    </row>
    <row r="13" spans="1:24" x14ac:dyDescent="0.3">
      <c r="A13" s="1" t="s">
        <v>39</v>
      </c>
      <c r="B13" s="1" t="s">
        <v>11</v>
      </c>
      <c r="C13" s="1" t="s">
        <v>12</v>
      </c>
      <c r="D13" s="1" t="s">
        <v>31</v>
      </c>
      <c r="E13" s="4">
        <v>19</v>
      </c>
      <c r="F13" s="4">
        <v>10</v>
      </c>
      <c r="G13" s="1" t="s">
        <v>14</v>
      </c>
      <c r="H13" s="1" t="s">
        <v>40</v>
      </c>
      <c r="I13" s="5" t="s">
        <v>41</v>
      </c>
      <c r="J13" s="4">
        <v>36</v>
      </c>
      <c r="L13" s="1" t="s">
        <v>54</v>
      </c>
      <c r="O13" s="1" t="s">
        <v>48</v>
      </c>
      <c r="P13" s="1" t="s">
        <v>18</v>
      </c>
      <c r="Q13" s="1" t="s">
        <v>30</v>
      </c>
      <c r="R13" s="1" t="s">
        <v>31</v>
      </c>
      <c r="S13" s="4">
        <v>19</v>
      </c>
      <c r="T13" s="4">
        <v>12</v>
      </c>
      <c r="U13" s="1" t="s">
        <v>14</v>
      </c>
      <c r="V13" s="1" t="s">
        <v>46</v>
      </c>
      <c r="W13" s="5" t="s">
        <v>49</v>
      </c>
      <c r="X13" s="4">
        <v>92</v>
      </c>
    </row>
    <row r="14" spans="1:24" x14ac:dyDescent="0.3">
      <c r="A14" s="1" t="s">
        <v>42</v>
      </c>
      <c r="B14" s="1" t="s">
        <v>29</v>
      </c>
      <c r="C14" s="1" t="s">
        <v>24</v>
      </c>
      <c r="D14" s="1" t="s">
        <v>31</v>
      </c>
      <c r="E14" s="4">
        <v>20</v>
      </c>
      <c r="F14" s="4">
        <v>9</v>
      </c>
      <c r="G14" s="1" t="s">
        <v>43</v>
      </c>
      <c r="H14" s="1" t="s">
        <v>40</v>
      </c>
      <c r="I14" s="5" t="s">
        <v>44</v>
      </c>
      <c r="J14" s="4">
        <v>88</v>
      </c>
      <c r="L14" s="1" t="s">
        <v>68</v>
      </c>
      <c r="O14" s="1" t="s">
        <v>50</v>
      </c>
      <c r="P14" s="1" t="s">
        <v>51</v>
      </c>
      <c r="Q14" s="1" t="s">
        <v>24</v>
      </c>
      <c r="R14" s="1" t="s">
        <v>31</v>
      </c>
      <c r="S14" s="4">
        <v>15</v>
      </c>
      <c r="T14" s="4">
        <v>9</v>
      </c>
      <c r="U14" s="1" t="s">
        <v>43</v>
      </c>
      <c r="V14" s="1" t="s">
        <v>15</v>
      </c>
      <c r="W14" s="5" t="s">
        <v>52</v>
      </c>
      <c r="X14" s="4">
        <v>90</v>
      </c>
    </row>
    <row r="15" spans="1:24" x14ac:dyDescent="0.3">
      <c r="A15" s="1" t="s">
        <v>45</v>
      </c>
      <c r="B15" s="1" t="s">
        <v>35</v>
      </c>
      <c r="C15" s="1" t="s">
        <v>12</v>
      </c>
      <c r="D15" s="1" t="s">
        <v>13</v>
      </c>
      <c r="E15" s="4">
        <v>19</v>
      </c>
      <c r="F15" s="4">
        <v>12</v>
      </c>
      <c r="G15" s="1" t="s">
        <v>32</v>
      </c>
      <c r="H15" s="1" t="s">
        <v>46</v>
      </c>
      <c r="I15" s="5" t="s">
        <v>47</v>
      </c>
      <c r="J15" s="4">
        <v>60</v>
      </c>
      <c r="L15" s="1" t="s">
        <v>73</v>
      </c>
      <c r="O15" s="1" t="s">
        <v>53</v>
      </c>
      <c r="P15" s="1" t="s">
        <v>54</v>
      </c>
      <c r="Q15" s="1" t="s">
        <v>55</v>
      </c>
      <c r="R15" s="1" t="s">
        <v>31</v>
      </c>
      <c r="S15" s="4">
        <v>20</v>
      </c>
      <c r="T15" s="4">
        <v>10</v>
      </c>
      <c r="U15" s="1" t="s">
        <v>25</v>
      </c>
      <c r="V15" s="1" t="s">
        <v>40</v>
      </c>
      <c r="W15" s="5" t="s">
        <v>56</v>
      </c>
      <c r="X15" s="4">
        <v>59</v>
      </c>
    </row>
    <row r="16" spans="1:24" x14ac:dyDescent="0.3">
      <c r="A16" s="1" t="s">
        <v>48</v>
      </c>
      <c r="B16" s="1" t="s">
        <v>18</v>
      </c>
      <c r="C16" s="1" t="s">
        <v>30</v>
      </c>
      <c r="D16" s="1" t="s">
        <v>31</v>
      </c>
      <c r="E16" s="4">
        <v>19</v>
      </c>
      <c r="F16" s="4">
        <v>12</v>
      </c>
      <c r="G16" s="1" t="s">
        <v>14</v>
      </c>
      <c r="H16" s="1" t="s">
        <v>46</v>
      </c>
      <c r="I16" s="5" t="s">
        <v>49</v>
      </c>
      <c r="J16" s="4">
        <v>92</v>
      </c>
      <c r="L16" s="1" t="s">
        <v>84</v>
      </c>
      <c r="O16" s="1" t="s">
        <v>57</v>
      </c>
      <c r="P16" s="1" t="s">
        <v>51</v>
      </c>
      <c r="Q16" s="1" t="s">
        <v>58</v>
      </c>
      <c r="R16" s="1" t="s">
        <v>13</v>
      </c>
      <c r="S16" s="4">
        <v>14</v>
      </c>
      <c r="T16" s="4">
        <v>12</v>
      </c>
      <c r="U16" s="1" t="s">
        <v>32</v>
      </c>
      <c r="V16" s="1" t="s">
        <v>40</v>
      </c>
      <c r="W16" s="5" t="s">
        <v>59</v>
      </c>
      <c r="X16" s="4">
        <v>43</v>
      </c>
    </row>
    <row r="17" spans="1:24" x14ac:dyDescent="0.3">
      <c r="A17" s="1" t="s">
        <v>50</v>
      </c>
      <c r="B17" s="1" t="s">
        <v>51</v>
      </c>
      <c r="C17" s="1" t="s">
        <v>24</v>
      </c>
      <c r="D17" s="1" t="s">
        <v>31</v>
      </c>
      <c r="E17" s="4">
        <v>15</v>
      </c>
      <c r="F17" s="4">
        <v>9</v>
      </c>
      <c r="G17" s="1" t="s">
        <v>43</v>
      </c>
      <c r="H17" s="1" t="s">
        <v>15</v>
      </c>
      <c r="I17" s="5" t="s">
        <v>52</v>
      </c>
      <c r="J17" s="4">
        <v>90</v>
      </c>
      <c r="O17" s="1" t="s">
        <v>60</v>
      </c>
      <c r="P17" s="1" t="s">
        <v>35</v>
      </c>
      <c r="Q17" s="1" t="s">
        <v>55</v>
      </c>
      <c r="R17" s="1" t="s">
        <v>13</v>
      </c>
      <c r="S17" s="4">
        <v>15</v>
      </c>
      <c r="T17" s="4">
        <v>12</v>
      </c>
      <c r="U17" s="1" t="s">
        <v>14</v>
      </c>
      <c r="V17" s="1" t="s">
        <v>61</v>
      </c>
      <c r="W17" s="5" t="s">
        <v>62</v>
      </c>
      <c r="X17" s="4">
        <v>51</v>
      </c>
    </row>
    <row r="18" spans="1:24" x14ac:dyDescent="0.3">
      <c r="A18" s="1" t="s">
        <v>53</v>
      </c>
      <c r="B18" s="1" t="s">
        <v>54</v>
      </c>
      <c r="C18" s="1" t="s">
        <v>55</v>
      </c>
      <c r="D18" s="1" t="s">
        <v>31</v>
      </c>
      <c r="E18" s="4">
        <v>20</v>
      </c>
      <c r="F18" s="4">
        <v>10</v>
      </c>
      <c r="G18" s="1" t="s">
        <v>25</v>
      </c>
      <c r="H18" s="1" t="s">
        <v>40</v>
      </c>
      <c r="I18" s="5" t="s">
        <v>56</v>
      </c>
      <c r="J18" s="4">
        <v>59</v>
      </c>
      <c r="O18" s="1" t="s">
        <v>63</v>
      </c>
      <c r="P18" s="1" t="s">
        <v>11</v>
      </c>
      <c r="Q18" s="1" t="s">
        <v>55</v>
      </c>
      <c r="R18" s="1" t="s">
        <v>13</v>
      </c>
      <c r="S18" s="4">
        <v>16</v>
      </c>
      <c r="T18" s="4">
        <v>10</v>
      </c>
      <c r="U18" s="1" t="s">
        <v>25</v>
      </c>
      <c r="V18" s="1" t="s">
        <v>26</v>
      </c>
      <c r="W18" s="5" t="s">
        <v>64</v>
      </c>
      <c r="X18" s="4">
        <v>42</v>
      </c>
    </row>
    <row r="19" spans="1:24" x14ac:dyDescent="0.3">
      <c r="A19" s="1" t="s">
        <v>57</v>
      </c>
      <c r="B19" s="1" t="s">
        <v>51</v>
      </c>
      <c r="C19" s="1" t="s">
        <v>58</v>
      </c>
      <c r="D19" s="1" t="s">
        <v>13</v>
      </c>
      <c r="E19" s="4">
        <v>14</v>
      </c>
      <c r="F19" s="4">
        <v>12</v>
      </c>
      <c r="G19" s="1" t="s">
        <v>32</v>
      </c>
      <c r="H19" s="1" t="s">
        <v>40</v>
      </c>
      <c r="I19" s="5" t="s">
        <v>59</v>
      </c>
      <c r="J19" s="4">
        <v>43</v>
      </c>
      <c r="O19" s="1" t="s">
        <v>65</v>
      </c>
      <c r="P19" s="1" t="s">
        <v>23</v>
      </c>
      <c r="Q19" s="1" t="s">
        <v>30</v>
      </c>
      <c r="R19" s="1" t="s">
        <v>13</v>
      </c>
      <c r="S19" s="4">
        <v>20</v>
      </c>
      <c r="T19" s="4">
        <v>12</v>
      </c>
      <c r="U19" s="1" t="s">
        <v>14</v>
      </c>
      <c r="V19" s="1" t="s">
        <v>40</v>
      </c>
      <c r="W19" s="5" t="s">
        <v>66</v>
      </c>
      <c r="X19" s="4">
        <v>62</v>
      </c>
    </row>
    <row r="20" spans="1:24" x14ac:dyDescent="0.3">
      <c r="A20" s="1" t="s">
        <v>60</v>
      </c>
      <c r="B20" s="1" t="s">
        <v>35</v>
      </c>
      <c r="C20" s="1" t="s">
        <v>55</v>
      </c>
      <c r="D20" s="1" t="s">
        <v>13</v>
      </c>
      <c r="E20" s="4">
        <v>15</v>
      </c>
      <c r="F20" s="4">
        <v>12</v>
      </c>
      <c r="G20" s="1" t="s">
        <v>14</v>
      </c>
      <c r="H20" s="1" t="s">
        <v>61</v>
      </c>
      <c r="I20" s="5" t="s">
        <v>62</v>
      </c>
      <c r="J20" s="4">
        <v>51</v>
      </c>
      <c r="O20" s="1" t="s">
        <v>67</v>
      </c>
      <c r="P20" s="1" t="s">
        <v>68</v>
      </c>
      <c r="Q20" s="1" t="s">
        <v>19</v>
      </c>
      <c r="R20" s="1" t="s">
        <v>13</v>
      </c>
      <c r="S20" s="4">
        <v>20</v>
      </c>
      <c r="T20" s="4">
        <v>9</v>
      </c>
      <c r="U20" s="1" t="s">
        <v>14</v>
      </c>
      <c r="V20" s="1" t="s">
        <v>20</v>
      </c>
      <c r="W20" s="5" t="s">
        <v>69</v>
      </c>
      <c r="X20" s="4">
        <v>55</v>
      </c>
    </row>
    <row r="21" spans="1:24" x14ac:dyDescent="0.3">
      <c r="A21" s="1" t="s">
        <v>63</v>
      </c>
      <c r="B21" s="1" t="s">
        <v>11</v>
      </c>
      <c r="C21" s="1" t="s">
        <v>55</v>
      </c>
      <c r="D21" s="1" t="s">
        <v>13</v>
      </c>
      <c r="E21" s="4">
        <v>16</v>
      </c>
      <c r="F21" s="4">
        <v>10</v>
      </c>
      <c r="G21" s="1" t="s">
        <v>25</v>
      </c>
      <c r="H21" s="1" t="s">
        <v>26</v>
      </c>
      <c r="I21" s="5" t="s">
        <v>64</v>
      </c>
      <c r="J21" s="4">
        <v>42</v>
      </c>
      <c r="O21" s="1" t="s">
        <v>70</v>
      </c>
      <c r="P21" s="1" t="s">
        <v>51</v>
      </c>
      <c r="Q21" s="1" t="s">
        <v>36</v>
      </c>
      <c r="R21" s="1" t="s">
        <v>13</v>
      </c>
      <c r="S21" s="4">
        <v>14</v>
      </c>
      <c r="T21" s="4">
        <v>12</v>
      </c>
      <c r="U21" s="1" t="s">
        <v>25</v>
      </c>
      <c r="V21" s="1" t="s">
        <v>37</v>
      </c>
      <c r="W21" s="5" t="s">
        <v>71</v>
      </c>
      <c r="X21" s="4">
        <v>42</v>
      </c>
    </row>
    <row r="22" spans="1:24" x14ac:dyDescent="0.3">
      <c r="A22" s="1" t="s">
        <v>65</v>
      </c>
      <c r="B22" s="1" t="s">
        <v>23</v>
      </c>
      <c r="C22" s="1" t="s">
        <v>30</v>
      </c>
      <c r="D22" s="1" t="s">
        <v>13</v>
      </c>
      <c r="E22" s="4">
        <v>20</v>
      </c>
      <c r="F22" s="4">
        <v>12</v>
      </c>
      <c r="G22" s="1" t="s">
        <v>14</v>
      </c>
      <c r="H22" s="1" t="s">
        <v>40</v>
      </c>
      <c r="I22" s="5" t="s">
        <v>66</v>
      </c>
      <c r="J22" s="4">
        <v>62</v>
      </c>
      <c r="O22" s="1" t="s">
        <v>72</v>
      </c>
      <c r="P22" s="1" t="s">
        <v>73</v>
      </c>
      <c r="Q22" s="1" t="s">
        <v>58</v>
      </c>
      <c r="R22" s="1" t="s">
        <v>31</v>
      </c>
      <c r="S22" s="4">
        <v>19</v>
      </c>
      <c r="T22" s="4">
        <v>9</v>
      </c>
      <c r="U22" s="1" t="s">
        <v>32</v>
      </c>
      <c r="V22" s="1" t="s">
        <v>46</v>
      </c>
      <c r="W22" s="5" t="s">
        <v>74</v>
      </c>
      <c r="X22" s="4">
        <v>76</v>
      </c>
    </row>
    <row r="23" spans="1:24" x14ac:dyDescent="0.3">
      <c r="A23" s="1" t="s">
        <v>67</v>
      </c>
      <c r="B23" s="1" t="s">
        <v>68</v>
      </c>
      <c r="C23" s="1" t="s">
        <v>19</v>
      </c>
      <c r="D23" s="1" t="s">
        <v>13</v>
      </c>
      <c r="E23" s="4">
        <v>20</v>
      </c>
      <c r="F23" s="4">
        <v>9</v>
      </c>
      <c r="G23" s="1" t="s">
        <v>14</v>
      </c>
      <c r="H23" s="1" t="s">
        <v>20</v>
      </c>
      <c r="I23" s="5" t="s">
        <v>69</v>
      </c>
      <c r="J23" s="4">
        <v>55</v>
      </c>
      <c r="O23" s="1" t="s">
        <v>75</v>
      </c>
      <c r="P23" s="1" t="s">
        <v>29</v>
      </c>
      <c r="Q23" s="1" t="s">
        <v>58</v>
      </c>
      <c r="R23" s="1" t="s">
        <v>31</v>
      </c>
      <c r="S23" s="4">
        <v>17</v>
      </c>
      <c r="T23" s="4">
        <v>12</v>
      </c>
      <c r="U23" s="1" t="s">
        <v>32</v>
      </c>
      <c r="V23" s="1" t="s">
        <v>76</v>
      </c>
      <c r="W23" s="5" t="s">
        <v>77</v>
      </c>
      <c r="X23" s="4">
        <v>66</v>
      </c>
    </row>
    <row r="24" spans="1:24" x14ac:dyDescent="0.3">
      <c r="A24" s="1" t="s">
        <v>70</v>
      </c>
      <c r="B24" s="1" t="s">
        <v>51</v>
      </c>
      <c r="C24" s="1" t="s">
        <v>36</v>
      </c>
      <c r="D24" s="1" t="s">
        <v>13</v>
      </c>
      <c r="E24" s="4">
        <v>14</v>
      </c>
      <c r="F24" s="4">
        <v>12</v>
      </c>
      <c r="G24" s="1" t="s">
        <v>25</v>
      </c>
      <c r="H24" s="1" t="s">
        <v>37</v>
      </c>
      <c r="I24" s="5" t="s">
        <v>71</v>
      </c>
      <c r="J24" s="4">
        <v>42</v>
      </c>
      <c r="O24" s="1" t="s">
        <v>78</v>
      </c>
      <c r="P24" s="1" t="s">
        <v>68</v>
      </c>
      <c r="Q24" s="1" t="s">
        <v>79</v>
      </c>
      <c r="R24" s="1" t="s">
        <v>31</v>
      </c>
      <c r="S24" s="4">
        <v>15</v>
      </c>
      <c r="T24" s="4">
        <v>10</v>
      </c>
      <c r="U24" s="1" t="s">
        <v>14</v>
      </c>
      <c r="V24" s="1" t="s">
        <v>20</v>
      </c>
      <c r="W24" s="5" t="s">
        <v>80</v>
      </c>
      <c r="X24" s="4">
        <v>59</v>
      </c>
    </row>
    <row r="25" spans="1:24" x14ac:dyDescent="0.3">
      <c r="A25" s="1" t="s">
        <v>72</v>
      </c>
      <c r="B25" s="1" t="s">
        <v>73</v>
      </c>
      <c r="C25" s="1" t="s">
        <v>58</v>
      </c>
      <c r="D25" s="1" t="s">
        <v>31</v>
      </c>
      <c r="E25" s="4">
        <v>19</v>
      </c>
      <c r="F25" s="4">
        <v>9</v>
      </c>
      <c r="G25" s="1" t="s">
        <v>32</v>
      </c>
      <c r="H25" s="1" t="s">
        <v>46</v>
      </c>
      <c r="I25" s="5" t="s">
        <v>74</v>
      </c>
      <c r="J25" s="4">
        <v>76</v>
      </c>
      <c r="O25" s="1" t="s">
        <v>81</v>
      </c>
      <c r="P25" s="1" t="s">
        <v>29</v>
      </c>
      <c r="Q25" s="1" t="s">
        <v>58</v>
      </c>
      <c r="R25" s="1" t="s">
        <v>31</v>
      </c>
      <c r="S25" s="4">
        <v>19</v>
      </c>
      <c r="T25" s="4">
        <v>9</v>
      </c>
      <c r="U25" s="1" t="s">
        <v>14</v>
      </c>
      <c r="V25" s="1" t="s">
        <v>61</v>
      </c>
      <c r="W25" s="5" t="s">
        <v>82</v>
      </c>
      <c r="X25" s="4">
        <v>50</v>
      </c>
    </row>
    <row r="26" spans="1:24" x14ac:dyDescent="0.3">
      <c r="A26" s="1" t="s">
        <v>75</v>
      </c>
      <c r="B26" s="1" t="s">
        <v>29</v>
      </c>
      <c r="C26" s="1" t="s">
        <v>58</v>
      </c>
      <c r="D26" s="1" t="s">
        <v>31</v>
      </c>
      <c r="E26" s="4">
        <v>17</v>
      </c>
      <c r="F26" s="4">
        <v>12</v>
      </c>
      <c r="G26" s="1" t="s">
        <v>32</v>
      </c>
      <c r="H26" s="1" t="s">
        <v>76</v>
      </c>
      <c r="I26" s="5" t="s">
        <v>77</v>
      </c>
      <c r="J26" s="4">
        <v>66</v>
      </c>
      <c r="O26" s="1" t="s">
        <v>83</v>
      </c>
      <c r="P26" s="1" t="s">
        <v>84</v>
      </c>
      <c r="Q26" s="1" t="s">
        <v>85</v>
      </c>
      <c r="R26" s="1" t="s">
        <v>31</v>
      </c>
      <c r="S26" s="4">
        <v>16</v>
      </c>
      <c r="T26" s="4">
        <v>9</v>
      </c>
      <c r="U26" s="1" t="s">
        <v>43</v>
      </c>
      <c r="V26" s="1" t="s">
        <v>37</v>
      </c>
      <c r="W26" s="5" t="s">
        <v>86</v>
      </c>
      <c r="X26" s="4">
        <v>52</v>
      </c>
    </row>
    <row r="27" spans="1:24" x14ac:dyDescent="0.3">
      <c r="A27" s="1" t="s">
        <v>78</v>
      </c>
      <c r="B27" s="1" t="s">
        <v>68</v>
      </c>
      <c r="C27" s="1" t="s">
        <v>79</v>
      </c>
      <c r="D27" s="1" t="s">
        <v>31</v>
      </c>
      <c r="E27" s="4">
        <v>15</v>
      </c>
      <c r="F27" s="4">
        <v>10</v>
      </c>
      <c r="G27" s="1" t="s">
        <v>14</v>
      </c>
      <c r="H27" s="1" t="s">
        <v>20</v>
      </c>
      <c r="I27" s="5" t="s">
        <v>80</v>
      </c>
      <c r="J27" s="4">
        <v>59</v>
      </c>
      <c r="O27" s="1" t="s">
        <v>87</v>
      </c>
      <c r="P27" s="1" t="s">
        <v>18</v>
      </c>
      <c r="Q27" s="1" t="s">
        <v>12</v>
      </c>
      <c r="R27" s="1" t="s">
        <v>13</v>
      </c>
      <c r="S27" s="4">
        <v>20</v>
      </c>
      <c r="T27" s="4">
        <v>12</v>
      </c>
      <c r="U27" s="1" t="s">
        <v>32</v>
      </c>
      <c r="V27" s="1" t="s">
        <v>26</v>
      </c>
      <c r="W27" s="5" t="s">
        <v>88</v>
      </c>
      <c r="X27" s="4">
        <v>86</v>
      </c>
    </row>
    <row r="28" spans="1:24" x14ac:dyDescent="0.3">
      <c r="A28" s="1" t="s">
        <v>81</v>
      </c>
      <c r="B28" s="1" t="s">
        <v>29</v>
      </c>
      <c r="C28" s="1" t="s">
        <v>58</v>
      </c>
      <c r="D28" s="1" t="s">
        <v>31</v>
      </c>
      <c r="E28" s="4">
        <v>19</v>
      </c>
      <c r="F28" s="4">
        <v>9</v>
      </c>
      <c r="G28" s="1" t="s">
        <v>14</v>
      </c>
      <c r="H28" s="1" t="s">
        <v>61</v>
      </c>
      <c r="I28" s="5" t="s">
        <v>82</v>
      </c>
      <c r="J28" s="4">
        <v>50</v>
      </c>
      <c r="O28" s="1" t="s">
        <v>89</v>
      </c>
      <c r="P28" s="1" t="s">
        <v>68</v>
      </c>
      <c r="Q28" s="1" t="s">
        <v>85</v>
      </c>
      <c r="R28" s="1" t="s">
        <v>31</v>
      </c>
      <c r="S28" s="4">
        <v>16</v>
      </c>
      <c r="T28" s="4">
        <v>9</v>
      </c>
      <c r="U28" s="1" t="s">
        <v>43</v>
      </c>
      <c r="V28" s="1" t="s">
        <v>20</v>
      </c>
      <c r="W28" s="5" t="s">
        <v>90</v>
      </c>
      <c r="X28" s="4">
        <v>52</v>
      </c>
    </row>
    <row r="29" spans="1:24" x14ac:dyDescent="0.3">
      <c r="A29" s="1" t="s">
        <v>83</v>
      </c>
      <c r="B29" s="1" t="s">
        <v>84</v>
      </c>
      <c r="C29" s="1" t="s">
        <v>85</v>
      </c>
      <c r="D29" s="1" t="s">
        <v>31</v>
      </c>
      <c r="E29" s="4">
        <v>16</v>
      </c>
      <c r="F29" s="4">
        <v>9</v>
      </c>
      <c r="G29" s="1" t="s">
        <v>43</v>
      </c>
      <c r="H29" s="1" t="s">
        <v>37</v>
      </c>
      <c r="I29" s="5" t="s">
        <v>86</v>
      </c>
      <c r="J29" s="4">
        <v>52</v>
      </c>
      <c r="O29" s="1" t="s">
        <v>91</v>
      </c>
      <c r="P29" s="1" t="s">
        <v>73</v>
      </c>
      <c r="Q29" s="1" t="s">
        <v>12</v>
      </c>
      <c r="R29" s="1" t="s">
        <v>13</v>
      </c>
      <c r="S29" s="4">
        <v>20</v>
      </c>
      <c r="T29" s="4">
        <v>10</v>
      </c>
      <c r="U29" s="1" t="s">
        <v>43</v>
      </c>
      <c r="V29" s="1" t="s">
        <v>46</v>
      </c>
      <c r="W29" s="5" t="s">
        <v>92</v>
      </c>
      <c r="X29" s="4">
        <v>82</v>
      </c>
    </row>
    <row r="30" spans="1:24" x14ac:dyDescent="0.3">
      <c r="A30" s="1" t="s">
        <v>87</v>
      </c>
      <c r="B30" s="1" t="s">
        <v>18</v>
      </c>
      <c r="C30" s="1" t="s">
        <v>12</v>
      </c>
      <c r="D30" s="1" t="s">
        <v>13</v>
      </c>
      <c r="E30" s="4">
        <v>20</v>
      </c>
      <c r="F30" s="4">
        <v>12</v>
      </c>
      <c r="G30" s="1" t="s">
        <v>32</v>
      </c>
      <c r="H30" s="1" t="s">
        <v>26</v>
      </c>
      <c r="I30" s="5" t="s">
        <v>88</v>
      </c>
      <c r="J30" s="4">
        <v>86</v>
      </c>
      <c r="O30" s="1" t="s">
        <v>93</v>
      </c>
      <c r="P30" s="1" t="s">
        <v>29</v>
      </c>
      <c r="Q30" s="1" t="s">
        <v>24</v>
      </c>
      <c r="R30" s="1" t="s">
        <v>31</v>
      </c>
      <c r="S30" s="4">
        <v>14</v>
      </c>
      <c r="T30" s="4">
        <v>12</v>
      </c>
      <c r="U30" s="1" t="s">
        <v>32</v>
      </c>
      <c r="V30" s="1" t="s">
        <v>61</v>
      </c>
      <c r="W30" s="5" t="s">
        <v>94</v>
      </c>
      <c r="X30" s="4">
        <v>72</v>
      </c>
    </row>
    <row r="31" spans="1:24" x14ac:dyDescent="0.3">
      <c r="A31" s="1" t="s">
        <v>89</v>
      </c>
      <c r="B31" s="1" t="s">
        <v>68</v>
      </c>
      <c r="C31" s="1" t="s">
        <v>85</v>
      </c>
      <c r="D31" s="1" t="s">
        <v>31</v>
      </c>
      <c r="E31" s="4">
        <v>16</v>
      </c>
      <c r="F31" s="4">
        <v>9</v>
      </c>
      <c r="G31" s="1" t="s">
        <v>43</v>
      </c>
      <c r="H31" s="1" t="s">
        <v>20</v>
      </c>
      <c r="I31" s="5" t="s">
        <v>90</v>
      </c>
      <c r="J31" s="4">
        <v>52</v>
      </c>
      <c r="O31" s="1" t="s">
        <v>95</v>
      </c>
      <c r="P31" s="1" t="s">
        <v>18</v>
      </c>
      <c r="Q31" s="1" t="s">
        <v>96</v>
      </c>
      <c r="R31" s="1" t="s">
        <v>13</v>
      </c>
      <c r="S31" s="4">
        <v>19</v>
      </c>
      <c r="T31" s="4">
        <v>12</v>
      </c>
      <c r="U31" s="1" t="s">
        <v>14</v>
      </c>
      <c r="V31" s="1" t="s">
        <v>15</v>
      </c>
      <c r="W31" s="5" t="s">
        <v>97</v>
      </c>
      <c r="X31" s="4">
        <v>56</v>
      </c>
    </row>
    <row r="32" spans="1:24" x14ac:dyDescent="0.3">
      <c r="A32" s="1" t="s">
        <v>91</v>
      </c>
      <c r="B32" s="1" t="s">
        <v>73</v>
      </c>
      <c r="C32" s="1" t="s">
        <v>12</v>
      </c>
      <c r="D32" s="1" t="s">
        <v>13</v>
      </c>
      <c r="E32" s="4">
        <v>20</v>
      </c>
      <c r="F32" s="4">
        <v>10</v>
      </c>
      <c r="G32" s="1" t="s">
        <v>43</v>
      </c>
      <c r="H32" s="1" t="s">
        <v>46</v>
      </c>
      <c r="I32" s="5" t="s">
        <v>92</v>
      </c>
      <c r="J32" s="4">
        <v>82</v>
      </c>
      <c r="O32" s="1" t="s">
        <v>98</v>
      </c>
      <c r="P32" s="1" t="s">
        <v>68</v>
      </c>
      <c r="Q32" s="1" t="s">
        <v>55</v>
      </c>
      <c r="R32" s="1" t="s">
        <v>13</v>
      </c>
      <c r="S32" s="4">
        <v>19</v>
      </c>
      <c r="T32" s="4">
        <v>11</v>
      </c>
      <c r="U32" s="1" t="s">
        <v>43</v>
      </c>
      <c r="V32" s="1" t="s">
        <v>15</v>
      </c>
      <c r="W32" s="5" t="s">
        <v>99</v>
      </c>
      <c r="X32" s="4">
        <v>56</v>
      </c>
    </row>
    <row r="33" spans="1:24" x14ac:dyDescent="0.3">
      <c r="A33" s="1" t="s">
        <v>93</v>
      </c>
      <c r="B33" s="1" t="s">
        <v>29</v>
      </c>
      <c r="C33" s="1" t="s">
        <v>24</v>
      </c>
      <c r="D33" s="1" t="s">
        <v>31</v>
      </c>
      <c r="E33" s="4">
        <v>14</v>
      </c>
      <c r="F33" s="4">
        <v>12</v>
      </c>
      <c r="G33" s="1" t="s">
        <v>32</v>
      </c>
      <c r="H33" s="1" t="s">
        <v>61</v>
      </c>
      <c r="I33" s="5" t="s">
        <v>94</v>
      </c>
      <c r="J33" s="4">
        <v>72</v>
      </c>
      <c r="O33" s="1" t="s">
        <v>100</v>
      </c>
      <c r="P33" s="1" t="s">
        <v>35</v>
      </c>
      <c r="Q33" s="1" t="s">
        <v>12</v>
      </c>
      <c r="R33" s="1" t="s">
        <v>31</v>
      </c>
      <c r="S33" s="4">
        <v>19</v>
      </c>
      <c r="T33" s="4">
        <v>12</v>
      </c>
      <c r="U33" s="1" t="s">
        <v>25</v>
      </c>
      <c r="V33" s="1" t="s">
        <v>76</v>
      </c>
      <c r="W33" s="5" t="s">
        <v>101</v>
      </c>
      <c r="X33" s="4">
        <v>54</v>
      </c>
    </row>
    <row r="34" spans="1:24" x14ac:dyDescent="0.3">
      <c r="A34" s="1" t="s">
        <v>95</v>
      </c>
      <c r="B34" s="1" t="s">
        <v>18</v>
      </c>
      <c r="C34" s="1" t="s">
        <v>96</v>
      </c>
      <c r="D34" s="1" t="s">
        <v>13</v>
      </c>
      <c r="E34" s="4">
        <v>19</v>
      </c>
      <c r="F34" s="4">
        <v>12</v>
      </c>
      <c r="G34" s="1" t="s">
        <v>14</v>
      </c>
      <c r="H34" s="1" t="s">
        <v>15</v>
      </c>
      <c r="I34" s="5" t="s">
        <v>97</v>
      </c>
      <c r="J34" s="4">
        <v>56</v>
      </c>
      <c r="O34" s="1" t="s">
        <v>102</v>
      </c>
      <c r="P34" s="1" t="s">
        <v>35</v>
      </c>
      <c r="Q34" s="1" t="s">
        <v>12</v>
      </c>
      <c r="R34" s="1" t="s">
        <v>13</v>
      </c>
      <c r="S34" s="4">
        <v>20</v>
      </c>
      <c r="T34" s="4">
        <v>11</v>
      </c>
      <c r="U34" s="1" t="s">
        <v>14</v>
      </c>
      <c r="V34" s="1" t="s">
        <v>26</v>
      </c>
      <c r="W34" s="5" t="s">
        <v>103</v>
      </c>
      <c r="X34" s="4">
        <v>70</v>
      </c>
    </row>
    <row r="35" spans="1:24" x14ac:dyDescent="0.3">
      <c r="A35" s="1" t="s">
        <v>98</v>
      </c>
      <c r="B35" s="1" t="s">
        <v>68</v>
      </c>
      <c r="C35" s="1" t="s">
        <v>55</v>
      </c>
      <c r="D35" s="1" t="s">
        <v>13</v>
      </c>
      <c r="E35" s="4">
        <v>19</v>
      </c>
      <c r="F35" s="4">
        <v>11</v>
      </c>
      <c r="G35" s="1" t="s">
        <v>43</v>
      </c>
      <c r="H35" s="1" t="s">
        <v>15</v>
      </c>
      <c r="I35" s="5" t="s">
        <v>99</v>
      </c>
      <c r="J35" s="4">
        <v>56</v>
      </c>
      <c r="O35" s="1" t="s">
        <v>104</v>
      </c>
      <c r="P35" s="1" t="s">
        <v>29</v>
      </c>
      <c r="Q35" s="1" t="s">
        <v>79</v>
      </c>
      <c r="R35" s="1" t="s">
        <v>31</v>
      </c>
      <c r="S35" s="4">
        <v>18</v>
      </c>
      <c r="T35" s="4">
        <v>10</v>
      </c>
      <c r="U35" s="1" t="s">
        <v>25</v>
      </c>
      <c r="V35" s="1" t="s">
        <v>61</v>
      </c>
      <c r="W35" s="5" t="s">
        <v>105</v>
      </c>
      <c r="X35" s="4">
        <v>57</v>
      </c>
    </row>
    <row r="36" spans="1:24" x14ac:dyDescent="0.3">
      <c r="A36" s="1" t="s">
        <v>100</v>
      </c>
      <c r="B36" s="1" t="s">
        <v>35</v>
      </c>
      <c r="C36" s="1" t="s">
        <v>12</v>
      </c>
      <c r="D36" s="1" t="s">
        <v>31</v>
      </c>
      <c r="E36" s="4">
        <v>19</v>
      </c>
      <c r="F36" s="4">
        <v>12</v>
      </c>
      <c r="G36" s="1" t="s">
        <v>25</v>
      </c>
      <c r="H36" s="1" t="s">
        <v>76</v>
      </c>
      <c r="I36" s="5" t="s">
        <v>101</v>
      </c>
      <c r="J36" s="4">
        <v>54</v>
      </c>
      <c r="O36" s="1" t="s">
        <v>106</v>
      </c>
      <c r="P36" s="1" t="s">
        <v>51</v>
      </c>
      <c r="Q36" s="1" t="s">
        <v>55</v>
      </c>
      <c r="R36" s="1" t="s">
        <v>13</v>
      </c>
      <c r="S36" s="4">
        <v>20</v>
      </c>
      <c r="T36" s="4">
        <v>9</v>
      </c>
      <c r="U36" s="1" t="s">
        <v>32</v>
      </c>
      <c r="V36" s="1" t="s">
        <v>26</v>
      </c>
      <c r="W36" s="5" t="s">
        <v>107</v>
      </c>
      <c r="X36" s="4">
        <v>91</v>
      </c>
    </row>
    <row r="37" spans="1:24" x14ac:dyDescent="0.3">
      <c r="A37" s="1" t="s">
        <v>102</v>
      </c>
      <c r="B37" s="1" t="s">
        <v>35</v>
      </c>
      <c r="C37" s="1" t="s">
        <v>12</v>
      </c>
      <c r="D37" s="1" t="s">
        <v>13</v>
      </c>
      <c r="E37" s="4">
        <v>20</v>
      </c>
      <c r="F37" s="4">
        <v>11</v>
      </c>
      <c r="G37" s="1" t="s">
        <v>14</v>
      </c>
      <c r="H37" s="1" t="s">
        <v>26</v>
      </c>
      <c r="I37" s="5" t="s">
        <v>103</v>
      </c>
      <c r="J37" s="4">
        <v>70</v>
      </c>
      <c r="O37" s="1" t="s">
        <v>108</v>
      </c>
      <c r="P37" s="1" t="s">
        <v>29</v>
      </c>
      <c r="Q37" s="1" t="s">
        <v>96</v>
      </c>
      <c r="R37" s="1" t="s">
        <v>31</v>
      </c>
      <c r="S37" s="4">
        <v>15</v>
      </c>
      <c r="T37" s="4">
        <v>11</v>
      </c>
      <c r="U37" s="1" t="s">
        <v>43</v>
      </c>
      <c r="V37" s="1" t="s">
        <v>26</v>
      </c>
      <c r="W37" s="5" t="s">
        <v>109</v>
      </c>
      <c r="X37" s="4">
        <v>77</v>
      </c>
    </row>
    <row r="38" spans="1:24" x14ac:dyDescent="0.3">
      <c r="A38" s="1" t="s">
        <v>104</v>
      </c>
      <c r="B38" s="1" t="s">
        <v>29</v>
      </c>
      <c r="C38" s="1" t="s">
        <v>79</v>
      </c>
      <c r="D38" s="1" t="s">
        <v>31</v>
      </c>
      <c r="E38" s="4">
        <v>18</v>
      </c>
      <c r="F38" s="4">
        <v>10</v>
      </c>
      <c r="G38" s="1" t="s">
        <v>25</v>
      </c>
      <c r="H38" s="1" t="s">
        <v>61</v>
      </c>
      <c r="I38" s="5" t="s">
        <v>105</v>
      </c>
      <c r="J38" s="4">
        <v>57</v>
      </c>
      <c r="O38" s="1" t="s">
        <v>110</v>
      </c>
      <c r="P38" s="1" t="s">
        <v>51</v>
      </c>
      <c r="Q38" s="1" t="s">
        <v>58</v>
      </c>
      <c r="R38" s="1" t="s">
        <v>31</v>
      </c>
      <c r="S38" s="4">
        <v>14</v>
      </c>
      <c r="T38" s="4">
        <v>10</v>
      </c>
      <c r="U38" s="1" t="s">
        <v>32</v>
      </c>
      <c r="V38" s="1" t="s">
        <v>76</v>
      </c>
      <c r="W38" s="5" t="s">
        <v>111</v>
      </c>
      <c r="X38" s="4">
        <v>60</v>
      </c>
    </row>
    <row r="39" spans="1:24" x14ac:dyDescent="0.3">
      <c r="A39" s="1" t="s">
        <v>106</v>
      </c>
      <c r="B39" s="1" t="s">
        <v>51</v>
      </c>
      <c r="C39" s="1" t="s">
        <v>55</v>
      </c>
      <c r="D39" s="1" t="s">
        <v>13</v>
      </c>
      <c r="E39" s="4">
        <v>20</v>
      </c>
      <c r="F39" s="4">
        <v>9</v>
      </c>
      <c r="G39" s="1" t="s">
        <v>32</v>
      </c>
      <c r="H39" s="1" t="s">
        <v>26</v>
      </c>
      <c r="I39" s="5" t="s">
        <v>107</v>
      </c>
      <c r="J39" s="4">
        <v>91</v>
      </c>
      <c r="O39" s="1" t="s">
        <v>112</v>
      </c>
      <c r="P39" s="1" t="s">
        <v>73</v>
      </c>
      <c r="Q39" s="1" t="s">
        <v>30</v>
      </c>
      <c r="R39" s="1" t="s">
        <v>13</v>
      </c>
      <c r="S39" s="4">
        <v>15</v>
      </c>
      <c r="T39" s="4">
        <v>9</v>
      </c>
      <c r="U39" s="1" t="s">
        <v>14</v>
      </c>
      <c r="V39" s="1" t="s">
        <v>26</v>
      </c>
      <c r="W39" s="5" t="s">
        <v>113</v>
      </c>
      <c r="X39" s="4">
        <v>58</v>
      </c>
    </row>
    <row r="40" spans="1:24" x14ac:dyDescent="0.3">
      <c r="A40" s="1" t="s">
        <v>108</v>
      </c>
      <c r="B40" s="1" t="s">
        <v>29</v>
      </c>
      <c r="C40" s="1" t="s">
        <v>96</v>
      </c>
      <c r="D40" s="1" t="s">
        <v>31</v>
      </c>
      <c r="E40" s="4">
        <v>15</v>
      </c>
      <c r="F40" s="4">
        <v>11</v>
      </c>
      <c r="G40" s="1" t="s">
        <v>43</v>
      </c>
      <c r="H40" s="1" t="s">
        <v>26</v>
      </c>
      <c r="I40" s="5" t="s">
        <v>109</v>
      </c>
      <c r="J40" s="4">
        <v>77</v>
      </c>
      <c r="O40" s="1" t="s">
        <v>114</v>
      </c>
      <c r="P40" s="1" t="s">
        <v>73</v>
      </c>
      <c r="Q40" s="1" t="s">
        <v>58</v>
      </c>
      <c r="R40" s="1" t="s">
        <v>13</v>
      </c>
      <c r="S40" s="4">
        <v>20</v>
      </c>
      <c r="T40" s="4">
        <v>9</v>
      </c>
      <c r="U40" s="1" t="s">
        <v>25</v>
      </c>
      <c r="V40" s="1" t="s">
        <v>46</v>
      </c>
      <c r="W40" s="5" t="s">
        <v>115</v>
      </c>
      <c r="X40" s="4">
        <v>40</v>
      </c>
    </row>
    <row r="41" spans="1:24" x14ac:dyDescent="0.3">
      <c r="A41" s="1" t="s">
        <v>110</v>
      </c>
      <c r="B41" s="1" t="s">
        <v>51</v>
      </c>
      <c r="C41" s="1" t="s">
        <v>58</v>
      </c>
      <c r="D41" s="1" t="s">
        <v>31</v>
      </c>
      <c r="E41" s="4">
        <v>14</v>
      </c>
      <c r="F41" s="4">
        <v>10</v>
      </c>
      <c r="G41" s="1" t="s">
        <v>32</v>
      </c>
      <c r="H41" s="1" t="s">
        <v>76</v>
      </c>
      <c r="I41" s="5" t="s">
        <v>111</v>
      </c>
      <c r="J41" s="4">
        <v>60</v>
      </c>
      <c r="O41" s="1" t="s">
        <v>116</v>
      </c>
      <c r="P41" s="1" t="s">
        <v>84</v>
      </c>
      <c r="Q41" s="1" t="s">
        <v>19</v>
      </c>
      <c r="R41" s="1" t="s">
        <v>13</v>
      </c>
      <c r="S41" s="4">
        <v>19</v>
      </c>
      <c r="T41" s="4">
        <v>12</v>
      </c>
      <c r="U41" s="1" t="s">
        <v>14</v>
      </c>
      <c r="V41" s="1" t="s">
        <v>20</v>
      </c>
      <c r="W41" s="5" t="s">
        <v>117</v>
      </c>
      <c r="X41" s="4">
        <v>56</v>
      </c>
    </row>
    <row r="42" spans="1:24" x14ac:dyDescent="0.3">
      <c r="A42" s="1" t="s">
        <v>112</v>
      </c>
      <c r="B42" s="1" t="s">
        <v>73</v>
      </c>
      <c r="C42" s="1" t="s">
        <v>30</v>
      </c>
      <c r="D42" s="1" t="s">
        <v>13</v>
      </c>
      <c r="E42" s="4">
        <v>15</v>
      </c>
      <c r="F42" s="4">
        <v>9</v>
      </c>
      <c r="G42" s="1" t="s">
        <v>14</v>
      </c>
      <c r="H42" s="1" t="s">
        <v>26</v>
      </c>
      <c r="I42" s="5" t="s">
        <v>113</v>
      </c>
      <c r="J42" s="4">
        <v>58</v>
      </c>
      <c r="O42" s="1" t="s">
        <v>118</v>
      </c>
      <c r="P42" s="1" t="s">
        <v>84</v>
      </c>
      <c r="Q42" s="1" t="s">
        <v>58</v>
      </c>
      <c r="R42" s="1" t="s">
        <v>31</v>
      </c>
      <c r="S42" s="4">
        <v>20</v>
      </c>
      <c r="T42" s="4">
        <v>10</v>
      </c>
      <c r="U42" s="1" t="s">
        <v>32</v>
      </c>
      <c r="V42" s="1" t="s">
        <v>26</v>
      </c>
      <c r="W42" s="5" t="s">
        <v>119</v>
      </c>
      <c r="X42" s="4">
        <v>52</v>
      </c>
    </row>
    <row r="43" spans="1:24" x14ac:dyDescent="0.3">
      <c r="A43" s="1" t="s">
        <v>114</v>
      </c>
      <c r="B43" s="1" t="s">
        <v>73</v>
      </c>
      <c r="C43" s="1" t="s">
        <v>58</v>
      </c>
      <c r="D43" s="1" t="s">
        <v>13</v>
      </c>
      <c r="E43" s="4">
        <v>20</v>
      </c>
      <c r="F43" s="4">
        <v>9</v>
      </c>
      <c r="G43" s="1" t="s">
        <v>25</v>
      </c>
      <c r="H43" s="1" t="s">
        <v>46</v>
      </c>
      <c r="I43" s="5" t="s">
        <v>115</v>
      </c>
      <c r="J43" s="4">
        <v>40</v>
      </c>
      <c r="O43" s="1" t="s">
        <v>120</v>
      </c>
      <c r="P43" s="1" t="s">
        <v>35</v>
      </c>
      <c r="Q43" s="1" t="s">
        <v>36</v>
      </c>
      <c r="R43" s="1" t="s">
        <v>31</v>
      </c>
      <c r="S43" s="4">
        <v>20</v>
      </c>
      <c r="T43" s="4">
        <v>10</v>
      </c>
      <c r="U43" s="1" t="s">
        <v>43</v>
      </c>
      <c r="V43" s="1" t="s">
        <v>61</v>
      </c>
      <c r="W43" s="5" t="s">
        <v>121</v>
      </c>
      <c r="X43" s="4">
        <v>37</v>
      </c>
    </row>
    <row r="44" spans="1:24" x14ac:dyDescent="0.3">
      <c r="A44" s="1" t="s">
        <v>116</v>
      </c>
      <c r="B44" s="1" t="s">
        <v>84</v>
      </c>
      <c r="C44" s="1" t="s">
        <v>19</v>
      </c>
      <c r="D44" s="1" t="s">
        <v>13</v>
      </c>
      <c r="E44" s="4">
        <v>19</v>
      </c>
      <c r="F44" s="4">
        <v>12</v>
      </c>
      <c r="G44" s="1" t="s">
        <v>14</v>
      </c>
      <c r="H44" s="1" t="s">
        <v>20</v>
      </c>
      <c r="I44" s="5" t="s">
        <v>117</v>
      </c>
      <c r="J44" s="4">
        <v>56</v>
      </c>
      <c r="O44" s="1" t="s">
        <v>122</v>
      </c>
      <c r="P44" s="1" t="s">
        <v>18</v>
      </c>
      <c r="Q44" s="1" t="s">
        <v>19</v>
      </c>
      <c r="R44" s="1" t="s">
        <v>13</v>
      </c>
      <c r="S44" s="4">
        <v>15</v>
      </c>
      <c r="T44" s="4">
        <v>10</v>
      </c>
      <c r="U44" s="1" t="s">
        <v>32</v>
      </c>
      <c r="V44" s="1" t="s">
        <v>20</v>
      </c>
      <c r="W44" s="5" t="s">
        <v>123</v>
      </c>
      <c r="X44" s="4">
        <v>51</v>
      </c>
    </row>
    <row r="45" spans="1:24" x14ac:dyDescent="0.3">
      <c r="A45" s="1" t="s">
        <v>118</v>
      </c>
      <c r="B45" s="1" t="s">
        <v>84</v>
      </c>
      <c r="C45" s="1" t="s">
        <v>58</v>
      </c>
      <c r="D45" s="1" t="s">
        <v>31</v>
      </c>
      <c r="E45" s="4">
        <v>20</v>
      </c>
      <c r="F45" s="4">
        <v>10</v>
      </c>
      <c r="G45" s="1" t="s">
        <v>32</v>
      </c>
      <c r="H45" s="1" t="s">
        <v>26</v>
      </c>
      <c r="I45" s="5" t="s">
        <v>119</v>
      </c>
      <c r="J45" s="4">
        <v>52</v>
      </c>
      <c r="O45" s="1" t="s">
        <v>124</v>
      </c>
      <c r="P45" s="1" t="s">
        <v>68</v>
      </c>
      <c r="Q45" s="1" t="s">
        <v>36</v>
      </c>
      <c r="R45" s="1" t="s">
        <v>13</v>
      </c>
      <c r="S45" s="4">
        <v>18</v>
      </c>
      <c r="T45" s="4">
        <v>10</v>
      </c>
      <c r="U45" s="1" t="s">
        <v>43</v>
      </c>
      <c r="V45" s="1" t="s">
        <v>20</v>
      </c>
      <c r="W45" s="5" t="s">
        <v>125</v>
      </c>
      <c r="X45" s="4">
        <v>66</v>
      </c>
    </row>
    <row r="46" spans="1:24" x14ac:dyDescent="0.3">
      <c r="A46" s="1" t="s">
        <v>120</v>
      </c>
      <c r="B46" s="1" t="s">
        <v>35</v>
      </c>
      <c r="C46" s="1" t="s">
        <v>36</v>
      </c>
      <c r="D46" s="1" t="s">
        <v>31</v>
      </c>
      <c r="E46" s="4">
        <v>20</v>
      </c>
      <c r="F46" s="4">
        <v>10</v>
      </c>
      <c r="G46" s="1" t="s">
        <v>43</v>
      </c>
      <c r="H46" s="1" t="s">
        <v>61</v>
      </c>
      <c r="I46" s="5" t="s">
        <v>121</v>
      </c>
      <c r="J46" s="4">
        <v>37</v>
      </c>
      <c r="O46" s="1" t="s">
        <v>126</v>
      </c>
      <c r="P46" s="1" t="s">
        <v>18</v>
      </c>
      <c r="Q46" s="1" t="s">
        <v>24</v>
      </c>
      <c r="R46" s="1" t="s">
        <v>13</v>
      </c>
      <c r="S46" s="4">
        <v>15</v>
      </c>
      <c r="T46" s="4">
        <v>9</v>
      </c>
      <c r="U46" s="1" t="s">
        <v>25</v>
      </c>
      <c r="V46" s="1" t="s">
        <v>76</v>
      </c>
      <c r="W46" s="5" t="s">
        <v>127</v>
      </c>
      <c r="X46" s="4">
        <v>59</v>
      </c>
    </row>
    <row r="47" spans="1:24" x14ac:dyDescent="0.3">
      <c r="A47" s="1" t="s">
        <v>122</v>
      </c>
      <c r="B47" s="1" t="s">
        <v>18</v>
      </c>
      <c r="C47" s="1" t="s">
        <v>19</v>
      </c>
      <c r="D47" s="1" t="s">
        <v>13</v>
      </c>
      <c r="E47" s="4">
        <v>15</v>
      </c>
      <c r="F47" s="4">
        <v>10</v>
      </c>
      <c r="G47" s="1" t="s">
        <v>32</v>
      </c>
      <c r="H47" s="1" t="s">
        <v>20</v>
      </c>
      <c r="I47" s="5" t="s">
        <v>123</v>
      </c>
      <c r="J47" s="4">
        <v>51</v>
      </c>
      <c r="O47" s="1" t="s">
        <v>128</v>
      </c>
      <c r="P47" s="1" t="s">
        <v>11</v>
      </c>
      <c r="Q47" s="1" t="s">
        <v>24</v>
      </c>
      <c r="R47" s="1" t="s">
        <v>31</v>
      </c>
      <c r="S47" s="4">
        <v>17</v>
      </c>
      <c r="T47" s="4">
        <v>12</v>
      </c>
      <c r="U47" s="1" t="s">
        <v>32</v>
      </c>
      <c r="V47" s="1" t="s">
        <v>15</v>
      </c>
      <c r="W47" s="5" t="s">
        <v>129</v>
      </c>
      <c r="X47" s="4">
        <v>68</v>
      </c>
    </row>
    <row r="48" spans="1:24" x14ac:dyDescent="0.3">
      <c r="A48" s="1" t="s">
        <v>124</v>
      </c>
      <c r="B48" s="1" t="s">
        <v>68</v>
      </c>
      <c r="C48" s="1" t="s">
        <v>36</v>
      </c>
      <c r="D48" s="1" t="s">
        <v>13</v>
      </c>
      <c r="E48" s="4">
        <v>18</v>
      </c>
      <c r="F48" s="4">
        <v>10</v>
      </c>
      <c r="G48" s="1" t="s">
        <v>43</v>
      </c>
      <c r="H48" s="1" t="s">
        <v>20</v>
      </c>
      <c r="I48" s="5" t="s">
        <v>125</v>
      </c>
      <c r="J48" s="4">
        <v>66</v>
      </c>
      <c r="O48" s="1" t="s">
        <v>130</v>
      </c>
      <c r="P48" s="1" t="s">
        <v>73</v>
      </c>
      <c r="Q48" s="1" t="s">
        <v>30</v>
      </c>
      <c r="R48" s="1" t="s">
        <v>13</v>
      </c>
      <c r="S48" s="4">
        <v>17</v>
      </c>
      <c r="T48" s="4">
        <v>12</v>
      </c>
      <c r="U48" s="1" t="s">
        <v>25</v>
      </c>
      <c r="V48" s="1" t="s">
        <v>40</v>
      </c>
      <c r="W48" s="5" t="s">
        <v>131</v>
      </c>
      <c r="X48" s="4">
        <v>82</v>
      </c>
    </row>
    <row r="49" spans="1:24" x14ac:dyDescent="0.3">
      <c r="A49" s="1" t="s">
        <v>126</v>
      </c>
      <c r="B49" s="1" t="s">
        <v>18</v>
      </c>
      <c r="C49" s="1" t="s">
        <v>24</v>
      </c>
      <c r="D49" s="1" t="s">
        <v>13</v>
      </c>
      <c r="E49" s="4">
        <v>15</v>
      </c>
      <c r="F49" s="4">
        <v>9</v>
      </c>
      <c r="G49" s="1" t="s">
        <v>25</v>
      </c>
      <c r="H49" s="1" t="s">
        <v>76</v>
      </c>
      <c r="I49" s="5" t="s">
        <v>127</v>
      </c>
      <c r="J49" s="4">
        <v>59</v>
      </c>
      <c r="O49" s="1" t="s">
        <v>132</v>
      </c>
      <c r="P49" s="1" t="s">
        <v>29</v>
      </c>
      <c r="Q49" s="1" t="s">
        <v>12</v>
      </c>
      <c r="R49" s="1" t="s">
        <v>13</v>
      </c>
      <c r="S49" s="4">
        <v>17</v>
      </c>
      <c r="T49" s="4">
        <v>10</v>
      </c>
      <c r="U49" s="1" t="s">
        <v>25</v>
      </c>
      <c r="V49" s="1" t="s">
        <v>37</v>
      </c>
      <c r="W49" s="5" t="s">
        <v>133</v>
      </c>
      <c r="X49" s="4">
        <v>88</v>
      </c>
    </row>
    <row r="50" spans="1:24" x14ac:dyDescent="0.3">
      <c r="A50" s="1" t="s">
        <v>128</v>
      </c>
      <c r="B50" s="1" t="s">
        <v>11</v>
      </c>
      <c r="C50" s="1" t="s">
        <v>24</v>
      </c>
      <c r="D50" s="1" t="s">
        <v>31</v>
      </c>
      <c r="E50" s="4">
        <v>17</v>
      </c>
      <c r="F50" s="4">
        <v>12</v>
      </c>
      <c r="G50" s="1" t="s">
        <v>32</v>
      </c>
      <c r="H50" s="1" t="s">
        <v>15</v>
      </c>
      <c r="I50" s="5" t="s">
        <v>129</v>
      </c>
      <c r="J50" s="4">
        <v>68</v>
      </c>
      <c r="O50" s="1" t="s">
        <v>134</v>
      </c>
      <c r="P50" s="1" t="s">
        <v>23</v>
      </c>
      <c r="Q50" s="1" t="s">
        <v>30</v>
      </c>
      <c r="R50" s="1" t="s">
        <v>31</v>
      </c>
      <c r="S50" s="4">
        <v>20</v>
      </c>
      <c r="T50" s="4">
        <v>9</v>
      </c>
      <c r="U50" s="1" t="s">
        <v>14</v>
      </c>
      <c r="V50" s="1" t="s">
        <v>15</v>
      </c>
      <c r="W50" s="5" t="s">
        <v>135</v>
      </c>
      <c r="X50" s="4">
        <v>50</v>
      </c>
    </row>
    <row r="51" spans="1:24" x14ac:dyDescent="0.3">
      <c r="A51" s="1" t="s">
        <v>130</v>
      </c>
      <c r="B51" s="1" t="s">
        <v>73</v>
      </c>
      <c r="C51" s="1" t="s">
        <v>30</v>
      </c>
      <c r="D51" s="1" t="s">
        <v>13</v>
      </c>
      <c r="E51" s="4">
        <v>17</v>
      </c>
      <c r="F51" s="4">
        <v>12</v>
      </c>
      <c r="G51" s="1" t="s">
        <v>25</v>
      </c>
      <c r="H51" s="1" t="s">
        <v>40</v>
      </c>
      <c r="I51" s="5" t="s">
        <v>131</v>
      </c>
      <c r="J51" s="4">
        <v>82</v>
      </c>
      <c r="O51" s="1" t="s">
        <v>136</v>
      </c>
      <c r="P51" s="1" t="s">
        <v>11</v>
      </c>
      <c r="Q51" s="1" t="s">
        <v>79</v>
      </c>
      <c r="R51" s="1" t="s">
        <v>13</v>
      </c>
      <c r="S51" s="4">
        <v>14</v>
      </c>
      <c r="T51" s="4">
        <v>10</v>
      </c>
      <c r="U51" s="1" t="s">
        <v>43</v>
      </c>
      <c r="V51" s="1" t="s">
        <v>61</v>
      </c>
      <c r="W51" s="5" t="s">
        <v>137</v>
      </c>
      <c r="X51" s="4">
        <v>65</v>
      </c>
    </row>
    <row r="52" spans="1:24" x14ac:dyDescent="0.3">
      <c r="A52" s="1" t="s">
        <v>132</v>
      </c>
      <c r="B52" s="1" t="s">
        <v>29</v>
      </c>
      <c r="C52" s="1" t="s">
        <v>12</v>
      </c>
      <c r="D52" s="1" t="s">
        <v>13</v>
      </c>
      <c r="E52" s="4">
        <v>17</v>
      </c>
      <c r="F52" s="4">
        <v>10</v>
      </c>
      <c r="G52" s="1" t="s">
        <v>25</v>
      </c>
      <c r="H52" s="1" t="s">
        <v>37</v>
      </c>
      <c r="I52" s="5" t="s">
        <v>133</v>
      </c>
      <c r="J52" s="4">
        <v>88</v>
      </c>
      <c r="O52" s="1" t="s">
        <v>138</v>
      </c>
      <c r="P52" s="1" t="s">
        <v>51</v>
      </c>
      <c r="Q52" s="1" t="s">
        <v>85</v>
      </c>
      <c r="R52" s="1" t="s">
        <v>13</v>
      </c>
      <c r="S52" s="4">
        <v>18</v>
      </c>
      <c r="T52" s="4">
        <v>11</v>
      </c>
      <c r="U52" s="1" t="s">
        <v>43</v>
      </c>
      <c r="V52" s="1" t="s">
        <v>61</v>
      </c>
      <c r="W52" s="5" t="s">
        <v>139</v>
      </c>
      <c r="X52" s="4">
        <v>100</v>
      </c>
    </row>
    <row r="53" spans="1:24" x14ac:dyDescent="0.3">
      <c r="A53" s="1" t="s">
        <v>134</v>
      </c>
      <c r="B53" s="1" t="s">
        <v>23</v>
      </c>
      <c r="C53" s="1" t="s">
        <v>30</v>
      </c>
      <c r="D53" s="1" t="s">
        <v>31</v>
      </c>
      <c r="E53" s="4">
        <v>20</v>
      </c>
      <c r="F53" s="4">
        <v>9</v>
      </c>
      <c r="G53" s="1" t="s">
        <v>14</v>
      </c>
      <c r="H53" s="1" t="s">
        <v>15</v>
      </c>
      <c r="I53" s="5" t="s">
        <v>135</v>
      </c>
      <c r="J53" s="4">
        <v>50</v>
      </c>
      <c r="O53" s="1" t="s">
        <v>140</v>
      </c>
      <c r="P53" s="1" t="s">
        <v>35</v>
      </c>
      <c r="Q53" s="1" t="s">
        <v>30</v>
      </c>
      <c r="R53" s="1" t="s">
        <v>31</v>
      </c>
      <c r="S53" s="4">
        <v>19</v>
      </c>
      <c r="T53" s="4">
        <v>10</v>
      </c>
      <c r="U53" s="1" t="s">
        <v>32</v>
      </c>
      <c r="V53" s="1" t="s">
        <v>76</v>
      </c>
      <c r="W53" s="5" t="s">
        <v>141</v>
      </c>
      <c r="X53" s="4">
        <v>93</v>
      </c>
    </row>
    <row r="54" spans="1:24" x14ac:dyDescent="0.3">
      <c r="A54" s="1" t="s">
        <v>136</v>
      </c>
      <c r="B54" s="1" t="s">
        <v>11</v>
      </c>
      <c r="C54" s="1" t="s">
        <v>79</v>
      </c>
      <c r="D54" s="1" t="s">
        <v>13</v>
      </c>
      <c r="E54" s="4">
        <v>14</v>
      </c>
      <c r="F54" s="4">
        <v>10</v>
      </c>
      <c r="G54" s="1" t="s">
        <v>43</v>
      </c>
      <c r="H54" s="1" t="s">
        <v>61</v>
      </c>
      <c r="I54" s="5" t="s">
        <v>137</v>
      </c>
      <c r="J54" s="4">
        <v>65</v>
      </c>
      <c r="O54" s="1" t="s">
        <v>142</v>
      </c>
      <c r="P54" s="1" t="s">
        <v>29</v>
      </c>
      <c r="Q54" s="1" t="s">
        <v>96</v>
      </c>
      <c r="R54" s="1" t="s">
        <v>31</v>
      </c>
      <c r="S54" s="4">
        <v>16</v>
      </c>
      <c r="T54" s="4">
        <v>12</v>
      </c>
      <c r="U54" s="1" t="s">
        <v>14</v>
      </c>
      <c r="V54" s="1" t="s">
        <v>37</v>
      </c>
      <c r="W54" s="5" t="s">
        <v>143</v>
      </c>
      <c r="X54" s="4">
        <v>85</v>
      </c>
    </row>
    <row r="55" spans="1:24" x14ac:dyDescent="0.3">
      <c r="A55" s="1" t="s">
        <v>138</v>
      </c>
      <c r="B55" s="1" t="s">
        <v>51</v>
      </c>
      <c r="C55" s="1" t="s">
        <v>85</v>
      </c>
      <c r="D55" s="1" t="s">
        <v>13</v>
      </c>
      <c r="E55" s="4">
        <v>18</v>
      </c>
      <c r="F55" s="4">
        <v>11</v>
      </c>
      <c r="G55" s="1" t="s">
        <v>43</v>
      </c>
      <c r="H55" s="1" t="s">
        <v>61</v>
      </c>
      <c r="I55" s="5" t="s">
        <v>139</v>
      </c>
      <c r="J55" s="4">
        <v>100</v>
      </c>
      <c r="O55" s="1" t="s">
        <v>144</v>
      </c>
      <c r="P55" s="1" t="s">
        <v>73</v>
      </c>
      <c r="Q55" s="1" t="s">
        <v>12</v>
      </c>
      <c r="R55" s="1" t="s">
        <v>31</v>
      </c>
      <c r="S55" s="4">
        <v>20</v>
      </c>
      <c r="T55" s="4">
        <v>10</v>
      </c>
      <c r="U55" s="1" t="s">
        <v>14</v>
      </c>
      <c r="V55" s="1" t="s">
        <v>26</v>
      </c>
      <c r="W55" s="5" t="s">
        <v>145</v>
      </c>
      <c r="X55" s="4">
        <v>71</v>
      </c>
    </row>
    <row r="56" spans="1:24" x14ac:dyDescent="0.3">
      <c r="A56" s="1" t="s">
        <v>140</v>
      </c>
      <c r="B56" s="1" t="s">
        <v>35</v>
      </c>
      <c r="C56" s="1" t="s">
        <v>30</v>
      </c>
      <c r="D56" s="1" t="s">
        <v>31</v>
      </c>
      <c r="E56" s="4">
        <v>19</v>
      </c>
      <c r="F56" s="4">
        <v>10</v>
      </c>
      <c r="G56" s="1" t="s">
        <v>32</v>
      </c>
      <c r="H56" s="1" t="s">
        <v>76</v>
      </c>
      <c r="I56" s="5" t="s">
        <v>141</v>
      </c>
      <c r="J56" s="4">
        <v>93</v>
      </c>
      <c r="O56" s="1" t="s">
        <v>146</v>
      </c>
      <c r="P56" s="1" t="s">
        <v>35</v>
      </c>
      <c r="Q56" s="1" t="s">
        <v>30</v>
      </c>
      <c r="R56" s="1" t="s">
        <v>31</v>
      </c>
      <c r="S56" s="4">
        <v>20</v>
      </c>
      <c r="T56" s="4">
        <v>9</v>
      </c>
      <c r="U56" s="1" t="s">
        <v>43</v>
      </c>
      <c r="V56" s="1" t="s">
        <v>15</v>
      </c>
      <c r="W56" s="5" t="s">
        <v>147</v>
      </c>
      <c r="X56" s="4">
        <v>40</v>
      </c>
    </row>
    <row r="57" spans="1:24" x14ac:dyDescent="0.3">
      <c r="A57" s="1" t="s">
        <v>142</v>
      </c>
      <c r="B57" s="1" t="s">
        <v>29</v>
      </c>
      <c r="C57" s="1" t="s">
        <v>96</v>
      </c>
      <c r="D57" s="1" t="s">
        <v>31</v>
      </c>
      <c r="E57" s="4">
        <v>16</v>
      </c>
      <c r="F57" s="4">
        <v>12</v>
      </c>
      <c r="G57" s="1" t="s">
        <v>14</v>
      </c>
      <c r="H57" s="1" t="s">
        <v>37</v>
      </c>
      <c r="I57" s="5" t="s">
        <v>143</v>
      </c>
      <c r="J57" s="4">
        <v>85</v>
      </c>
      <c r="O57" s="1" t="s">
        <v>148</v>
      </c>
      <c r="P57" s="1" t="s">
        <v>51</v>
      </c>
      <c r="Q57" s="1" t="s">
        <v>96</v>
      </c>
      <c r="R57" s="1" t="s">
        <v>13</v>
      </c>
      <c r="S57" s="4">
        <v>19</v>
      </c>
      <c r="T57" s="4">
        <v>11</v>
      </c>
      <c r="U57" s="1" t="s">
        <v>14</v>
      </c>
      <c r="V57" s="1" t="s">
        <v>76</v>
      </c>
      <c r="W57" s="5" t="s">
        <v>149</v>
      </c>
      <c r="X57" s="4">
        <v>83</v>
      </c>
    </row>
    <row r="58" spans="1:24" x14ac:dyDescent="0.3">
      <c r="A58" s="1" t="s">
        <v>144</v>
      </c>
      <c r="B58" s="1" t="s">
        <v>73</v>
      </c>
      <c r="C58" s="1" t="s">
        <v>12</v>
      </c>
      <c r="D58" s="1" t="s">
        <v>31</v>
      </c>
      <c r="E58" s="4">
        <v>20</v>
      </c>
      <c r="F58" s="4">
        <v>10</v>
      </c>
      <c r="G58" s="1" t="s">
        <v>14</v>
      </c>
      <c r="H58" s="1" t="s">
        <v>26</v>
      </c>
      <c r="I58" s="5" t="s">
        <v>145</v>
      </c>
      <c r="J58" s="4">
        <v>71</v>
      </c>
      <c r="O58" s="1" t="s">
        <v>150</v>
      </c>
      <c r="P58" s="1" t="s">
        <v>23</v>
      </c>
      <c r="Q58" s="1" t="s">
        <v>55</v>
      </c>
      <c r="R58" s="1" t="s">
        <v>31</v>
      </c>
      <c r="S58" s="4">
        <v>17</v>
      </c>
      <c r="T58" s="4">
        <v>9</v>
      </c>
      <c r="U58" s="1" t="s">
        <v>25</v>
      </c>
      <c r="V58" s="1" t="s">
        <v>20</v>
      </c>
      <c r="W58" s="5" t="s">
        <v>151</v>
      </c>
      <c r="X58" s="4">
        <v>55</v>
      </c>
    </row>
    <row r="59" spans="1:24" x14ac:dyDescent="0.3">
      <c r="A59" s="1" t="s">
        <v>146</v>
      </c>
      <c r="B59" s="1" t="s">
        <v>35</v>
      </c>
      <c r="C59" s="1" t="s">
        <v>30</v>
      </c>
      <c r="D59" s="1" t="s">
        <v>31</v>
      </c>
      <c r="E59" s="4">
        <v>20</v>
      </c>
      <c r="F59" s="4">
        <v>9</v>
      </c>
      <c r="G59" s="1" t="s">
        <v>43</v>
      </c>
      <c r="H59" s="1" t="s">
        <v>15</v>
      </c>
      <c r="I59" s="5" t="s">
        <v>147</v>
      </c>
      <c r="J59" s="4">
        <v>40</v>
      </c>
      <c r="O59" s="1" t="s">
        <v>152</v>
      </c>
      <c r="P59" s="1" t="s">
        <v>23</v>
      </c>
      <c r="Q59" s="1" t="s">
        <v>55</v>
      </c>
      <c r="R59" s="1" t="s">
        <v>13</v>
      </c>
      <c r="S59" s="4">
        <v>17</v>
      </c>
      <c r="T59" s="4">
        <v>12</v>
      </c>
      <c r="U59" s="1" t="s">
        <v>32</v>
      </c>
      <c r="V59" s="1" t="s">
        <v>46</v>
      </c>
      <c r="W59" s="5" t="s">
        <v>153</v>
      </c>
      <c r="X59" s="4">
        <v>39</v>
      </c>
    </row>
    <row r="60" spans="1:24" x14ac:dyDescent="0.3">
      <c r="A60" s="1" t="s">
        <v>148</v>
      </c>
      <c r="B60" s="1" t="s">
        <v>51</v>
      </c>
      <c r="C60" s="1" t="s">
        <v>96</v>
      </c>
      <c r="D60" s="1" t="s">
        <v>13</v>
      </c>
      <c r="E60" s="4">
        <v>19</v>
      </c>
      <c r="F60" s="4">
        <v>11</v>
      </c>
      <c r="G60" s="1" t="s">
        <v>14</v>
      </c>
      <c r="H60" s="1" t="s">
        <v>76</v>
      </c>
      <c r="I60" s="5" t="s">
        <v>149</v>
      </c>
      <c r="J60" s="4">
        <v>83</v>
      </c>
      <c r="O60" s="1" t="s">
        <v>154</v>
      </c>
      <c r="P60" s="1" t="s">
        <v>51</v>
      </c>
      <c r="Q60" s="1" t="s">
        <v>36</v>
      </c>
      <c r="R60" s="1" t="s">
        <v>31</v>
      </c>
      <c r="S60" s="4">
        <v>18</v>
      </c>
      <c r="T60" s="4">
        <v>12</v>
      </c>
      <c r="U60" s="1" t="s">
        <v>43</v>
      </c>
      <c r="V60" s="1" t="s">
        <v>76</v>
      </c>
      <c r="W60" s="5" t="s">
        <v>155</v>
      </c>
      <c r="X60" s="4">
        <v>77</v>
      </c>
    </row>
    <row r="61" spans="1:24" x14ac:dyDescent="0.3">
      <c r="A61" s="1" t="s">
        <v>150</v>
      </c>
      <c r="B61" s="1" t="s">
        <v>23</v>
      </c>
      <c r="C61" s="1" t="s">
        <v>55</v>
      </c>
      <c r="D61" s="1" t="s">
        <v>31</v>
      </c>
      <c r="E61" s="4">
        <v>17</v>
      </c>
      <c r="F61" s="4">
        <v>9</v>
      </c>
      <c r="G61" s="1" t="s">
        <v>25</v>
      </c>
      <c r="H61" s="1" t="s">
        <v>20</v>
      </c>
      <c r="I61" s="5" t="s">
        <v>151</v>
      </c>
      <c r="J61" s="4">
        <v>55</v>
      </c>
      <c r="O61" s="1" t="s">
        <v>156</v>
      </c>
      <c r="P61" s="1" t="s">
        <v>35</v>
      </c>
      <c r="Q61" s="1" t="s">
        <v>55</v>
      </c>
      <c r="R61" s="1" t="s">
        <v>13</v>
      </c>
      <c r="S61" s="4">
        <v>19</v>
      </c>
      <c r="T61" s="4">
        <v>11</v>
      </c>
      <c r="U61" s="1" t="s">
        <v>14</v>
      </c>
      <c r="V61" s="1" t="s">
        <v>40</v>
      </c>
      <c r="W61" s="5" t="s">
        <v>157</v>
      </c>
      <c r="X61" s="4">
        <v>63</v>
      </c>
    </row>
    <row r="62" spans="1:24" x14ac:dyDescent="0.3">
      <c r="A62" s="1" t="s">
        <v>152</v>
      </c>
      <c r="B62" s="1" t="s">
        <v>23</v>
      </c>
      <c r="C62" s="1" t="s">
        <v>55</v>
      </c>
      <c r="D62" s="1" t="s">
        <v>13</v>
      </c>
      <c r="E62" s="4">
        <v>17</v>
      </c>
      <c r="F62" s="4">
        <v>12</v>
      </c>
      <c r="G62" s="1" t="s">
        <v>32</v>
      </c>
      <c r="H62" s="1" t="s">
        <v>46</v>
      </c>
      <c r="I62" s="5" t="s">
        <v>153</v>
      </c>
      <c r="J62" s="4">
        <v>39</v>
      </c>
      <c r="O62" s="1" t="s">
        <v>158</v>
      </c>
      <c r="P62" s="1" t="s">
        <v>18</v>
      </c>
      <c r="Q62" s="1" t="s">
        <v>19</v>
      </c>
      <c r="R62" s="1" t="s">
        <v>13</v>
      </c>
      <c r="S62" s="4">
        <v>16</v>
      </c>
      <c r="T62" s="4">
        <v>12</v>
      </c>
      <c r="U62" s="1" t="s">
        <v>43</v>
      </c>
      <c r="V62" s="1" t="s">
        <v>40</v>
      </c>
      <c r="W62" s="5" t="s">
        <v>159</v>
      </c>
      <c r="X62" s="4">
        <v>36</v>
      </c>
    </row>
    <row r="63" spans="1:24" x14ac:dyDescent="0.3">
      <c r="A63" s="1" t="s">
        <v>154</v>
      </c>
      <c r="B63" s="1" t="s">
        <v>51</v>
      </c>
      <c r="C63" s="1" t="s">
        <v>36</v>
      </c>
      <c r="D63" s="1" t="s">
        <v>31</v>
      </c>
      <c r="E63" s="4">
        <v>18</v>
      </c>
      <c r="F63" s="4">
        <v>12</v>
      </c>
      <c r="G63" s="1" t="s">
        <v>43</v>
      </c>
      <c r="H63" s="1" t="s">
        <v>76</v>
      </c>
      <c r="I63" s="5" t="s">
        <v>155</v>
      </c>
      <c r="J63" s="4">
        <v>77</v>
      </c>
      <c r="O63" s="1" t="s">
        <v>160</v>
      </c>
      <c r="P63" s="1" t="s">
        <v>51</v>
      </c>
      <c r="Q63" s="1" t="s">
        <v>85</v>
      </c>
      <c r="R63" s="1" t="s">
        <v>31</v>
      </c>
      <c r="S63" s="4">
        <v>17</v>
      </c>
      <c r="T63" s="4">
        <v>11</v>
      </c>
      <c r="U63" s="1" t="s">
        <v>43</v>
      </c>
      <c r="V63" s="1" t="s">
        <v>37</v>
      </c>
      <c r="W63" s="5" t="s">
        <v>161</v>
      </c>
      <c r="X63" s="4">
        <v>99</v>
      </c>
    </row>
    <row r="64" spans="1:24" x14ac:dyDescent="0.3">
      <c r="A64" s="1" t="s">
        <v>156</v>
      </c>
      <c r="B64" s="1" t="s">
        <v>35</v>
      </c>
      <c r="C64" s="1" t="s">
        <v>55</v>
      </c>
      <c r="D64" s="1" t="s">
        <v>13</v>
      </c>
      <c r="E64" s="4">
        <v>19</v>
      </c>
      <c r="F64" s="4">
        <v>11</v>
      </c>
      <c r="G64" s="1" t="s">
        <v>14</v>
      </c>
      <c r="H64" s="1" t="s">
        <v>40</v>
      </c>
      <c r="I64" s="5" t="s">
        <v>157</v>
      </c>
      <c r="J64" s="4">
        <v>63</v>
      </c>
      <c r="O64" s="1" t="s">
        <v>162</v>
      </c>
      <c r="P64" s="1" t="s">
        <v>73</v>
      </c>
      <c r="Q64" s="1" t="s">
        <v>36</v>
      </c>
      <c r="R64" s="1" t="s">
        <v>31</v>
      </c>
      <c r="S64" s="4">
        <v>20</v>
      </c>
      <c r="T64" s="4">
        <v>9</v>
      </c>
      <c r="U64" s="1" t="s">
        <v>32</v>
      </c>
      <c r="V64" s="1" t="s">
        <v>20</v>
      </c>
      <c r="W64" s="5" t="s">
        <v>163</v>
      </c>
      <c r="X64" s="4">
        <v>49</v>
      </c>
    </row>
    <row r="65" spans="1:24" x14ac:dyDescent="0.3">
      <c r="A65" s="1" t="s">
        <v>158</v>
      </c>
      <c r="B65" s="1" t="s">
        <v>18</v>
      </c>
      <c r="C65" s="1" t="s">
        <v>19</v>
      </c>
      <c r="D65" s="1" t="s">
        <v>13</v>
      </c>
      <c r="E65" s="4">
        <v>16</v>
      </c>
      <c r="F65" s="4">
        <v>12</v>
      </c>
      <c r="G65" s="1" t="s">
        <v>43</v>
      </c>
      <c r="H65" s="1" t="s">
        <v>40</v>
      </c>
      <c r="I65" s="5" t="s">
        <v>159</v>
      </c>
      <c r="J65" s="4">
        <v>36</v>
      </c>
      <c r="O65" s="1" t="s">
        <v>164</v>
      </c>
      <c r="P65" s="1" t="s">
        <v>23</v>
      </c>
      <c r="Q65" s="1" t="s">
        <v>19</v>
      </c>
      <c r="R65" s="1" t="s">
        <v>31</v>
      </c>
      <c r="S65" s="4">
        <v>17</v>
      </c>
      <c r="T65" s="4">
        <v>9</v>
      </c>
      <c r="U65" s="1" t="s">
        <v>25</v>
      </c>
      <c r="V65" s="1" t="s">
        <v>15</v>
      </c>
      <c r="W65" s="5" t="s">
        <v>165</v>
      </c>
      <c r="X65" s="4">
        <v>64</v>
      </c>
    </row>
    <row r="66" spans="1:24" x14ac:dyDescent="0.3">
      <c r="A66" s="1" t="s">
        <v>160</v>
      </c>
      <c r="B66" s="1" t="s">
        <v>51</v>
      </c>
      <c r="C66" s="1" t="s">
        <v>85</v>
      </c>
      <c r="D66" s="1" t="s">
        <v>31</v>
      </c>
      <c r="E66" s="4">
        <v>17</v>
      </c>
      <c r="F66" s="4">
        <v>11</v>
      </c>
      <c r="G66" s="1" t="s">
        <v>43</v>
      </c>
      <c r="H66" s="1" t="s">
        <v>37</v>
      </c>
      <c r="I66" s="5" t="s">
        <v>161</v>
      </c>
      <c r="J66" s="4">
        <v>99</v>
      </c>
      <c r="O66" s="1" t="s">
        <v>166</v>
      </c>
      <c r="P66" s="1" t="s">
        <v>84</v>
      </c>
      <c r="Q66" s="1" t="s">
        <v>24</v>
      </c>
      <c r="R66" s="1" t="s">
        <v>13</v>
      </c>
      <c r="S66" s="4">
        <v>14</v>
      </c>
      <c r="T66" s="4">
        <v>10</v>
      </c>
      <c r="U66" s="1" t="s">
        <v>43</v>
      </c>
      <c r="V66" s="1" t="s">
        <v>15</v>
      </c>
      <c r="W66" s="5" t="s">
        <v>167</v>
      </c>
      <c r="X66" s="4">
        <v>45</v>
      </c>
    </row>
    <row r="67" spans="1:24" x14ac:dyDescent="0.3">
      <c r="A67" s="1" t="s">
        <v>162</v>
      </c>
      <c r="B67" s="1" t="s">
        <v>73</v>
      </c>
      <c r="C67" s="1" t="s">
        <v>36</v>
      </c>
      <c r="D67" s="1" t="s">
        <v>31</v>
      </c>
      <c r="E67" s="4">
        <v>20</v>
      </c>
      <c r="F67" s="4">
        <v>9</v>
      </c>
      <c r="G67" s="1" t="s">
        <v>32</v>
      </c>
      <c r="H67" s="1" t="s">
        <v>20</v>
      </c>
      <c r="I67" s="5" t="s">
        <v>163</v>
      </c>
      <c r="J67" s="4">
        <v>49</v>
      </c>
      <c r="O67" s="1" t="s">
        <v>168</v>
      </c>
      <c r="P67" s="1" t="s">
        <v>18</v>
      </c>
      <c r="Q67" s="1" t="s">
        <v>79</v>
      </c>
      <c r="R67" s="1" t="s">
        <v>13</v>
      </c>
      <c r="S67" s="4">
        <v>17</v>
      </c>
      <c r="T67" s="4">
        <v>12</v>
      </c>
      <c r="U67" s="1" t="s">
        <v>25</v>
      </c>
      <c r="V67" s="1" t="s">
        <v>26</v>
      </c>
      <c r="W67" s="5" t="s">
        <v>137</v>
      </c>
      <c r="X67" s="4">
        <v>82</v>
      </c>
    </row>
    <row r="68" spans="1:24" x14ac:dyDescent="0.3">
      <c r="A68" s="1" t="s">
        <v>164</v>
      </c>
      <c r="B68" s="1" t="s">
        <v>23</v>
      </c>
      <c r="C68" s="1" t="s">
        <v>19</v>
      </c>
      <c r="D68" s="1" t="s">
        <v>31</v>
      </c>
      <c r="E68" s="4">
        <v>17</v>
      </c>
      <c r="F68" s="4">
        <v>9</v>
      </c>
      <c r="G68" s="1" t="s">
        <v>25</v>
      </c>
      <c r="H68" s="1" t="s">
        <v>15</v>
      </c>
      <c r="I68" s="5" t="s">
        <v>165</v>
      </c>
      <c r="J68" s="4">
        <v>64</v>
      </c>
      <c r="O68" s="1" t="s">
        <v>169</v>
      </c>
      <c r="P68" s="1" t="s">
        <v>11</v>
      </c>
      <c r="Q68" s="1" t="s">
        <v>30</v>
      </c>
      <c r="R68" s="1" t="s">
        <v>31</v>
      </c>
      <c r="S68" s="4">
        <v>18</v>
      </c>
      <c r="T68" s="4">
        <v>9</v>
      </c>
      <c r="U68" s="1" t="s">
        <v>25</v>
      </c>
      <c r="V68" s="1" t="s">
        <v>46</v>
      </c>
      <c r="W68" s="5" t="s">
        <v>170</v>
      </c>
      <c r="X68" s="4">
        <v>60</v>
      </c>
    </row>
    <row r="69" spans="1:24" x14ac:dyDescent="0.3">
      <c r="A69" s="1" t="s">
        <v>166</v>
      </c>
      <c r="B69" s="1" t="s">
        <v>84</v>
      </c>
      <c r="C69" s="1" t="s">
        <v>24</v>
      </c>
      <c r="D69" s="1" t="s">
        <v>13</v>
      </c>
      <c r="E69" s="4">
        <v>14</v>
      </c>
      <c r="F69" s="4">
        <v>10</v>
      </c>
      <c r="G69" s="1" t="s">
        <v>43</v>
      </c>
      <c r="H69" s="1" t="s">
        <v>15</v>
      </c>
      <c r="I69" s="5" t="s">
        <v>167</v>
      </c>
      <c r="J69" s="4">
        <v>45</v>
      </c>
      <c r="O69" s="1" t="s">
        <v>171</v>
      </c>
      <c r="P69" s="1" t="s">
        <v>29</v>
      </c>
      <c r="Q69" s="1" t="s">
        <v>85</v>
      </c>
      <c r="R69" s="1" t="s">
        <v>13</v>
      </c>
      <c r="S69" s="4">
        <v>14</v>
      </c>
      <c r="T69" s="4">
        <v>10</v>
      </c>
      <c r="U69" s="1" t="s">
        <v>32</v>
      </c>
      <c r="V69" s="1" t="s">
        <v>61</v>
      </c>
      <c r="W69" s="5" t="s">
        <v>172</v>
      </c>
      <c r="X69" s="4">
        <v>51</v>
      </c>
    </row>
    <row r="70" spans="1:24" x14ac:dyDescent="0.3">
      <c r="A70" s="1" t="s">
        <v>168</v>
      </c>
      <c r="B70" s="1" t="s">
        <v>18</v>
      </c>
      <c r="C70" s="1" t="s">
        <v>79</v>
      </c>
      <c r="D70" s="1" t="s">
        <v>13</v>
      </c>
      <c r="E70" s="4">
        <v>17</v>
      </c>
      <c r="F70" s="4">
        <v>12</v>
      </c>
      <c r="G70" s="1" t="s">
        <v>25</v>
      </c>
      <c r="H70" s="1" t="s">
        <v>26</v>
      </c>
      <c r="I70" s="5" t="s">
        <v>137</v>
      </c>
      <c r="J70" s="4">
        <v>82</v>
      </c>
      <c r="O70" s="1" t="s">
        <v>173</v>
      </c>
      <c r="P70" s="1" t="s">
        <v>54</v>
      </c>
      <c r="Q70" s="1" t="s">
        <v>30</v>
      </c>
      <c r="R70" s="1" t="s">
        <v>31</v>
      </c>
      <c r="S70" s="4">
        <v>18</v>
      </c>
      <c r="T70" s="4">
        <v>9</v>
      </c>
      <c r="U70" s="1" t="s">
        <v>32</v>
      </c>
      <c r="V70" s="1" t="s">
        <v>40</v>
      </c>
      <c r="W70" s="5" t="s">
        <v>174</v>
      </c>
      <c r="X70" s="4">
        <v>54</v>
      </c>
    </row>
    <row r="71" spans="1:24" x14ac:dyDescent="0.3">
      <c r="A71" s="1" t="s">
        <v>169</v>
      </c>
      <c r="B71" s="1" t="s">
        <v>11</v>
      </c>
      <c r="C71" s="1" t="s">
        <v>30</v>
      </c>
      <c r="D71" s="1" t="s">
        <v>31</v>
      </c>
      <c r="E71" s="4">
        <v>18</v>
      </c>
      <c r="F71" s="4">
        <v>9</v>
      </c>
      <c r="G71" s="1" t="s">
        <v>25</v>
      </c>
      <c r="H71" s="1" t="s">
        <v>46</v>
      </c>
      <c r="I71" s="5" t="s">
        <v>170</v>
      </c>
      <c r="J71" s="4">
        <v>60</v>
      </c>
      <c r="O71" s="1" t="s">
        <v>175</v>
      </c>
      <c r="P71" s="1" t="s">
        <v>35</v>
      </c>
      <c r="Q71" s="1" t="s">
        <v>30</v>
      </c>
      <c r="R71" s="1" t="s">
        <v>31</v>
      </c>
      <c r="S71" s="4">
        <v>20</v>
      </c>
      <c r="T71" s="4">
        <v>9</v>
      </c>
      <c r="U71" s="1" t="s">
        <v>14</v>
      </c>
      <c r="V71" s="1" t="s">
        <v>61</v>
      </c>
      <c r="W71" s="5" t="s">
        <v>176</v>
      </c>
      <c r="X71" s="4">
        <v>76</v>
      </c>
    </row>
    <row r="72" spans="1:24" x14ac:dyDescent="0.3">
      <c r="A72" s="1" t="s">
        <v>171</v>
      </c>
      <c r="B72" s="1" t="s">
        <v>29</v>
      </c>
      <c r="C72" s="1" t="s">
        <v>85</v>
      </c>
      <c r="D72" s="1" t="s">
        <v>13</v>
      </c>
      <c r="E72" s="4">
        <v>14</v>
      </c>
      <c r="F72" s="4">
        <v>10</v>
      </c>
      <c r="G72" s="1" t="s">
        <v>32</v>
      </c>
      <c r="H72" s="1" t="s">
        <v>61</v>
      </c>
      <c r="I72" s="5" t="s">
        <v>172</v>
      </c>
      <c r="J72" s="4">
        <v>51</v>
      </c>
      <c r="O72" s="1" t="s">
        <v>177</v>
      </c>
      <c r="P72" s="1" t="s">
        <v>29</v>
      </c>
      <c r="Q72" s="1" t="s">
        <v>58</v>
      </c>
      <c r="R72" s="1" t="s">
        <v>31</v>
      </c>
      <c r="S72" s="4">
        <v>19</v>
      </c>
      <c r="T72" s="4">
        <v>12</v>
      </c>
      <c r="U72" s="1" t="s">
        <v>43</v>
      </c>
      <c r="V72" s="1" t="s">
        <v>61</v>
      </c>
      <c r="W72" s="5" t="s">
        <v>178</v>
      </c>
      <c r="X72" s="4">
        <v>99</v>
      </c>
    </row>
    <row r="73" spans="1:24" x14ac:dyDescent="0.3">
      <c r="A73" s="1" t="s">
        <v>173</v>
      </c>
      <c r="B73" s="1" t="s">
        <v>54</v>
      </c>
      <c r="C73" s="1" t="s">
        <v>30</v>
      </c>
      <c r="D73" s="1" t="s">
        <v>31</v>
      </c>
      <c r="E73" s="4">
        <v>18</v>
      </c>
      <c r="F73" s="4">
        <v>9</v>
      </c>
      <c r="G73" s="1" t="s">
        <v>32</v>
      </c>
      <c r="H73" s="1" t="s">
        <v>40</v>
      </c>
      <c r="I73" s="5" t="s">
        <v>174</v>
      </c>
      <c r="J73" s="4">
        <v>54</v>
      </c>
      <c r="O73" s="1" t="s">
        <v>179</v>
      </c>
      <c r="P73" s="1" t="s">
        <v>29</v>
      </c>
      <c r="Q73" s="1" t="s">
        <v>58</v>
      </c>
      <c r="R73" s="1" t="s">
        <v>31</v>
      </c>
      <c r="S73" s="4">
        <v>16</v>
      </c>
      <c r="T73" s="4">
        <v>11</v>
      </c>
      <c r="U73" s="1" t="s">
        <v>25</v>
      </c>
      <c r="V73" s="1" t="s">
        <v>26</v>
      </c>
      <c r="W73" s="5" t="s">
        <v>180</v>
      </c>
      <c r="X73" s="4">
        <v>75</v>
      </c>
    </row>
    <row r="74" spans="1:24" x14ac:dyDescent="0.3">
      <c r="A74" s="1" t="s">
        <v>175</v>
      </c>
      <c r="B74" s="1" t="s">
        <v>35</v>
      </c>
      <c r="C74" s="1" t="s">
        <v>30</v>
      </c>
      <c r="D74" s="1" t="s">
        <v>31</v>
      </c>
      <c r="E74" s="4">
        <v>20</v>
      </c>
      <c r="F74" s="4">
        <v>9</v>
      </c>
      <c r="G74" s="1" t="s">
        <v>14</v>
      </c>
      <c r="H74" s="1" t="s">
        <v>61</v>
      </c>
      <c r="I74" s="5" t="s">
        <v>176</v>
      </c>
      <c r="J74" s="4">
        <v>76</v>
      </c>
      <c r="O74" s="1" t="s">
        <v>181</v>
      </c>
      <c r="P74" s="1" t="s">
        <v>11</v>
      </c>
      <c r="Q74" s="1" t="s">
        <v>55</v>
      </c>
      <c r="R74" s="1" t="s">
        <v>31</v>
      </c>
      <c r="S74" s="4">
        <v>18</v>
      </c>
      <c r="T74" s="4">
        <v>10</v>
      </c>
      <c r="U74" s="1" t="s">
        <v>25</v>
      </c>
      <c r="V74" s="1" t="s">
        <v>46</v>
      </c>
      <c r="W74" s="5" t="s">
        <v>182</v>
      </c>
      <c r="X74" s="4">
        <v>98</v>
      </c>
    </row>
    <row r="75" spans="1:24" x14ac:dyDescent="0.3">
      <c r="A75" s="1" t="s">
        <v>177</v>
      </c>
      <c r="B75" s="1" t="s">
        <v>29</v>
      </c>
      <c r="C75" s="1" t="s">
        <v>58</v>
      </c>
      <c r="D75" s="1" t="s">
        <v>31</v>
      </c>
      <c r="E75" s="4">
        <v>19</v>
      </c>
      <c r="F75" s="4">
        <v>12</v>
      </c>
      <c r="G75" s="1" t="s">
        <v>43</v>
      </c>
      <c r="H75" s="1" t="s">
        <v>61</v>
      </c>
      <c r="I75" s="5" t="s">
        <v>178</v>
      </c>
      <c r="J75" s="4">
        <v>99</v>
      </c>
      <c r="O75" s="1" t="s">
        <v>183</v>
      </c>
      <c r="P75" s="1" t="s">
        <v>11</v>
      </c>
      <c r="Q75" s="1" t="s">
        <v>30</v>
      </c>
      <c r="R75" s="1" t="s">
        <v>31</v>
      </c>
      <c r="S75" s="4">
        <v>17</v>
      </c>
      <c r="T75" s="4">
        <v>12</v>
      </c>
      <c r="U75" s="1" t="s">
        <v>14</v>
      </c>
      <c r="V75" s="1" t="s">
        <v>37</v>
      </c>
      <c r="W75" s="5" t="s">
        <v>184</v>
      </c>
      <c r="X75" s="4">
        <v>49</v>
      </c>
    </row>
    <row r="76" spans="1:24" x14ac:dyDescent="0.3">
      <c r="A76" s="1" t="s">
        <v>179</v>
      </c>
      <c r="B76" s="1" t="s">
        <v>29</v>
      </c>
      <c r="C76" s="1" t="s">
        <v>58</v>
      </c>
      <c r="D76" s="1" t="s">
        <v>31</v>
      </c>
      <c r="E76" s="4">
        <v>16</v>
      </c>
      <c r="F76" s="4">
        <v>11</v>
      </c>
      <c r="G76" s="1" t="s">
        <v>25</v>
      </c>
      <c r="H76" s="1" t="s">
        <v>26</v>
      </c>
      <c r="I76" s="5" t="s">
        <v>180</v>
      </c>
      <c r="J76" s="4">
        <v>75</v>
      </c>
      <c r="O76" s="1" t="s">
        <v>185</v>
      </c>
      <c r="P76" s="1" t="s">
        <v>35</v>
      </c>
      <c r="Q76" s="1" t="s">
        <v>30</v>
      </c>
      <c r="R76" s="1" t="s">
        <v>31</v>
      </c>
      <c r="S76" s="4">
        <v>14</v>
      </c>
      <c r="T76" s="4">
        <v>12</v>
      </c>
      <c r="U76" s="1" t="s">
        <v>43</v>
      </c>
      <c r="V76" s="1" t="s">
        <v>61</v>
      </c>
      <c r="W76" s="5" t="s">
        <v>186</v>
      </c>
      <c r="X76" s="4">
        <v>45</v>
      </c>
    </row>
    <row r="77" spans="1:24" x14ac:dyDescent="0.3">
      <c r="A77" s="1" t="s">
        <v>181</v>
      </c>
      <c r="B77" s="1" t="s">
        <v>11</v>
      </c>
      <c r="C77" s="1" t="s">
        <v>55</v>
      </c>
      <c r="D77" s="1" t="s">
        <v>31</v>
      </c>
      <c r="E77" s="4">
        <v>18</v>
      </c>
      <c r="F77" s="4">
        <v>10</v>
      </c>
      <c r="G77" s="1" t="s">
        <v>25</v>
      </c>
      <c r="H77" s="1" t="s">
        <v>46</v>
      </c>
      <c r="I77" s="5" t="s">
        <v>182</v>
      </c>
      <c r="J77" s="4">
        <v>98</v>
      </c>
      <c r="O77" s="1" t="s">
        <v>187</v>
      </c>
      <c r="P77" s="1" t="s">
        <v>51</v>
      </c>
      <c r="Q77" s="1" t="s">
        <v>12</v>
      </c>
      <c r="R77" s="1" t="s">
        <v>31</v>
      </c>
      <c r="S77" s="4">
        <v>17</v>
      </c>
      <c r="T77" s="4">
        <v>10</v>
      </c>
      <c r="U77" s="1" t="s">
        <v>43</v>
      </c>
      <c r="V77" s="1" t="s">
        <v>46</v>
      </c>
      <c r="W77" s="5" t="s">
        <v>101</v>
      </c>
      <c r="X77" s="4">
        <v>66</v>
      </c>
    </row>
    <row r="78" spans="1:24" x14ac:dyDescent="0.3">
      <c r="A78" s="1" t="s">
        <v>183</v>
      </c>
      <c r="B78" s="1" t="s">
        <v>11</v>
      </c>
      <c r="C78" s="1" t="s">
        <v>30</v>
      </c>
      <c r="D78" s="1" t="s">
        <v>31</v>
      </c>
      <c r="E78" s="4">
        <v>17</v>
      </c>
      <c r="F78" s="4">
        <v>12</v>
      </c>
      <c r="G78" s="1" t="s">
        <v>14</v>
      </c>
      <c r="H78" s="1" t="s">
        <v>37</v>
      </c>
      <c r="I78" s="5" t="s">
        <v>184</v>
      </c>
      <c r="J78" s="4">
        <v>49</v>
      </c>
      <c r="O78" s="1" t="s">
        <v>188</v>
      </c>
      <c r="P78" s="1" t="s">
        <v>23</v>
      </c>
      <c r="Q78" s="1" t="s">
        <v>55</v>
      </c>
      <c r="R78" s="1" t="s">
        <v>31</v>
      </c>
      <c r="S78" s="4">
        <v>15</v>
      </c>
      <c r="T78" s="4">
        <v>9</v>
      </c>
      <c r="U78" s="1" t="s">
        <v>43</v>
      </c>
      <c r="V78" s="1" t="s">
        <v>20</v>
      </c>
      <c r="W78" s="5" t="s">
        <v>189</v>
      </c>
      <c r="X78" s="4">
        <v>88</v>
      </c>
    </row>
    <row r="79" spans="1:24" x14ac:dyDescent="0.3">
      <c r="A79" s="1" t="s">
        <v>185</v>
      </c>
      <c r="B79" s="1" t="s">
        <v>35</v>
      </c>
      <c r="C79" s="1" t="s">
        <v>30</v>
      </c>
      <c r="D79" s="1" t="s">
        <v>31</v>
      </c>
      <c r="E79" s="4">
        <v>14</v>
      </c>
      <c r="F79" s="4">
        <v>12</v>
      </c>
      <c r="G79" s="1" t="s">
        <v>43</v>
      </c>
      <c r="H79" s="1" t="s">
        <v>61</v>
      </c>
      <c r="I79" s="5" t="s">
        <v>186</v>
      </c>
      <c r="J79" s="4">
        <v>45</v>
      </c>
      <c r="O79" s="1" t="s">
        <v>190</v>
      </c>
      <c r="P79" s="1" t="s">
        <v>18</v>
      </c>
      <c r="Q79" s="1" t="s">
        <v>19</v>
      </c>
      <c r="R79" s="1" t="s">
        <v>31</v>
      </c>
      <c r="S79" s="4">
        <v>14</v>
      </c>
      <c r="T79" s="4">
        <v>12</v>
      </c>
      <c r="U79" s="1" t="s">
        <v>32</v>
      </c>
      <c r="V79" s="1" t="s">
        <v>37</v>
      </c>
      <c r="W79" s="5" t="s">
        <v>191</v>
      </c>
      <c r="X79" s="4">
        <v>63</v>
      </c>
    </row>
    <row r="80" spans="1:24" x14ac:dyDescent="0.3">
      <c r="A80" s="1" t="s">
        <v>187</v>
      </c>
      <c r="B80" s="1" t="s">
        <v>51</v>
      </c>
      <c r="C80" s="1" t="s">
        <v>12</v>
      </c>
      <c r="D80" s="1" t="s">
        <v>31</v>
      </c>
      <c r="E80" s="4">
        <v>17</v>
      </c>
      <c r="F80" s="4">
        <v>10</v>
      </c>
      <c r="G80" s="1" t="s">
        <v>43</v>
      </c>
      <c r="H80" s="1" t="s">
        <v>46</v>
      </c>
      <c r="I80" s="5" t="s">
        <v>101</v>
      </c>
      <c r="J80" s="4">
        <v>66</v>
      </c>
      <c r="O80" s="1" t="s">
        <v>192</v>
      </c>
      <c r="P80" s="1" t="s">
        <v>68</v>
      </c>
      <c r="Q80" s="1" t="s">
        <v>85</v>
      </c>
      <c r="R80" s="1" t="s">
        <v>13</v>
      </c>
      <c r="S80" s="4">
        <v>19</v>
      </c>
      <c r="T80" s="4">
        <v>11</v>
      </c>
      <c r="U80" s="1" t="s">
        <v>43</v>
      </c>
      <c r="V80" s="1" t="s">
        <v>61</v>
      </c>
      <c r="W80" s="5" t="s">
        <v>193</v>
      </c>
      <c r="X80" s="4">
        <v>78</v>
      </c>
    </row>
    <row r="81" spans="1:24" x14ac:dyDescent="0.3">
      <c r="A81" s="1" t="s">
        <v>188</v>
      </c>
      <c r="B81" s="1" t="s">
        <v>23</v>
      </c>
      <c r="C81" s="1" t="s">
        <v>55</v>
      </c>
      <c r="D81" s="1" t="s">
        <v>31</v>
      </c>
      <c r="E81" s="4">
        <v>15</v>
      </c>
      <c r="F81" s="4">
        <v>9</v>
      </c>
      <c r="G81" s="1" t="s">
        <v>43</v>
      </c>
      <c r="H81" s="1" t="s">
        <v>20</v>
      </c>
      <c r="I81" s="5" t="s">
        <v>189</v>
      </c>
      <c r="J81" s="4">
        <v>88</v>
      </c>
      <c r="O81" s="1" t="s">
        <v>194</v>
      </c>
      <c r="P81" s="1" t="s">
        <v>23</v>
      </c>
      <c r="Q81" s="1" t="s">
        <v>19</v>
      </c>
      <c r="R81" s="1" t="s">
        <v>31</v>
      </c>
      <c r="S81" s="4">
        <v>20</v>
      </c>
      <c r="T81" s="4">
        <v>9</v>
      </c>
      <c r="U81" s="1" t="s">
        <v>25</v>
      </c>
      <c r="V81" s="1" t="s">
        <v>76</v>
      </c>
      <c r="W81" s="5" t="s">
        <v>195</v>
      </c>
      <c r="X81" s="4">
        <v>76</v>
      </c>
    </row>
    <row r="82" spans="1:24" x14ac:dyDescent="0.3">
      <c r="A82" s="1" t="s">
        <v>190</v>
      </c>
      <c r="B82" s="1" t="s">
        <v>18</v>
      </c>
      <c r="C82" s="1" t="s">
        <v>19</v>
      </c>
      <c r="D82" s="1" t="s">
        <v>31</v>
      </c>
      <c r="E82" s="4">
        <v>14</v>
      </c>
      <c r="F82" s="4">
        <v>12</v>
      </c>
      <c r="G82" s="1" t="s">
        <v>32</v>
      </c>
      <c r="H82" s="1" t="s">
        <v>37</v>
      </c>
      <c r="I82" s="5" t="s">
        <v>191</v>
      </c>
      <c r="J82" s="4">
        <v>63</v>
      </c>
      <c r="O82" s="1" t="s">
        <v>196</v>
      </c>
      <c r="P82" s="1" t="s">
        <v>23</v>
      </c>
      <c r="Q82" s="1" t="s">
        <v>79</v>
      </c>
      <c r="R82" s="1" t="s">
        <v>13</v>
      </c>
      <c r="S82" s="4">
        <v>18</v>
      </c>
      <c r="T82" s="4">
        <v>12</v>
      </c>
      <c r="U82" s="1" t="s">
        <v>43</v>
      </c>
      <c r="V82" s="1" t="s">
        <v>76</v>
      </c>
      <c r="W82" s="5" t="s">
        <v>197</v>
      </c>
      <c r="X82" s="4">
        <v>67</v>
      </c>
    </row>
    <row r="83" spans="1:24" x14ac:dyDescent="0.3">
      <c r="A83" s="1" t="s">
        <v>192</v>
      </c>
      <c r="B83" s="1" t="s">
        <v>68</v>
      </c>
      <c r="C83" s="1" t="s">
        <v>85</v>
      </c>
      <c r="D83" s="1" t="s">
        <v>13</v>
      </c>
      <c r="E83" s="4">
        <v>19</v>
      </c>
      <c r="F83" s="4">
        <v>11</v>
      </c>
      <c r="G83" s="1" t="s">
        <v>43</v>
      </c>
      <c r="H83" s="1" t="s">
        <v>61</v>
      </c>
      <c r="I83" s="5" t="s">
        <v>193</v>
      </c>
      <c r="J83" s="4">
        <v>78</v>
      </c>
      <c r="O83" s="1" t="s">
        <v>198</v>
      </c>
      <c r="P83" s="1" t="s">
        <v>11</v>
      </c>
      <c r="Q83" s="1" t="s">
        <v>85</v>
      </c>
      <c r="R83" s="1" t="s">
        <v>31</v>
      </c>
      <c r="S83" s="4">
        <v>14</v>
      </c>
      <c r="T83" s="4">
        <v>10</v>
      </c>
      <c r="U83" s="1" t="s">
        <v>25</v>
      </c>
      <c r="V83" s="1" t="s">
        <v>61</v>
      </c>
      <c r="W83" s="5" t="s">
        <v>199</v>
      </c>
      <c r="X83" s="4">
        <v>97</v>
      </c>
    </row>
    <row r="84" spans="1:24" x14ac:dyDescent="0.3">
      <c r="A84" s="1" t="s">
        <v>194</v>
      </c>
      <c r="B84" s="1" t="s">
        <v>23</v>
      </c>
      <c r="C84" s="1" t="s">
        <v>19</v>
      </c>
      <c r="D84" s="1" t="s">
        <v>31</v>
      </c>
      <c r="E84" s="4">
        <v>20</v>
      </c>
      <c r="F84" s="4">
        <v>9</v>
      </c>
      <c r="G84" s="1" t="s">
        <v>25</v>
      </c>
      <c r="H84" s="1" t="s">
        <v>76</v>
      </c>
      <c r="I84" s="5" t="s">
        <v>195</v>
      </c>
      <c r="J84" s="4">
        <v>76</v>
      </c>
      <c r="O84" s="1" t="s">
        <v>200</v>
      </c>
      <c r="P84" s="1" t="s">
        <v>29</v>
      </c>
      <c r="Q84" s="1" t="s">
        <v>12</v>
      </c>
      <c r="R84" s="1" t="s">
        <v>13</v>
      </c>
      <c r="S84" s="4">
        <v>18</v>
      </c>
      <c r="T84" s="4">
        <v>12</v>
      </c>
      <c r="U84" s="1" t="s">
        <v>25</v>
      </c>
      <c r="V84" s="1" t="s">
        <v>26</v>
      </c>
      <c r="W84" s="5" t="s">
        <v>201</v>
      </c>
      <c r="X84" s="4">
        <v>89</v>
      </c>
    </row>
    <row r="85" spans="1:24" x14ac:dyDescent="0.3">
      <c r="A85" s="1" t="s">
        <v>196</v>
      </c>
      <c r="B85" s="1" t="s">
        <v>23</v>
      </c>
      <c r="C85" s="1" t="s">
        <v>79</v>
      </c>
      <c r="D85" s="1" t="s">
        <v>13</v>
      </c>
      <c r="E85" s="4">
        <v>18</v>
      </c>
      <c r="F85" s="4">
        <v>12</v>
      </c>
      <c r="G85" s="1" t="s">
        <v>43</v>
      </c>
      <c r="H85" s="1" t="s">
        <v>76</v>
      </c>
      <c r="I85" s="5" t="s">
        <v>197</v>
      </c>
      <c r="J85" s="4">
        <v>67</v>
      </c>
      <c r="O85" s="1" t="s">
        <v>202</v>
      </c>
      <c r="P85" s="1" t="s">
        <v>51</v>
      </c>
      <c r="Q85" s="1" t="s">
        <v>55</v>
      </c>
      <c r="R85" s="1" t="s">
        <v>31</v>
      </c>
      <c r="S85" s="4">
        <v>15</v>
      </c>
      <c r="T85" s="4">
        <v>9</v>
      </c>
      <c r="U85" s="1" t="s">
        <v>14</v>
      </c>
      <c r="V85" s="1" t="s">
        <v>40</v>
      </c>
      <c r="W85" s="5" t="s">
        <v>111</v>
      </c>
      <c r="X85" s="4">
        <v>70</v>
      </c>
    </row>
    <row r="86" spans="1:24" x14ac:dyDescent="0.3">
      <c r="A86" s="1" t="s">
        <v>198</v>
      </c>
      <c r="B86" s="1" t="s">
        <v>11</v>
      </c>
      <c r="C86" s="1" t="s">
        <v>85</v>
      </c>
      <c r="D86" s="1" t="s">
        <v>31</v>
      </c>
      <c r="E86" s="4">
        <v>14</v>
      </c>
      <c r="F86" s="4">
        <v>10</v>
      </c>
      <c r="G86" s="1" t="s">
        <v>25</v>
      </c>
      <c r="H86" s="1" t="s">
        <v>61</v>
      </c>
      <c r="I86" s="5" t="s">
        <v>199</v>
      </c>
      <c r="J86" s="4">
        <v>97</v>
      </c>
      <c r="O86" s="1" t="s">
        <v>203</v>
      </c>
      <c r="P86" s="1" t="s">
        <v>35</v>
      </c>
      <c r="Q86" s="1" t="s">
        <v>96</v>
      </c>
      <c r="R86" s="1" t="s">
        <v>13</v>
      </c>
      <c r="S86" s="4">
        <v>17</v>
      </c>
      <c r="T86" s="4">
        <v>12</v>
      </c>
      <c r="U86" s="1" t="s">
        <v>25</v>
      </c>
      <c r="V86" s="1" t="s">
        <v>20</v>
      </c>
      <c r="W86" s="5" t="s">
        <v>204</v>
      </c>
      <c r="X86" s="4">
        <v>90</v>
      </c>
    </row>
    <row r="87" spans="1:24" x14ac:dyDescent="0.3">
      <c r="A87" s="1" t="s">
        <v>200</v>
      </c>
      <c r="B87" s="1" t="s">
        <v>29</v>
      </c>
      <c r="C87" s="1" t="s">
        <v>12</v>
      </c>
      <c r="D87" s="1" t="s">
        <v>13</v>
      </c>
      <c r="E87" s="4">
        <v>18</v>
      </c>
      <c r="F87" s="4">
        <v>12</v>
      </c>
      <c r="G87" s="1" t="s">
        <v>25</v>
      </c>
      <c r="H87" s="1" t="s">
        <v>26</v>
      </c>
      <c r="I87" s="5" t="s">
        <v>201</v>
      </c>
      <c r="J87" s="4">
        <v>89</v>
      </c>
      <c r="O87" s="1" t="s">
        <v>205</v>
      </c>
      <c r="P87" s="1" t="s">
        <v>73</v>
      </c>
      <c r="Q87" s="1" t="s">
        <v>24</v>
      </c>
      <c r="R87" s="1" t="s">
        <v>13</v>
      </c>
      <c r="S87" s="4">
        <v>17</v>
      </c>
      <c r="T87" s="4">
        <v>9</v>
      </c>
      <c r="U87" s="1" t="s">
        <v>14</v>
      </c>
      <c r="V87" s="1" t="s">
        <v>46</v>
      </c>
      <c r="W87" s="5" t="s">
        <v>206</v>
      </c>
      <c r="X87" s="4">
        <v>59</v>
      </c>
    </row>
    <row r="88" spans="1:24" x14ac:dyDescent="0.3">
      <c r="A88" s="1" t="s">
        <v>202</v>
      </c>
      <c r="B88" s="1" t="s">
        <v>51</v>
      </c>
      <c r="C88" s="1" t="s">
        <v>55</v>
      </c>
      <c r="D88" s="1" t="s">
        <v>31</v>
      </c>
      <c r="E88" s="4">
        <v>15</v>
      </c>
      <c r="F88" s="4">
        <v>9</v>
      </c>
      <c r="G88" s="1" t="s">
        <v>14</v>
      </c>
      <c r="H88" s="1" t="s">
        <v>40</v>
      </c>
      <c r="I88" s="5" t="s">
        <v>111</v>
      </c>
      <c r="J88" s="4">
        <v>70</v>
      </c>
      <c r="O88" s="1" t="s">
        <v>207</v>
      </c>
      <c r="P88" s="1" t="s">
        <v>54</v>
      </c>
      <c r="Q88" s="1" t="s">
        <v>19</v>
      </c>
      <c r="R88" s="1" t="s">
        <v>31</v>
      </c>
      <c r="S88" s="4">
        <v>19</v>
      </c>
      <c r="T88" s="4">
        <v>9</v>
      </c>
      <c r="U88" s="1" t="s">
        <v>14</v>
      </c>
      <c r="V88" s="1" t="s">
        <v>61</v>
      </c>
      <c r="W88" s="5" t="s">
        <v>208</v>
      </c>
      <c r="X88" s="4">
        <v>76</v>
      </c>
    </row>
    <row r="89" spans="1:24" x14ac:dyDescent="0.3">
      <c r="A89" s="1" t="s">
        <v>203</v>
      </c>
      <c r="B89" s="1" t="s">
        <v>35</v>
      </c>
      <c r="C89" s="1" t="s">
        <v>96</v>
      </c>
      <c r="D89" s="1" t="s">
        <v>13</v>
      </c>
      <c r="E89" s="4">
        <v>17</v>
      </c>
      <c r="F89" s="4">
        <v>12</v>
      </c>
      <c r="G89" s="1" t="s">
        <v>25</v>
      </c>
      <c r="H89" s="1" t="s">
        <v>20</v>
      </c>
      <c r="I89" s="5" t="s">
        <v>204</v>
      </c>
      <c r="J89" s="4">
        <v>90</v>
      </c>
      <c r="O89" s="1" t="s">
        <v>209</v>
      </c>
      <c r="P89" s="1" t="s">
        <v>29</v>
      </c>
      <c r="Q89" s="1" t="s">
        <v>30</v>
      </c>
      <c r="R89" s="1" t="s">
        <v>31</v>
      </c>
      <c r="S89" s="4">
        <v>18</v>
      </c>
      <c r="T89" s="4">
        <v>11</v>
      </c>
      <c r="U89" s="1" t="s">
        <v>43</v>
      </c>
      <c r="V89" s="1" t="s">
        <v>20</v>
      </c>
      <c r="W89" s="5" t="s">
        <v>210</v>
      </c>
      <c r="X89" s="4">
        <v>78</v>
      </c>
    </row>
    <row r="90" spans="1:24" x14ac:dyDescent="0.3">
      <c r="A90" s="1" t="s">
        <v>205</v>
      </c>
      <c r="B90" s="1" t="s">
        <v>73</v>
      </c>
      <c r="C90" s="1" t="s">
        <v>24</v>
      </c>
      <c r="D90" s="1" t="s">
        <v>13</v>
      </c>
      <c r="E90" s="4">
        <v>17</v>
      </c>
      <c r="F90" s="4">
        <v>9</v>
      </c>
      <c r="G90" s="1" t="s">
        <v>14</v>
      </c>
      <c r="H90" s="1" t="s">
        <v>46</v>
      </c>
      <c r="I90" s="5" t="s">
        <v>206</v>
      </c>
      <c r="J90" s="4">
        <v>59</v>
      </c>
      <c r="O90" s="1" t="s">
        <v>211</v>
      </c>
      <c r="P90" s="1" t="s">
        <v>35</v>
      </c>
      <c r="Q90" s="1" t="s">
        <v>19</v>
      </c>
      <c r="R90" s="1" t="s">
        <v>31</v>
      </c>
      <c r="S90" s="4">
        <v>16</v>
      </c>
      <c r="T90" s="4">
        <v>9</v>
      </c>
      <c r="U90" s="1" t="s">
        <v>14</v>
      </c>
      <c r="V90" s="1" t="s">
        <v>37</v>
      </c>
      <c r="W90" s="5" t="s">
        <v>212</v>
      </c>
      <c r="X90" s="4">
        <v>57</v>
      </c>
    </row>
    <row r="91" spans="1:24" x14ac:dyDescent="0.3">
      <c r="A91" s="1" t="s">
        <v>207</v>
      </c>
      <c r="B91" s="1" t="s">
        <v>54</v>
      </c>
      <c r="C91" s="1" t="s">
        <v>19</v>
      </c>
      <c r="D91" s="1" t="s">
        <v>31</v>
      </c>
      <c r="E91" s="4">
        <v>19</v>
      </c>
      <c r="F91" s="4">
        <v>9</v>
      </c>
      <c r="G91" s="1" t="s">
        <v>14</v>
      </c>
      <c r="H91" s="1" t="s">
        <v>61</v>
      </c>
      <c r="I91" s="5" t="s">
        <v>208</v>
      </c>
      <c r="J91" s="4">
        <v>76</v>
      </c>
      <c r="O91" s="1" t="s">
        <v>213</v>
      </c>
      <c r="P91" s="1" t="s">
        <v>29</v>
      </c>
      <c r="Q91" s="1" t="s">
        <v>24</v>
      </c>
      <c r="R91" s="1" t="s">
        <v>31</v>
      </c>
      <c r="S91" s="4">
        <v>17</v>
      </c>
      <c r="T91" s="4">
        <v>11</v>
      </c>
      <c r="U91" s="1" t="s">
        <v>14</v>
      </c>
      <c r="V91" s="1" t="s">
        <v>76</v>
      </c>
      <c r="W91" s="5" t="s">
        <v>214</v>
      </c>
      <c r="X91" s="4">
        <v>74</v>
      </c>
    </row>
    <row r="92" spans="1:24" x14ac:dyDescent="0.3">
      <c r="A92" s="1" t="s">
        <v>209</v>
      </c>
      <c r="B92" s="1" t="s">
        <v>29</v>
      </c>
      <c r="C92" s="1" t="s">
        <v>30</v>
      </c>
      <c r="D92" s="1" t="s">
        <v>31</v>
      </c>
      <c r="E92" s="4">
        <v>18</v>
      </c>
      <c r="F92" s="4">
        <v>11</v>
      </c>
      <c r="G92" s="1" t="s">
        <v>43</v>
      </c>
      <c r="H92" s="1" t="s">
        <v>20</v>
      </c>
      <c r="I92" s="5" t="s">
        <v>210</v>
      </c>
      <c r="J92" s="4">
        <v>78</v>
      </c>
      <c r="O92" s="1" t="s">
        <v>215</v>
      </c>
      <c r="P92" s="1" t="s">
        <v>84</v>
      </c>
      <c r="Q92" s="1" t="s">
        <v>36</v>
      </c>
      <c r="R92" s="1" t="s">
        <v>31</v>
      </c>
      <c r="S92" s="4">
        <v>19</v>
      </c>
      <c r="T92" s="4">
        <v>12</v>
      </c>
      <c r="U92" s="1" t="s">
        <v>14</v>
      </c>
      <c r="V92" s="1" t="s">
        <v>37</v>
      </c>
      <c r="W92" s="5" t="s">
        <v>216</v>
      </c>
      <c r="X92" s="4">
        <v>84</v>
      </c>
    </row>
    <row r="93" spans="1:24" x14ac:dyDescent="0.3">
      <c r="A93" s="1" t="s">
        <v>211</v>
      </c>
      <c r="B93" s="1" t="s">
        <v>35</v>
      </c>
      <c r="C93" s="1" t="s">
        <v>19</v>
      </c>
      <c r="D93" s="1" t="s">
        <v>31</v>
      </c>
      <c r="E93" s="4">
        <v>16</v>
      </c>
      <c r="F93" s="4">
        <v>9</v>
      </c>
      <c r="G93" s="1" t="s">
        <v>14</v>
      </c>
      <c r="H93" s="1" t="s">
        <v>37</v>
      </c>
      <c r="I93" s="5" t="s">
        <v>212</v>
      </c>
      <c r="J93" s="4">
        <v>57</v>
      </c>
      <c r="O93" s="1" t="s">
        <v>217</v>
      </c>
      <c r="P93" s="1" t="s">
        <v>84</v>
      </c>
      <c r="Q93" s="1" t="s">
        <v>96</v>
      </c>
      <c r="R93" s="1" t="s">
        <v>31</v>
      </c>
      <c r="S93" s="4">
        <v>17</v>
      </c>
      <c r="T93" s="4">
        <v>10</v>
      </c>
      <c r="U93" s="1" t="s">
        <v>43</v>
      </c>
      <c r="V93" s="1" t="s">
        <v>46</v>
      </c>
      <c r="W93" s="5" t="s">
        <v>218</v>
      </c>
      <c r="X93" s="4">
        <v>46</v>
      </c>
    </row>
    <row r="94" spans="1:24" x14ac:dyDescent="0.3">
      <c r="A94" s="1" t="s">
        <v>213</v>
      </c>
      <c r="B94" s="1" t="s">
        <v>29</v>
      </c>
      <c r="C94" s="1" t="s">
        <v>24</v>
      </c>
      <c r="D94" s="1" t="s">
        <v>31</v>
      </c>
      <c r="E94" s="4">
        <v>17</v>
      </c>
      <c r="F94" s="4">
        <v>11</v>
      </c>
      <c r="G94" s="1" t="s">
        <v>14</v>
      </c>
      <c r="H94" s="1" t="s">
        <v>76</v>
      </c>
      <c r="I94" s="5" t="s">
        <v>214</v>
      </c>
      <c r="J94" s="4">
        <v>74</v>
      </c>
      <c r="O94" s="1" t="s">
        <v>219</v>
      </c>
      <c r="P94" s="1" t="s">
        <v>68</v>
      </c>
      <c r="Q94" s="1" t="s">
        <v>19</v>
      </c>
      <c r="R94" s="1" t="s">
        <v>13</v>
      </c>
      <c r="S94" s="4">
        <v>19</v>
      </c>
      <c r="T94" s="4">
        <v>9</v>
      </c>
      <c r="U94" s="1" t="s">
        <v>14</v>
      </c>
      <c r="V94" s="1" t="s">
        <v>40</v>
      </c>
      <c r="W94" s="5" t="s">
        <v>220</v>
      </c>
      <c r="X94" s="4">
        <v>63</v>
      </c>
    </row>
    <row r="95" spans="1:24" x14ac:dyDescent="0.3">
      <c r="A95" s="1" t="s">
        <v>215</v>
      </c>
      <c r="B95" s="1" t="s">
        <v>84</v>
      </c>
      <c r="C95" s="1" t="s">
        <v>36</v>
      </c>
      <c r="D95" s="1" t="s">
        <v>31</v>
      </c>
      <c r="E95" s="4">
        <v>19</v>
      </c>
      <c r="F95" s="4">
        <v>12</v>
      </c>
      <c r="G95" s="1" t="s">
        <v>14</v>
      </c>
      <c r="H95" s="1" t="s">
        <v>37</v>
      </c>
      <c r="I95" s="5" t="s">
        <v>216</v>
      </c>
      <c r="J95" s="4">
        <v>84</v>
      </c>
      <c r="O95" s="1" t="s">
        <v>221</v>
      </c>
      <c r="P95" s="1" t="s">
        <v>51</v>
      </c>
      <c r="Q95" s="1" t="s">
        <v>55</v>
      </c>
      <c r="R95" s="1" t="s">
        <v>13</v>
      </c>
      <c r="S95" s="4">
        <v>14</v>
      </c>
      <c r="T95" s="4">
        <v>10</v>
      </c>
      <c r="U95" s="1" t="s">
        <v>43</v>
      </c>
      <c r="V95" s="1" t="s">
        <v>61</v>
      </c>
      <c r="W95" s="5" t="s">
        <v>222</v>
      </c>
      <c r="X95" s="4">
        <v>72</v>
      </c>
    </row>
    <row r="96" spans="1:24" x14ac:dyDescent="0.3">
      <c r="A96" s="1" t="s">
        <v>217</v>
      </c>
      <c r="B96" s="1" t="s">
        <v>84</v>
      </c>
      <c r="C96" s="1" t="s">
        <v>96</v>
      </c>
      <c r="D96" s="1" t="s">
        <v>31</v>
      </c>
      <c r="E96" s="4">
        <v>17</v>
      </c>
      <c r="F96" s="4">
        <v>10</v>
      </c>
      <c r="G96" s="1" t="s">
        <v>43</v>
      </c>
      <c r="H96" s="1" t="s">
        <v>46</v>
      </c>
      <c r="I96" s="5" t="s">
        <v>218</v>
      </c>
      <c r="J96" s="4">
        <v>46</v>
      </c>
      <c r="O96" s="1" t="s">
        <v>223</v>
      </c>
      <c r="P96" s="1" t="s">
        <v>68</v>
      </c>
      <c r="Q96" s="1" t="s">
        <v>24</v>
      </c>
      <c r="R96" s="1" t="s">
        <v>13</v>
      </c>
      <c r="S96" s="4">
        <v>18</v>
      </c>
      <c r="T96" s="4">
        <v>11</v>
      </c>
      <c r="U96" s="1" t="s">
        <v>32</v>
      </c>
      <c r="V96" s="1" t="s">
        <v>40</v>
      </c>
      <c r="W96" s="5" t="s">
        <v>224</v>
      </c>
      <c r="X96" s="4">
        <v>87</v>
      </c>
    </row>
    <row r="97" spans="1:24" x14ac:dyDescent="0.3">
      <c r="A97" s="1" t="s">
        <v>219</v>
      </c>
      <c r="B97" s="1" t="s">
        <v>68</v>
      </c>
      <c r="C97" s="1" t="s">
        <v>19</v>
      </c>
      <c r="D97" s="1" t="s">
        <v>13</v>
      </c>
      <c r="E97" s="4">
        <v>19</v>
      </c>
      <c r="F97" s="4">
        <v>9</v>
      </c>
      <c r="G97" s="1" t="s">
        <v>14</v>
      </c>
      <c r="H97" s="1" t="s">
        <v>40</v>
      </c>
      <c r="I97" s="5" t="s">
        <v>220</v>
      </c>
      <c r="J97" s="4">
        <v>63</v>
      </c>
      <c r="O97" s="1" t="s">
        <v>225</v>
      </c>
      <c r="P97" s="1" t="s">
        <v>35</v>
      </c>
      <c r="Q97" s="1" t="s">
        <v>85</v>
      </c>
      <c r="R97" s="1" t="s">
        <v>13</v>
      </c>
      <c r="S97" s="4">
        <v>20</v>
      </c>
      <c r="T97" s="4">
        <v>9</v>
      </c>
      <c r="U97" s="1" t="s">
        <v>14</v>
      </c>
      <c r="V97" s="1" t="s">
        <v>40</v>
      </c>
      <c r="W97" s="5" t="s">
        <v>226</v>
      </c>
      <c r="X97" s="4">
        <v>55</v>
      </c>
    </row>
    <row r="98" spans="1:24" x14ac:dyDescent="0.3">
      <c r="A98" s="1" t="s">
        <v>221</v>
      </c>
      <c r="B98" s="1" t="s">
        <v>51</v>
      </c>
      <c r="C98" s="1" t="s">
        <v>55</v>
      </c>
      <c r="D98" s="1" t="s">
        <v>13</v>
      </c>
      <c r="E98" s="4">
        <v>14</v>
      </c>
      <c r="F98" s="4">
        <v>10</v>
      </c>
      <c r="G98" s="1" t="s">
        <v>43</v>
      </c>
      <c r="H98" s="1" t="s">
        <v>61</v>
      </c>
      <c r="I98" s="5" t="s">
        <v>222</v>
      </c>
      <c r="J98" s="4">
        <v>72</v>
      </c>
      <c r="O98" s="1" t="s">
        <v>227</v>
      </c>
      <c r="P98" s="1" t="s">
        <v>68</v>
      </c>
      <c r="Q98" s="1" t="s">
        <v>58</v>
      </c>
      <c r="R98" s="1" t="s">
        <v>13</v>
      </c>
      <c r="S98" s="4">
        <v>17</v>
      </c>
      <c r="T98" s="4">
        <v>12</v>
      </c>
      <c r="U98" s="1" t="s">
        <v>32</v>
      </c>
      <c r="V98" s="1" t="s">
        <v>26</v>
      </c>
      <c r="W98" s="5" t="s">
        <v>228</v>
      </c>
      <c r="X98" s="4">
        <v>37</v>
      </c>
    </row>
    <row r="99" spans="1:24" x14ac:dyDescent="0.3">
      <c r="A99" s="1" t="s">
        <v>223</v>
      </c>
      <c r="B99" s="1" t="s">
        <v>68</v>
      </c>
      <c r="C99" s="1" t="s">
        <v>24</v>
      </c>
      <c r="D99" s="1" t="s">
        <v>13</v>
      </c>
      <c r="E99" s="4">
        <v>18</v>
      </c>
      <c r="F99" s="4">
        <v>11</v>
      </c>
      <c r="G99" s="1" t="s">
        <v>32</v>
      </c>
      <c r="H99" s="1" t="s">
        <v>40</v>
      </c>
      <c r="I99" s="5" t="s">
        <v>224</v>
      </c>
      <c r="J99" s="4">
        <v>87</v>
      </c>
      <c r="O99" s="1" t="s">
        <v>229</v>
      </c>
      <c r="P99" s="1" t="s">
        <v>68</v>
      </c>
      <c r="Q99" s="1" t="s">
        <v>24</v>
      </c>
      <c r="R99" s="1" t="s">
        <v>13</v>
      </c>
      <c r="S99" s="4">
        <v>17</v>
      </c>
      <c r="T99" s="4">
        <v>11</v>
      </c>
      <c r="U99" s="1" t="s">
        <v>43</v>
      </c>
      <c r="V99" s="1" t="s">
        <v>26</v>
      </c>
      <c r="W99" s="5" t="s">
        <v>230</v>
      </c>
      <c r="X99" s="4">
        <v>53</v>
      </c>
    </row>
    <row r="100" spans="1:24" x14ac:dyDescent="0.3">
      <c r="A100" s="1" t="s">
        <v>225</v>
      </c>
      <c r="B100" s="1" t="s">
        <v>35</v>
      </c>
      <c r="C100" s="1" t="s">
        <v>85</v>
      </c>
      <c r="D100" s="1" t="s">
        <v>13</v>
      </c>
      <c r="E100" s="4">
        <v>20</v>
      </c>
      <c r="F100" s="4">
        <v>9</v>
      </c>
      <c r="G100" s="1" t="s">
        <v>14</v>
      </c>
      <c r="H100" s="1" t="s">
        <v>40</v>
      </c>
      <c r="I100" s="5" t="s">
        <v>226</v>
      </c>
      <c r="J100" s="4">
        <v>55</v>
      </c>
      <c r="O100" s="1" t="s">
        <v>231</v>
      </c>
      <c r="P100" s="1" t="s">
        <v>23</v>
      </c>
      <c r="Q100" s="1" t="s">
        <v>24</v>
      </c>
      <c r="R100" s="1" t="s">
        <v>31</v>
      </c>
      <c r="S100" s="4">
        <v>18</v>
      </c>
      <c r="T100" s="4">
        <v>9</v>
      </c>
      <c r="U100" s="1" t="s">
        <v>25</v>
      </c>
      <c r="V100" s="1" t="s">
        <v>61</v>
      </c>
      <c r="W100" s="5" t="s">
        <v>232</v>
      </c>
      <c r="X100" s="4">
        <v>88</v>
      </c>
    </row>
    <row r="101" spans="1:24" x14ac:dyDescent="0.3">
      <c r="A101" s="1" t="s">
        <v>227</v>
      </c>
      <c r="B101" s="1" t="s">
        <v>68</v>
      </c>
      <c r="C101" s="1" t="s">
        <v>58</v>
      </c>
      <c r="D101" s="1" t="s">
        <v>13</v>
      </c>
      <c r="E101" s="4">
        <v>17</v>
      </c>
      <c r="F101" s="4">
        <v>12</v>
      </c>
      <c r="G101" s="1" t="s">
        <v>32</v>
      </c>
      <c r="H101" s="1" t="s">
        <v>26</v>
      </c>
      <c r="I101" s="5" t="s">
        <v>228</v>
      </c>
      <c r="J101" s="4">
        <v>37</v>
      </c>
      <c r="O101" s="1" t="s">
        <v>233</v>
      </c>
      <c r="P101" s="1" t="s">
        <v>11</v>
      </c>
      <c r="Q101" s="1" t="s">
        <v>55</v>
      </c>
      <c r="R101" s="1" t="s">
        <v>13</v>
      </c>
      <c r="S101" s="4">
        <v>14</v>
      </c>
      <c r="T101" s="4">
        <v>9</v>
      </c>
      <c r="U101" s="1" t="s">
        <v>25</v>
      </c>
      <c r="V101" s="1" t="s">
        <v>37</v>
      </c>
      <c r="W101" s="5" t="s">
        <v>234</v>
      </c>
      <c r="X101" s="4">
        <v>66</v>
      </c>
    </row>
    <row r="102" spans="1:24" x14ac:dyDescent="0.3">
      <c r="A102" s="1" t="s">
        <v>229</v>
      </c>
      <c r="B102" s="1" t="s">
        <v>68</v>
      </c>
      <c r="C102" s="1" t="s">
        <v>24</v>
      </c>
      <c r="D102" s="1" t="s">
        <v>13</v>
      </c>
      <c r="E102" s="4">
        <v>17</v>
      </c>
      <c r="F102" s="4">
        <v>11</v>
      </c>
      <c r="G102" s="1" t="s">
        <v>43</v>
      </c>
      <c r="H102" s="1" t="s">
        <v>26</v>
      </c>
      <c r="I102" s="5" t="s">
        <v>230</v>
      </c>
      <c r="J102" s="4">
        <v>53</v>
      </c>
      <c r="O102" s="1" t="s">
        <v>235</v>
      </c>
      <c r="P102" s="1" t="s">
        <v>11</v>
      </c>
      <c r="Q102" s="1" t="s">
        <v>36</v>
      </c>
      <c r="R102" s="1" t="s">
        <v>31</v>
      </c>
      <c r="S102" s="4">
        <v>14</v>
      </c>
      <c r="T102" s="4">
        <v>12</v>
      </c>
      <c r="U102" s="1" t="s">
        <v>43</v>
      </c>
      <c r="V102" s="1" t="s">
        <v>40</v>
      </c>
      <c r="W102" s="5" t="s">
        <v>236</v>
      </c>
      <c r="X102" s="4">
        <v>65</v>
      </c>
    </row>
    <row r="103" spans="1:24" x14ac:dyDescent="0.3">
      <c r="A103" s="1" t="s">
        <v>231</v>
      </c>
      <c r="B103" s="1" t="s">
        <v>23</v>
      </c>
      <c r="C103" s="1" t="s">
        <v>24</v>
      </c>
      <c r="D103" s="1" t="s">
        <v>31</v>
      </c>
      <c r="E103" s="4">
        <v>18</v>
      </c>
      <c r="F103" s="4">
        <v>9</v>
      </c>
      <c r="G103" s="1" t="s">
        <v>25</v>
      </c>
      <c r="H103" s="1" t="s">
        <v>61</v>
      </c>
      <c r="I103" s="5" t="s">
        <v>232</v>
      </c>
      <c r="J103" s="4">
        <v>88</v>
      </c>
      <c r="O103" s="1" t="s">
        <v>237</v>
      </c>
      <c r="P103" s="1" t="s">
        <v>23</v>
      </c>
      <c r="Q103" s="1" t="s">
        <v>24</v>
      </c>
      <c r="R103" s="1" t="s">
        <v>31</v>
      </c>
      <c r="S103" s="4">
        <v>16</v>
      </c>
      <c r="T103" s="4">
        <v>10</v>
      </c>
      <c r="U103" s="1" t="s">
        <v>43</v>
      </c>
      <c r="V103" s="1" t="s">
        <v>20</v>
      </c>
      <c r="W103" s="5" t="s">
        <v>238</v>
      </c>
      <c r="X103" s="4">
        <v>71</v>
      </c>
    </row>
    <row r="104" spans="1:24" x14ac:dyDescent="0.3">
      <c r="A104" s="1" t="s">
        <v>233</v>
      </c>
      <c r="B104" s="1" t="s">
        <v>11</v>
      </c>
      <c r="C104" s="1" t="s">
        <v>55</v>
      </c>
      <c r="D104" s="1" t="s">
        <v>13</v>
      </c>
      <c r="E104" s="4">
        <v>14</v>
      </c>
      <c r="F104" s="4">
        <v>9</v>
      </c>
      <c r="G104" s="1" t="s">
        <v>25</v>
      </c>
      <c r="H104" s="1" t="s">
        <v>37</v>
      </c>
      <c r="I104" s="5" t="s">
        <v>234</v>
      </c>
      <c r="J104" s="4">
        <v>66</v>
      </c>
      <c r="O104" s="1" t="s">
        <v>239</v>
      </c>
      <c r="P104" s="1" t="s">
        <v>68</v>
      </c>
      <c r="Q104" s="1" t="s">
        <v>58</v>
      </c>
      <c r="R104" s="1" t="s">
        <v>13</v>
      </c>
      <c r="S104" s="4">
        <v>18</v>
      </c>
      <c r="T104" s="4">
        <v>11</v>
      </c>
      <c r="U104" s="1" t="s">
        <v>25</v>
      </c>
      <c r="V104" s="1" t="s">
        <v>15</v>
      </c>
      <c r="W104" s="5" t="s">
        <v>240</v>
      </c>
      <c r="X104" s="4">
        <v>48</v>
      </c>
    </row>
    <row r="105" spans="1:24" x14ac:dyDescent="0.3">
      <c r="A105" s="1" t="s">
        <v>235</v>
      </c>
      <c r="B105" s="1" t="s">
        <v>11</v>
      </c>
      <c r="C105" s="1" t="s">
        <v>36</v>
      </c>
      <c r="D105" s="1" t="s">
        <v>31</v>
      </c>
      <c r="E105" s="4">
        <v>14</v>
      </c>
      <c r="F105" s="4">
        <v>12</v>
      </c>
      <c r="G105" s="1" t="s">
        <v>43</v>
      </c>
      <c r="H105" s="1" t="s">
        <v>40</v>
      </c>
      <c r="I105" s="5" t="s">
        <v>236</v>
      </c>
      <c r="J105" s="4">
        <v>65</v>
      </c>
      <c r="O105" s="1" t="s">
        <v>241</v>
      </c>
      <c r="P105" s="1" t="s">
        <v>54</v>
      </c>
      <c r="Q105" s="1" t="s">
        <v>85</v>
      </c>
      <c r="R105" s="1" t="s">
        <v>31</v>
      </c>
      <c r="S105" s="4">
        <v>15</v>
      </c>
      <c r="T105" s="4">
        <v>12</v>
      </c>
      <c r="U105" s="1" t="s">
        <v>14</v>
      </c>
      <c r="V105" s="1" t="s">
        <v>40</v>
      </c>
      <c r="W105" s="5" t="s">
        <v>242</v>
      </c>
      <c r="X105" s="4">
        <v>100</v>
      </c>
    </row>
    <row r="106" spans="1:24" x14ac:dyDescent="0.3">
      <c r="A106" s="1" t="s">
        <v>237</v>
      </c>
      <c r="B106" s="1" t="s">
        <v>23</v>
      </c>
      <c r="C106" s="1" t="s">
        <v>24</v>
      </c>
      <c r="D106" s="1" t="s">
        <v>31</v>
      </c>
      <c r="E106" s="4">
        <v>16</v>
      </c>
      <c r="F106" s="4">
        <v>10</v>
      </c>
      <c r="G106" s="1" t="s">
        <v>43</v>
      </c>
      <c r="H106" s="1" t="s">
        <v>20</v>
      </c>
      <c r="I106" s="5" t="s">
        <v>238</v>
      </c>
      <c r="J106" s="4">
        <v>71</v>
      </c>
      <c r="O106" s="1" t="s">
        <v>243</v>
      </c>
      <c r="P106" s="1" t="s">
        <v>23</v>
      </c>
      <c r="Q106" s="1" t="s">
        <v>96</v>
      </c>
      <c r="R106" s="1" t="s">
        <v>31</v>
      </c>
      <c r="S106" s="4">
        <v>15</v>
      </c>
      <c r="T106" s="4">
        <v>11</v>
      </c>
      <c r="U106" s="1" t="s">
        <v>25</v>
      </c>
      <c r="V106" s="1" t="s">
        <v>61</v>
      </c>
      <c r="W106" s="5" t="s">
        <v>244</v>
      </c>
      <c r="X106" s="4">
        <v>72</v>
      </c>
    </row>
    <row r="107" spans="1:24" x14ac:dyDescent="0.3">
      <c r="A107" s="1" t="s">
        <v>239</v>
      </c>
      <c r="B107" s="1" t="s">
        <v>68</v>
      </c>
      <c r="C107" s="1" t="s">
        <v>58</v>
      </c>
      <c r="D107" s="1" t="s">
        <v>13</v>
      </c>
      <c r="E107" s="4">
        <v>18</v>
      </c>
      <c r="F107" s="4">
        <v>11</v>
      </c>
      <c r="G107" s="1" t="s">
        <v>25</v>
      </c>
      <c r="H107" s="1" t="s">
        <v>15</v>
      </c>
      <c r="I107" s="5" t="s">
        <v>240</v>
      </c>
      <c r="J107" s="4">
        <v>48</v>
      </c>
      <c r="O107" s="1" t="s">
        <v>245</v>
      </c>
      <c r="P107" s="1" t="s">
        <v>54</v>
      </c>
      <c r="Q107" s="1" t="s">
        <v>19</v>
      </c>
      <c r="R107" s="1" t="s">
        <v>31</v>
      </c>
      <c r="S107" s="4">
        <v>18</v>
      </c>
      <c r="T107" s="4">
        <v>12</v>
      </c>
      <c r="U107" s="1" t="s">
        <v>32</v>
      </c>
      <c r="V107" s="1" t="s">
        <v>26</v>
      </c>
      <c r="W107" s="5" t="s">
        <v>246</v>
      </c>
      <c r="X107" s="4">
        <v>74</v>
      </c>
    </row>
    <row r="108" spans="1:24" x14ac:dyDescent="0.3">
      <c r="A108" s="1" t="s">
        <v>241</v>
      </c>
      <c r="B108" s="1" t="s">
        <v>54</v>
      </c>
      <c r="C108" s="1" t="s">
        <v>85</v>
      </c>
      <c r="D108" s="1" t="s">
        <v>31</v>
      </c>
      <c r="E108" s="4">
        <v>15</v>
      </c>
      <c r="F108" s="4">
        <v>12</v>
      </c>
      <c r="G108" s="1" t="s">
        <v>14</v>
      </c>
      <c r="H108" s="1" t="s">
        <v>40</v>
      </c>
      <c r="I108" s="5" t="s">
        <v>242</v>
      </c>
      <c r="J108" s="4">
        <v>100</v>
      </c>
      <c r="O108" s="1" t="s">
        <v>247</v>
      </c>
      <c r="P108" s="1" t="s">
        <v>29</v>
      </c>
      <c r="Q108" s="1" t="s">
        <v>58</v>
      </c>
      <c r="R108" s="1" t="s">
        <v>31</v>
      </c>
      <c r="S108" s="4">
        <v>14</v>
      </c>
      <c r="T108" s="4">
        <v>12</v>
      </c>
      <c r="U108" s="1" t="s">
        <v>14</v>
      </c>
      <c r="V108" s="1" t="s">
        <v>40</v>
      </c>
      <c r="W108" s="5" t="s">
        <v>248</v>
      </c>
      <c r="X108" s="4">
        <v>66</v>
      </c>
    </row>
    <row r="109" spans="1:24" x14ac:dyDescent="0.3">
      <c r="A109" s="1" t="s">
        <v>243</v>
      </c>
      <c r="B109" s="1" t="s">
        <v>23</v>
      </c>
      <c r="C109" s="1" t="s">
        <v>96</v>
      </c>
      <c r="D109" s="1" t="s">
        <v>31</v>
      </c>
      <c r="E109" s="4">
        <v>15</v>
      </c>
      <c r="F109" s="4">
        <v>11</v>
      </c>
      <c r="G109" s="1" t="s">
        <v>25</v>
      </c>
      <c r="H109" s="1" t="s">
        <v>61</v>
      </c>
      <c r="I109" s="5" t="s">
        <v>244</v>
      </c>
      <c r="J109" s="4">
        <v>72</v>
      </c>
      <c r="O109" s="1" t="s">
        <v>249</v>
      </c>
      <c r="P109" s="1" t="s">
        <v>68</v>
      </c>
      <c r="Q109" s="1" t="s">
        <v>30</v>
      </c>
      <c r="R109" s="1" t="s">
        <v>31</v>
      </c>
      <c r="S109" s="4">
        <v>16</v>
      </c>
      <c r="T109" s="4">
        <v>11</v>
      </c>
      <c r="U109" s="1" t="s">
        <v>32</v>
      </c>
      <c r="V109" s="1" t="s">
        <v>20</v>
      </c>
      <c r="W109" s="5" t="s">
        <v>250</v>
      </c>
      <c r="X109" s="4">
        <v>90</v>
      </c>
    </row>
    <row r="110" spans="1:24" x14ac:dyDescent="0.3">
      <c r="A110" s="1" t="s">
        <v>245</v>
      </c>
      <c r="B110" s="1" t="s">
        <v>54</v>
      </c>
      <c r="C110" s="1" t="s">
        <v>19</v>
      </c>
      <c r="D110" s="1" t="s">
        <v>31</v>
      </c>
      <c r="E110" s="4">
        <v>18</v>
      </c>
      <c r="F110" s="4">
        <v>12</v>
      </c>
      <c r="G110" s="1" t="s">
        <v>32</v>
      </c>
      <c r="H110" s="1" t="s">
        <v>26</v>
      </c>
      <c r="I110" s="5" t="s">
        <v>246</v>
      </c>
      <c r="J110" s="4">
        <v>74</v>
      </c>
      <c r="O110" s="1" t="s">
        <v>251</v>
      </c>
      <c r="P110" s="1" t="s">
        <v>23</v>
      </c>
      <c r="Q110" s="1" t="s">
        <v>24</v>
      </c>
      <c r="R110" s="1" t="s">
        <v>13</v>
      </c>
      <c r="S110" s="4">
        <v>16</v>
      </c>
      <c r="T110" s="4">
        <v>12</v>
      </c>
      <c r="U110" s="1" t="s">
        <v>43</v>
      </c>
      <c r="V110" s="1" t="s">
        <v>40</v>
      </c>
      <c r="W110" s="5" t="s">
        <v>252</v>
      </c>
      <c r="X110" s="4">
        <v>50</v>
      </c>
    </row>
    <row r="111" spans="1:24" x14ac:dyDescent="0.3">
      <c r="A111" s="1" t="s">
        <v>247</v>
      </c>
      <c r="B111" s="1" t="s">
        <v>29</v>
      </c>
      <c r="C111" s="1" t="s">
        <v>58</v>
      </c>
      <c r="D111" s="1" t="s">
        <v>31</v>
      </c>
      <c r="E111" s="4">
        <v>14</v>
      </c>
      <c r="F111" s="4">
        <v>12</v>
      </c>
      <c r="G111" s="1" t="s">
        <v>14</v>
      </c>
      <c r="H111" s="1" t="s">
        <v>40</v>
      </c>
      <c r="I111" s="5" t="s">
        <v>248</v>
      </c>
      <c r="J111" s="4">
        <v>66</v>
      </c>
      <c r="O111" s="1" t="s">
        <v>253</v>
      </c>
      <c r="P111" s="1" t="s">
        <v>18</v>
      </c>
      <c r="Q111" s="1" t="s">
        <v>24</v>
      </c>
      <c r="R111" s="1" t="s">
        <v>13</v>
      </c>
      <c r="S111" s="4">
        <v>15</v>
      </c>
      <c r="T111" s="4">
        <v>9</v>
      </c>
      <c r="U111" s="1" t="s">
        <v>25</v>
      </c>
      <c r="V111" s="1" t="s">
        <v>20</v>
      </c>
      <c r="W111" s="5" t="s">
        <v>254</v>
      </c>
      <c r="X111" s="4">
        <v>36</v>
      </c>
    </row>
    <row r="112" spans="1:24" x14ac:dyDescent="0.3">
      <c r="A112" s="1" t="s">
        <v>249</v>
      </c>
      <c r="B112" s="1" t="s">
        <v>68</v>
      </c>
      <c r="C112" s="1" t="s">
        <v>30</v>
      </c>
      <c r="D112" s="1" t="s">
        <v>31</v>
      </c>
      <c r="E112" s="4">
        <v>16</v>
      </c>
      <c r="F112" s="4">
        <v>11</v>
      </c>
      <c r="G112" s="1" t="s">
        <v>32</v>
      </c>
      <c r="H112" s="1" t="s">
        <v>20</v>
      </c>
      <c r="I112" s="5" t="s">
        <v>250</v>
      </c>
      <c r="J112" s="4">
        <v>90</v>
      </c>
      <c r="O112" s="1" t="s">
        <v>255</v>
      </c>
      <c r="P112" s="1" t="s">
        <v>51</v>
      </c>
      <c r="Q112" s="1" t="s">
        <v>79</v>
      </c>
      <c r="R112" s="1" t="s">
        <v>31</v>
      </c>
      <c r="S112" s="4">
        <v>20</v>
      </c>
      <c r="T112" s="4">
        <v>12</v>
      </c>
      <c r="U112" s="1" t="s">
        <v>43</v>
      </c>
      <c r="V112" s="1" t="s">
        <v>40</v>
      </c>
      <c r="W112" s="5" t="s">
        <v>256</v>
      </c>
      <c r="X112" s="4">
        <v>48</v>
      </c>
    </row>
    <row r="113" spans="1:24" x14ac:dyDescent="0.3">
      <c r="A113" s="1" t="s">
        <v>251</v>
      </c>
      <c r="B113" s="1" t="s">
        <v>23</v>
      </c>
      <c r="C113" s="1" t="s">
        <v>24</v>
      </c>
      <c r="D113" s="1" t="s">
        <v>13</v>
      </c>
      <c r="E113" s="4">
        <v>16</v>
      </c>
      <c r="F113" s="4">
        <v>12</v>
      </c>
      <c r="G113" s="1" t="s">
        <v>43</v>
      </c>
      <c r="H113" s="1" t="s">
        <v>40</v>
      </c>
      <c r="I113" s="5" t="s">
        <v>252</v>
      </c>
      <c r="J113" s="4">
        <v>50</v>
      </c>
      <c r="O113" s="1" t="s">
        <v>257</v>
      </c>
      <c r="P113" s="1" t="s">
        <v>68</v>
      </c>
      <c r="Q113" s="1" t="s">
        <v>79</v>
      </c>
      <c r="R113" s="1" t="s">
        <v>31</v>
      </c>
      <c r="S113" s="4">
        <v>20</v>
      </c>
      <c r="T113" s="4">
        <v>11</v>
      </c>
      <c r="U113" s="1" t="s">
        <v>43</v>
      </c>
      <c r="V113" s="1" t="s">
        <v>46</v>
      </c>
      <c r="W113" s="5" t="s">
        <v>258</v>
      </c>
      <c r="X113" s="4">
        <v>52</v>
      </c>
    </row>
    <row r="114" spans="1:24" x14ac:dyDescent="0.3">
      <c r="A114" s="1" t="s">
        <v>253</v>
      </c>
      <c r="B114" s="1" t="s">
        <v>18</v>
      </c>
      <c r="C114" s="1" t="s">
        <v>24</v>
      </c>
      <c r="D114" s="1" t="s">
        <v>13</v>
      </c>
      <c r="E114" s="4">
        <v>15</v>
      </c>
      <c r="F114" s="4">
        <v>9</v>
      </c>
      <c r="G114" s="1" t="s">
        <v>25</v>
      </c>
      <c r="H114" s="1" t="s">
        <v>20</v>
      </c>
      <c r="I114" s="5" t="s">
        <v>254</v>
      </c>
      <c r="J114" s="4">
        <v>36</v>
      </c>
      <c r="O114" s="1" t="s">
        <v>259</v>
      </c>
      <c r="P114" s="1" t="s">
        <v>54</v>
      </c>
      <c r="Q114" s="1" t="s">
        <v>85</v>
      </c>
      <c r="R114" s="1" t="s">
        <v>13</v>
      </c>
      <c r="S114" s="4">
        <v>14</v>
      </c>
      <c r="T114" s="4">
        <v>11</v>
      </c>
      <c r="U114" s="1" t="s">
        <v>43</v>
      </c>
      <c r="V114" s="1" t="s">
        <v>46</v>
      </c>
      <c r="W114" s="5" t="s">
        <v>260</v>
      </c>
      <c r="X114" s="4">
        <v>62</v>
      </c>
    </row>
    <row r="115" spans="1:24" x14ac:dyDescent="0.3">
      <c r="A115" s="1" t="s">
        <v>255</v>
      </c>
      <c r="B115" s="1" t="s">
        <v>51</v>
      </c>
      <c r="C115" s="1" t="s">
        <v>79</v>
      </c>
      <c r="D115" s="1" t="s">
        <v>31</v>
      </c>
      <c r="E115" s="4">
        <v>20</v>
      </c>
      <c r="F115" s="4">
        <v>12</v>
      </c>
      <c r="G115" s="1" t="s">
        <v>43</v>
      </c>
      <c r="H115" s="1" t="s">
        <v>40</v>
      </c>
      <c r="I115" s="5" t="s">
        <v>256</v>
      </c>
      <c r="J115" s="4">
        <v>48</v>
      </c>
      <c r="O115" s="1" t="s">
        <v>261</v>
      </c>
      <c r="P115" s="1" t="s">
        <v>23</v>
      </c>
      <c r="Q115" s="1" t="s">
        <v>36</v>
      </c>
      <c r="R115" s="1" t="s">
        <v>13</v>
      </c>
      <c r="S115" s="4">
        <v>15</v>
      </c>
      <c r="T115" s="4">
        <v>11</v>
      </c>
      <c r="U115" s="1" t="s">
        <v>25</v>
      </c>
      <c r="V115" s="1" t="s">
        <v>26</v>
      </c>
      <c r="W115" s="5" t="s">
        <v>262</v>
      </c>
      <c r="X115" s="4">
        <v>63</v>
      </c>
    </row>
    <row r="116" spans="1:24" x14ac:dyDescent="0.3">
      <c r="A116" s="1" t="s">
        <v>257</v>
      </c>
      <c r="B116" s="1" t="s">
        <v>68</v>
      </c>
      <c r="C116" s="1" t="s">
        <v>79</v>
      </c>
      <c r="D116" s="1" t="s">
        <v>31</v>
      </c>
      <c r="E116" s="4">
        <v>20</v>
      </c>
      <c r="F116" s="4">
        <v>11</v>
      </c>
      <c r="G116" s="1" t="s">
        <v>43</v>
      </c>
      <c r="H116" s="1" t="s">
        <v>46</v>
      </c>
      <c r="I116" s="5" t="s">
        <v>258</v>
      </c>
      <c r="J116" s="4">
        <v>52</v>
      </c>
      <c r="O116" s="1" t="s">
        <v>263</v>
      </c>
      <c r="P116" s="1" t="s">
        <v>29</v>
      </c>
      <c r="Q116" s="1" t="s">
        <v>19</v>
      </c>
      <c r="R116" s="1" t="s">
        <v>13</v>
      </c>
      <c r="S116" s="4">
        <v>15</v>
      </c>
      <c r="T116" s="4">
        <v>11</v>
      </c>
      <c r="U116" s="1" t="s">
        <v>25</v>
      </c>
      <c r="V116" s="1" t="s">
        <v>46</v>
      </c>
      <c r="W116" s="5" t="s">
        <v>264</v>
      </c>
      <c r="X116" s="4">
        <v>58</v>
      </c>
    </row>
    <row r="117" spans="1:24" x14ac:dyDescent="0.3">
      <c r="A117" s="1" t="s">
        <v>259</v>
      </c>
      <c r="B117" s="1" t="s">
        <v>54</v>
      </c>
      <c r="C117" s="1" t="s">
        <v>85</v>
      </c>
      <c r="D117" s="1" t="s">
        <v>13</v>
      </c>
      <c r="E117" s="4">
        <v>14</v>
      </c>
      <c r="F117" s="4">
        <v>11</v>
      </c>
      <c r="G117" s="1" t="s">
        <v>43</v>
      </c>
      <c r="H117" s="1" t="s">
        <v>46</v>
      </c>
      <c r="I117" s="5" t="s">
        <v>260</v>
      </c>
      <c r="J117" s="4">
        <v>62</v>
      </c>
      <c r="O117" s="1" t="s">
        <v>265</v>
      </c>
      <c r="P117" s="1" t="s">
        <v>11</v>
      </c>
      <c r="Q117" s="1" t="s">
        <v>85</v>
      </c>
      <c r="R117" s="1" t="s">
        <v>31</v>
      </c>
      <c r="S117" s="4">
        <v>14</v>
      </c>
      <c r="T117" s="4">
        <v>9</v>
      </c>
      <c r="U117" s="1" t="s">
        <v>43</v>
      </c>
      <c r="V117" s="1" t="s">
        <v>61</v>
      </c>
      <c r="W117" s="5" t="s">
        <v>56</v>
      </c>
      <c r="X117" s="4">
        <v>41</v>
      </c>
    </row>
    <row r="118" spans="1:24" x14ac:dyDescent="0.3">
      <c r="A118" s="1" t="s">
        <v>261</v>
      </c>
      <c r="B118" s="1" t="s">
        <v>23</v>
      </c>
      <c r="C118" s="1" t="s">
        <v>36</v>
      </c>
      <c r="D118" s="1" t="s">
        <v>13</v>
      </c>
      <c r="E118" s="4">
        <v>15</v>
      </c>
      <c r="F118" s="4">
        <v>11</v>
      </c>
      <c r="G118" s="1" t="s">
        <v>25</v>
      </c>
      <c r="H118" s="1" t="s">
        <v>26</v>
      </c>
      <c r="I118" s="5" t="s">
        <v>262</v>
      </c>
      <c r="J118" s="4">
        <v>63</v>
      </c>
      <c r="O118" s="1" t="s">
        <v>266</v>
      </c>
      <c r="P118" s="1" t="s">
        <v>54</v>
      </c>
      <c r="Q118" s="1" t="s">
        <v>58</v>
      </c>
      <c r="R118" s="1" t="s">
        <v>13</v>
      </c>
      <c r="S118" s="4">
        <v>19</v>
      </c>
      <c r="T118" s="4">
        <v>11</v>
      </c>
      <c r="U118" s="1" t="s">
        <v>14</v>
      </c>
      <c r="V118" s="1" t="s">
        <v>40</v>
      </c>
      <c r="W118" s="5" t="s">
        <v>267</v>
      </c>
      <c r="X118" s="4">
        <v>41</v>
      </c>
    </row>
    <row r="119" spans="1:24" x14ac:dyDescent="0.3">
      <c r="A119" s="1" t="s">
        <v>263</v>
      </c>
      <c r="B119" s="1" t="s">
        <v>29</v>
      </c>
      <c r="C119" s="1" t="s">
        <v>19</v>
      </c>
      <c r="D119" s="1" t="s">
        <v>13</v>
      </c>
      <c r="E119" s="4">
        <v>15</v>
      </c>
      <c r="F119" s="4">
        <v>11</v>
      </c>
      <c r="G119" s="1" t="s">
        <v>25</v>
      </c>
      <c r="H119" s="1" t="s">
        <v>46</v>
      </c>
      <c r="I119" s="5" t="s">
        <v>264</v>
      </c>
      <c r="J119" s="4">
        <v>58</v>
      </c>
      <c r="O119" s="1" t="s">
        <v>268</v>
      </c>
      <c r="P119" s="1" t="s">
        <v>68</v>
      </c>
      <c r="Q119" s="1" t="s">
        <v>24</v>
      </c>
      <c r="R119" s="1" t="s">
        <v>31</v>
      </c>
      <c r="S119" s="4">
        <v>16</v>
      </c>
      <c r="T119" s="4">
        <v>12</v>
      </c>
      <c r="U119" s="1" t="s">
        <v>43</v>
      </c>
      <c r="V119" s="1" t="s">
        <v>26</v>
      </c>
      <c r="W119" s="5" t="s">
        <v>269</v>
      </c>
      <c r="X119" s="4">
        <v>47</v>
      </c>
    </row>
    <row r="120" spans="1:24" x14ac:dyDescent="0.3">
      <c r="A120" s="1" t="s">
        <v>265</v>
      </c>
      <c r="B120" s="1" t="s">
        <v>11</v>
      </c>
      <c r="C120" s="1" t="s">
        <v>85</v>
      </c>
      <c r="D120" s="1" t="s">
        <v>31</v>
      </c>
      <c r="E120" s="4">
        <v>14</v>
      </c>
      <c r="F120" s="4">
        <v>9</v>
      </c>
      <c r="G120" s="1" t="s">
        <v>43</v>
      </c>
      <c r="H120" s="1" t="s">
        <v>61</v>
      </c>
      <c r="I120" s="5" t="s">
        <v>56</v>
      </c>
      <c r="J120" s="4">
        <v>41</v>
      </c>
      <c r="O120" s="1" t="s">
        <v>270</v>
      </c>
      <c r="P120" s="1" t="s">
        <v>73</v>
      </c>
      <c r="Q120" s="1" t="s">
        <v>30</v>
      </c>
      <c r="R120" s="1" t="s">
        <v>31</v>
      </c>
      <c r="S120" s="4">
        <v>15</v>
      </c>
      <c r="T120" s="4">
        <v>9</v>
      </c>
      <c r="U120" s="1" t="s">
        <v>43</v>
      </c>
      <c r="V120" s="1" t="s">
        <v>26</v>
      </c>
      <c r="W120" s="5" t="s">
        <v>271</v>
      </c>
      <c r="X120" s="4">
        <v>76</v>
      </c>
    </row>
    <row r="121" spans="1:24" x14ac:dyDescent="0.3">
      <c r="A121" s="1" t="s">
        <v>266</v>
      </c>
      <c r="B121" s="1" t="s">
        <v>54</v>
      </c>
      <c r="C121" s="1" t="s">
        <v>58</v>
      </c>
      <c r="D121" s="1" t="s">
        <v>13</v>
      </c>
      <c r="E121" s="4">
        <v>19</v>
      </c>
      <c r="F121" s="4">
        <v>11</v>
      </c>
      <c r="G121" s="1" t="s">
        <v>14</v>
      </c>
      <c r="H121" s="1" t="s">
        <v>40</v>
      </c>
      <c r="I121" s="5" t="s">
        <v>267</v>
      </c>
      <c r="J121" s="4">
        <v>41</v>
      </c>
      <c r="O121" s="1" t="s">
        <v>272</v>
      </c>
      <c r="P121" s="1" t="s">
        <v>54</v>
      </c>
      <c r="Q121" s="1" t="s">
        <v>24</v>
      </c>
      <c r="R121" s="1" t="s">
        <v>13</v>
      </c>
      <c r="S121" s="4">
        <v>15</v>
      </c>
      <c r="T121" s="4">
        <v>9</v>
      </c>
      <c r="U121" s="1" t="s">
        <v>43</v>
      </c>
      <c r="V121" s="1" t="s">
        <v>20</v>
      </c>
      <c r="W121" s="5" t="s">
        <v>273</v>
      </c>
      <c r="X121" s="4">
        <v>50</v>
      </c>
    </row>
    <row r="122" spans="1:24" x14ac:dyDescent="0.3">
      <c r="A122" s="1" t="s">
        <v>268</v>
      </c>
      <c r="B122" s="1" t="s">
        <v>68</v>
      </c>
      <c r="C122" s="1" t="s">
        <v>24</v>
      </c>
      <c r="D122" s="1" t="s">
        <v>31</v>
      </c>
      <c r="E122" s="4">
        <v>16</v>
      </c>
      <c r="F122" s="4">
        <v>12</v>
      </c>
      <c r="G122" s="1" t="s">
        <v>43</v>
      </c>
      <c r="H122" s="1" t="s">
        <v>26</v>
      </c>
      <c r="I122" s="5" t="s">
        <v>269</v>
      </c>
      <c r="J122" s="4">
        <v>47</v>
      </c>
      <c r="O122" s="1" t="s">
        <v>274</v>
      </c>
      <c r="P122" s="1" t="s">
        <v>35</v>
      </c>
      <c r="Q122" s="1" t="s">
        <v>36</v>
      </c>
      <c r="R122" s="1" t="s">
        <v>13</v>
      </c>
      <c r="S122" s="4">
        <v>19</v>
      </c>
      <c r="T122" s="4">
        <v>9</v>
      </c>
      <c r="U122" s="1" t="s">
        <v>32</v>
      </c>
      <c r="V122" s="1" t="s">
        <v>61</v>
      </c>
      <c r="W122" s="5" t="s">
        <v>275</v>
      </c>
      <c r="X122" s="4">
        <v>63</v>
      </c>
    </row>
    <row r="123" spans="1:24" x14ac:dyDescent="0.3">
      <c r="A123" s="1" t="s">
        <v>270</v>
      </c>
      <c r="B123" s="1" t="s">
        <v>73</v>
      </c>
      <c r="C123" s="1" t="s">
        <v>30</v>
      </c>
      <c r="D123" s="1" t="s">
        <v>31</v>
      </c>
      <c r="E123" s="4">
        <v>15</v>
      </c>
      <c r="F123" s="4">
        <v>9</v>
      </c>
      <c r="G123" s="1" t="s">
        <v>43</v>
      </c>
      <c r="H123" s="1" t="s">
        <v>26</v>
      </c>
      <c r="I123" s="5" t="s">
        <v>271</v>
      </c>
      <c r="J123" s="4">
        <v>76</v>
      </c>
      <c r="O123" s="1" t="s">
        <v>276</v>
      </c>
      <c r="P123" s="1" t="s">
        <v>84</v>
      </c>
      <c r="Q123" s="1" t="s">
        <v>30</v>
      </c>
      <c r="R123" s="1" t="s">
        <v>31</v>
      </c>
      <c r="S123" s="4">
        <v>14</v>
      </c>
      <c r="T123" s="4">
        <v>12</v>
      </c>
      <c r="U123" s="1" t="s">
        <v>14</v>
      </c>
      <c r="V123" s="1" t="s">
        <v>26</v>
      </c>
      <c r="W123" s="5" t="s">
        <v>277</v>
      </c>
      <c r="X123" s="4">
        <v>62</v>
      </c>
    </row>
    <row r="124" spans="1:24" x14ac:dyDescent="0.3">
      <c r="A124" s="1" t="s">
        <v>272</v>
      </c>
      <c r="B124" s="1" t="s">
        <v>54</v>
      </c>
      <c r="C124" s="1" t="s">
        <v>24</v>
      </c>
      <c r="D124" s="1" t="s">
        <v>13</v>
      </c>
      <c r="E124" s="4">
        <v>15</v>
      </c>
      <c r="F124" s="4">
        <v>9</v>
      </c>
      <c r="G124" s="1" t="s">
        <v>43</v>
      </c>
      <c r="H124" s="1" t="s">
        <v>20</v>
      </c>
      <c r="I124" s="5" t="s">
        <v>273</v>
      </c>
      <c r="J124" s="4">
        <v>50</v>
      </c>
      <c r="O124" s="1" t="s">
        <v>278</v>
      </c>
      <c r="P124" s="1" t="s">
        <v>73</v>
      </c>
      <c r="Q124" s="1" t="s">
        <v>36</v>
      </c>
      <c r="R124" s="1" t="s">
        <v>13</v>
      </c>
      <c r="S124" s="4">
        <v>14</v>
      </c>
      <c r="T124" s="4">
        <v>11</v>
      </c>
      <c r="U124" s="1" t="s">
        <v>32</v>
      </c>
      <c r="V124" s="1" t="s">
        <v>37</v>
      </c>
      <c r="W124" s="5" t="s">
        <v>279</v>
      </c>
      <c r="X124" s="4">
        <v>51</v>
      </c>
    </row>
    <row r="125" spans="1:24" x14ac:dyDescent="0.3">
      <c r="A125" s="1" t="s">
        <v>274</v>
      </c>
      <c r="B125" s="1" t="s">
        <v>35</v>
      </c>
      <c r="C125" s="1" t="s">
        <v>36</v>
      </c>
      <c r="D125" s="1" t="s">
        <v>13</v>
      </c>
      <c r="E125" s="4">
        <v>19</v>
      </c>
      <c r="F125" s="4">
        <v>9</v>
      </c>
      <c r="G125" s="1" t="s">
        <v>32</v>
      </c>
      <c r="H125" s="1" t="s">
        <v>61</v>
      </c>
      <c r="I125" s="5" t="s">
        <v>275</v>
      </c>
      <c r="J125" s="4">
        <v>63</v>
      </c>
      <c r="O125" s="1" t="s">
        <v>280</v>
      </c>
      <c r="P125" s="1" t="s">
        <v>84</v>
      </c>
      <c r="Q125" s="1" t="s">
        <v>58</v>
      </c>
      <c r="R125" s="1" t="s">
        <v>13</v>
      </c>
      <c r="S125" s="4">
        <v>18</v>
      </c>
      <c r="T125" s="4">
        <v>12</v>
      </c>
      <c r="U125" s="1" t="s">
        <v>32</v>
      </c>
      <c r="V125" s="1" t="s">
        <v>76</v>
      </c>
      <c r="W125" s="5" t="s">
        <v>159</v>
      </c>
      <c r="X125" s="4">
        <v>98</v>
      </c>
    </row>
    <row r="126" spans="1:24" x14ac:dyDescent="0.3">
      <c r="A126" s="1" t="s">
        <v>276</v>
      </c>
      <c r="B126" s="1" t="s">
        <v>84</v>
      </c>
      <c r="C126" s="1" t="s">
        <v>30</v>
      </c>
      <c r="D126" s="1" t="s">
        <v>31</v>
      </c>
      <c r="E126" s="4">
        <v>14</v>
      </c>
      <c r="F126" s="4">
        <v>12</v>
      </c>
      <c r="G126" s="1" t="s">
        <v>14</v>
      </c>
      <c r="H126" s="1" t="s">
        <v>26</v>
      </c>
      <c r="I126" s="5" t="s">
        <v>277</v>
      </c>
      <c r="J126" s="4">
        <v>62</v>
      </c>
      <c r="O126" s="1" t="s">
        <v>281</v>
      </c>
      <c r="P126" s="1" t="s">
        <v>51</v>
      </c>
      <c r="Q126" s="1" t="s">
        <v>36</v>
      </c>
      <c r="R126" s="1" t="s">
        <v>31</v>
      </c>
      <c r="S126" s="4">
        <v>15</v>
      </c>
      <c r="T126" s="4">
        <v>11</v>
      </c>
      <c r="U126" s="1" t="s">
        <v>43</v>
      </c>
      <c r="V126" s="1" t="s">
        <v>37</v>
      </c>
      <c r="W126" s="5" t="s">
        <v>282</v>
      </c>
      <c r="X126" s="4">
        <v>66</v>
      </c>
    </row>
    <row r="127" spans="1:24" x14ac:dyDescent="0.3">
      <c r="A127" s="1" t="s">
        <v>278</v>
      </c>
      <c r="B127" s="1" t="s">
        <v>73</v>
      </c>
      <c r="C127" s="1" t="s">
        <v>36</v>
      </c>
      <c r="D127" s="1" t="s">
        <v>13</v>
      </c>
      <c r="E127" s="4">
        <v>14</v>
      </c>
      <c r="F127" s="4">
        <v>11</v>
      </c>
      <c r="G127" s="1" t="s">
        <v>32</v>
      </c>
      <c r="H127" s="1" t="s">
        <v>37</v>
      </c>
      <c r="I127" s="5" t="s">
        <v>279</v>
      </c>
      <c r="J127" s="4">
        <v>51</v>
      </c>
      <c r="O127" s="1" t="s">
        <v>283</v>
      </c>
      <c r="P127" s="1" t="s">
        <v>68</v>
      </c>
      <c r="Q127" s="1" t="s">
        <v>79</v>
      </c>
      <c r="R127" s="1" t="s">
        <v>31</v>
      </c>
      <c r="S127" s="4">
        <v>16</v>
      </c>
      <c r="T127" s="4">
        <v>11</v>
      </c>
      <c r="U127" s="1" t="s">
        <v>32</v>
      </c>
      <c r="V127" s="1" t="s">
        <v>40</v>
      </c>
      <c r="W127" s="5" t="s">
        <v>284</v>
      </c>
      <c r="X127" s="4">
        <v>95</v>
      </c>
    </row>
    <row r="128" spans="1:24" x14ac:dyDescent="0.3">
      <c r="A128" s="1" t="s">
        <v>280</v>
      </c>
      <c r="B128" s="1" t="s">
        <v>84</v>
      </c>
      <c r="C128" s="1" t="s">
        <v>58</v>
      </c>
      <c r="D128" s="1" t="s">
        <v>13</v>
      </c>
      <c r="E128" s="4">
        <v>18</v>
      </c>
      <c r="F128" s="4">
        <v>12</v>
      </c>
      <c r="G128" s="1" t="s">
        <v>32</v>
      </c>
      <c r="H128" s="1" t="s">
        <v>76</v>
      </c>
      <c r="I128" s="5" t="s">
        <v>159</v>
      </c>
      <c r="J128" s="4">
        <v>98</v>
      </c>
      <c r="O128" s="1" t="s">
        <v>285</v>
      </c>
      <c r="P128" s="1" t="s">
        <v>18</v>
      </c>
      <c r="Q128" s="1" t="s">
        <v>36</v>
      </c>
      <c r="R128" s="1" t="s">
        <v>31</v>
      </c>
      <c r="S128" s="4">
        <v>14</v>
      </c>
      <c r="T128" s="4">
        <v>11</v>
      </c>
      <c r="U128" s="1" t="s">
        <v>25</v>
      </c>
      <c r="V128" s="1" t="s">
        <v>46</v>
      </c>
      <c r="W128" s="5" t="s">
        <v>286</v>
      </c>
      <c r="X128" s="4">
        <v>64</v>
      </c>
    </row>
    <row r="129" spans="1:24" x14ac:dyDescent="0.3">
      <c r="A129" s="1" t="s">
        <v>281</v>
      </c>
      <c r="B129" s="1" t="s">
        <v>51</v>
      </c>
      <c r="C129" s="1" t="s">
        <v>36</v>
      </c>
      <c r="D129" s="1" t="s">
        <v>31</v>
      </c>
      <c r="E129" s="4">
        <v>15</v>
      </c>
      <c r="F129" s="4">
        <v>11</v>
      </c>
      <c r="G129" s="1" t="s">
        <v>43</v>
      </c>
      <c r="H129" s="1" t="s">
        <v>37</v>
      </c>
      <c r="I129" s="5" t="s">
        <v>282</v>
      </c>
      <c r="J129" s="4">
        <v>66</v>
      </c>
      <c r="O129" s="1" t="s">
        <v>287</v>
      </c>
      <c r="P129" s="1" t="s">
        <v>54</v>
      </c>
      <c r="Q129" s="1" t="s">
        <v>24</v>
      </c>
      <c r="R129" s="1" t="s">
        <v>31</v>
      </c>
      <c r="S129" s="4">
        <v>14</v>
      </c>
      <c r="T129" s="4">
        <v>12</v>
      </c>
      <c r="U129" s="1" t="s">
        <v>32</v>
      </c>
      <c r="V129" s="1" t="s">
        <v>76</v>
      </c>
      <c r="W129" s="5" t="s">
        <v>288</v>
      </c>
      <c r="X129" s="4">
        <v>48</v>
      </c>
    </row>
    <row r="130" spans="1:24" x14ac:dyDescent="0.3">
      <c r="A130" s="1" t="s">
        <v>283</v>
      </c>
      <c r="B130" s="1" t="s">
        <v>68</v>
      </c>
      <c r="C130" s="1" t="s">
        <v>79</v>
      </c>
      <c r="D130" s="1" t="s">
        <v>31</v>
      </c>
      <c r="E130" s="4">
        <v>16</v>
      </c>
      <c r="F130" s="4">
        <v>11</v>
      </c>
      <c r="G130" s="1" t="s">
        <v>32</v>
      </c>
      <c r="H130" s="1" t="s">
        <v>40</v>
      </c>
      <c r="I130" s="5" t="s">
        <v>284</v>
      </c>
      <c r="J130" s="4">
        <v>95</v>
      </c>
      <c r="O130" s="1" t="s">
        <v>289</v>
      </c>
      <c r="P130" s="1" t="s">
        <v>23</v>
      </c>
      <c r="Q130" s="1" t="s">
        <v>79</v>
      </c>
      <c r="R130" s="1" t="s">
        <v>31</v>
      </c>
      <c r="S130" s="4">
        <v>17</v>
      </c>
      <c r="T130" s="4">
        <v>9</v>
      </c>
      <c r="U130" s="1" t="s">
        <v>25</v>
      </c>
      <c r="V130" s="1" t="s">
        <v>37</v>
      </c>
      <c r="W130" s="5" t="s">
        <v>290</v>
      </c>
      <c r="X130" s="4">
        <v>62</v>
      </c>
    </row>
    <row r="131" spans="1:24" x14ac:dyDescent="0.3">
      <c r="A131" s="1" t="s">
        <v>285</v>
      </c>
      <c r="B131" s="1" t="s">
        <v>18</v>
      </c>
      <c r="C131" s="1" t="s">
        <v>36</v>
      </c>
      <c r="D131" s="1" t="s">
        <v>31</v>
      </c>
      <c r="E131" s="4">
        <v>14</v>
      </c>
      <c r="F131" s="4">
        <v>11</v>
      </c>
      <c r="G131" s="1" t="s">
        <v>25</v>
      </c>
      <c r="H131" s="1" t="s">
        <v>46</v>
      </c>
      <c r="I131" s="5" t="s">
        <v>286</v>
      </c>
      <c r="J131" s="4">
        <v>64</v>
      </c>
      <c r="O131" s="1" t="s">
        <v>291</v>
      </c>
      <c r="P131" s="1" t="s">
        <v>11</v>
      </c>
      <c r="Q131" s="1" t="s">
        <v>30</v>
      </c>
      <c r="R131" s="1" t="s">
        <v>31</v>
      </c>
      <c r="S131" s="4">
        <v>16</v>
      </c>
      <c r="T131" s="4">
        <v>9</v>
      </c>
      <c r="U131" s="1" t="s">
        <v>25</v>
      </c>
      <c r="V131" s="1" t="s">
        <v>61</v>
      </c>
      <c r="W131" s="5" t="s">
        <v>292</v>
      </c>
      <c r="X131" s="4">
        <v>97</v>
      </c>
    </row>
    <row r="132" spans="1:24" x14ac:dyDescent="0.3">
      <c r="A132" s="1" t="s">
        <v>287</v>
      </c>
      <c r="B132" s="1" t="s">
        <v>54</v>
      </c>
      <c r="C132" s="1" t="s">
        <v>24</v>
      </c>
      <c r="D132" s="1" t="s">
        <v>31</v>
      </c>
      <c r="E132" s="4">
        <v>14</v>
      </c>
      <c r="F132" s="4">
        <v>12</v>
      </c>
      <c r="G132" s="1" t="s">
        <v>32</v>
      </c>
      <c r="H132" s="1" t="s">
        <v>76</v>
      </c>
      <c r="I132" s="5" t="s">
        <v>288</v>
      </c>
      <c r="J132" s="4">
        <v>48</v>
      </c>
      <c r="O132" s="1" t="s">
        <v>293</v>
      </c>
      <c r="P132" s="1" t="s">
        <v>73</v>
      </c>
      <c r="Q132" s="1" t="s">
        <v>96</v>
      </c>
      <c r="R132" s="1" t="s">
        <v>31</v>
      </c>
      <c r="S132" s="4">
        <v>20</v>
      </c>
      <c r="T132" s="4">
        <v>9</v>
      </c>
      <c r="U132" s="1" t="s">
        <v>43</v>
      </c>
      <c r="V132" s="1" t="s">
        <v>26</v>
      </c>
      <c r="W132" s="5" t="s">
        <v>74</v>
      </c>
      <c r="X132" s="4">
        <v>100</v>
      </c>
    </row>
    <row r="133" spans="1:24" x14ac:dyDescent="0.3">
      <c r="A133" s="1" t="s">
        <v>289</v>
      </c>
      <c r="B133" s="1" t="s">
        <v>23</v>
      </c>
      <c r="C133" s="1" t="s">
        <v>79</v>
      </c>
      <c r="D133" s="1" t="s">
        <v>31</v>
      </c>
      <c r="E133" s="4">
        <v>17</v>
      </c>
      <c r="F133" s="4">
        <v>9</v>
      </c>
      <c r="G133" s="1" t="s">
        <v>25</v>
      </c>
      <c r="H133" s="1" t="s">
        <v>37</v>
      </c>
      <c r="I133" s="5" t="s">
        <v>290</v>
      </c>
      <c r="J133" s="4">
        <v>62</v>
      </c>
      <c r="O133" s="1" t="s">
        <v>294</v>
      </c>
      <c r="P133" s="1" t="s">
        <v>35</v>
      </c>
      <c r="Q133" s="1" t="s">
        <v>55</v>
      </c>
      <c r="R133" s="1" t="s">
        <v>13</v>
      </c>
      <c r="S133" s="4">
        <v>20</v>
      </c>
      <c r="T133" s="4">
        <v>9</v>
      </c>
      <c r="U133" s="1" t="s">
        <v>25</v>
      </c>
      <c r="V133" s="1" t="s">
        <v>46</v>
      </c>
      <c r="W133" s="5" t="s">
        <v>295</v>
      </c>
      <c r="X133" s="4">
        <v>99</v>
      </c>
    </row>
    <row r="134" spans="1:24" x14ac:dyDescent="0.3">
      <c r="A134" s="1" t="s">
        <v>291</v>
      </c>
      <c r="B134" s="1" t="s">
        <v>11</v>
      </c>
      <c r="C134" s="1" t="s">
        <v>30</v>
      </c>
      <c r="D134" s="1" t="s">
        <v>31</v>
      </c>
      <c r="E134" s="4">
        <v>16</v>
      </c>
      <c r="F134" s="4">
        <v>9</v>
      </c>
      <c r="G134" s="1" t="s">
        <v>25</v>
      </c>
      <c r="H134" s="1" t="s">
        <v>61</v>
      </c>
      <c r="I134" s="5" t="s">
        <v>292</v>
      </c>
      <c r="J134" s="4">
        <v>97</v>
      </c>
      <c r="O134" s="1" t="s">
        <v>296</v>
      </c>
      <c r="P134" s="1" t="s">
        <v>84</v>
      </c>
      <c r="Q134" s="1" t="s">
        <v>19</v>
      </c>
      <c r="R134" s="1" t="s">
        <v>31</v>
      </c>
      <c r="S134" s="4">
        <v>20</v>
      </c>
      <c r="T134" s="4">
        <v>10</v>
      </c>
      <c r="U134" s="1" t="s">
        <v>43</v>
      </c>
      <c r="V134" s="1" t="s">
        <v>20</v>
      </c>
      <c r="W134" s="5" t="s">
        <v>297</v>
      </c>
      <c r="X134" s="4">
        <v>100</v>
      </c>
    </row>
    <row r="135" spans="1:24" x14ac:dyDescent="0.3">
      <c r="A135" s="1" t="s">
        <v>293</v>
      </c>
      <c r="B135" s="1" t="s">
        <v>73</v>
      </c>
      <c r="C135" s="1" t="s">
        <v>96</v>
      </c>
      <c r="D135" s="1" t="s">
        <v>31</v>
      </c>
      <c r="E135" s="4">
        <v>20</v>
      </c>
      <c r="F135" s="4">
        <v>9</v>
      </c>
      <c r="G135" s="1" t="s">
        <v>43</v>
      </c>
      <c r="H135" s="1" t="s">
        <v>26</v>
      </c>
      <c r="I135" s="5" t="s">
        <v>74</v>
      </c>
      <c r="J135" s="4">
        <v>100</v>
      </c>
      <c r="O135" s="1" t="s">
        <v>298</v>
      </c>
      <c r="P135" s="1" t="s">
        <v>29</v>
      </c>
      <c r="Q135" s="1" t="s">
        <v>96</v>
      </c>
      <c r="R135" s="1" t="s">
        <v>31</v>
      </c>
      <c r="S135" s="4">
        <v>20</v>
      </c>
      <c r="T135" s="4">
        <v>10</v>
      </c>
      <c r="U135" s="1" t="s">
        <v>32</v>
      </c>
      <c r="V135" s="1" t="s">
        <v>26</v>
      </c>
      <c r="W135" s="5" t="s">
        <v>299</v>
      </c>
      <c r="X135" s="4">
        <v>56</v>
      </c>
    </row>
    <row r="136" spans="1:24" x14ac:dyDescent="0.3">
      <c r="A136" s="1" t="s">
        <v>294</v>
      </c>
      <c r="B136" s="1" t="s">
        <v>35</v>
      </c>
      <c r="C136" s="1" t="s">
        <v>55</v>
      </c>
      <c r="D136" s="1" t="s">
        <v>13</v>
      </c>
      <c r="E136" s="4">
        <v>20</v>
      </c>
      <c r="F136" s="4">
        <v>9</v>
      </c>
      <c r="G136" s="1" t="s">
        <v>25</v>
      </c>
      <c r="H136" s="1" t="s">
        <v>46</v>
      </c>
      <c r="I136" s="5" t="s">
        <v>295</v>
      </c>
      <c r="J136" s="4">
        <v>99</v>
      </c>
      <c r="O136" s="1" t="s">
        <v>300</v>
      </c>
      <c r="P136" s="1" t="s">
        <v>11</v>
      </c>
      <c r="Q136" s="1" t="s">
        <v>79</v>
      </c>
      <c r="R136" s="1" t="s">
        <v>31</v>
      </c>
      <c r="S136" s="4">
        <v>18</v>
      </c>
      <c r="T136" s="4">
        <v>9</v>
      </c>
      <c r="U136" s="1" t="s">
        <v>14</v>
      </c>
      <c r="V136" s="1" t="s">
        <v>20</v>
      </c>
      <c r="W136" s="5" t="s">
        <v>301</v>
      </c>
      <c r="X136" s="4">
        <v>66</v>
      </c>
    </row>
    <row r="137" spans="1:24" x14ac:dyDescent="0.3">
      <c r="A137" s="1" t="s">
        <v>296</v>
      </c>
      <c r="B137" s="1" t="s">
        <v>84</v>
      </c>
      <c r="C137" s="1" t="s">
        <v>19</v>
      </c>
      <c r="D137" s="1" t="s">
        <v>31</v>
      </c>
      <c r="E137" s="4">
        <v>20</v>
      </c>
      <c r="F137" s="4">
        <v>10</v>
      </c>
      <c r="G137" s="1" t="s">
        <v>43</v>
      </c>
      <c r="H137" s="1" t="s">
        <v>20</v>
      </c>
      <c r="I137" s="5" t="s">
        <v>297</v>
      </c>
      <c r="J137" s="4">
        <v>100</v>
      </c>
      <c r="O137" s="1" t="s">
        <v>302</v>
      </c>
      <c r="P137" s="1" t="s">
        <v>29</v>
      </c>
      <c r="Q137" s="1" t="s">
        <v>79</v>
      </c>
      <c r="R137" s="1" t="s">
        <v>13</v>
      </c>
      <c r="S137" s="4">
        <v>14</v>
      </c>
      <c r="T137" s="4">
        <v>12</v>
      </c>
      <c r="U137" s="1" t="s">
        <v>14</v>
      </c>
      <c r="V137" s="1" t="s">
        <v>20</v>
      </c>
      <c r="W137" s="5" t="s">
        <v>303</v>
      </c>
      <c r="X137" s="4">
        <v>66</v>
      </c>
    </row>
    <row r="138" spans="1:24" x14ac:dyDescent="0.3">
      <c r="A138" s="1" t="s">
        <v>298</v>
      </c>
      <c r="B138" s="1" t="s">
        <v>29</v>
      </c>
      <c r="C138" s="1" t="s">
        <v>96</v>
      </c>
      <c r="D138" s="1" t="s">
        <v>31</v>
      </c>
      <c r="E138" s="4">
        <v>20</v>
      </c>
      <c r="F138" s="4">
        <v>10</v>
      </c>
      <c r="G138" s="1" t="s">
        <v>32</v>
      </c>
      <c r="H138" s="1" t="s">
        <v>26</v>
      </c>
      <c r="I138" s="5" t="s">
        <v>299</v>
      </c>
      <c r="J138" s="4">
        <v>56</v>
      </c>
      <c r="O138" s="1" t="s">
        <v>304</v>
      </c>
      <c r="P138" s="1" t="s">
        <v>51</v>
      </c>
      <c r="Q138" s="1" t="s">
        <v>36</v>
      </c>
      <c r="R138" s="1" t="s">
        <v>31</v>
      </c>
      <c r="S138" s="4">
        <v>15</v>
      </c>
      <c r="T138" s="4">
        <v>12</v>
      </c>
      <c r="U138" s="1" t="s">
        <v>32</v>
      </c>
      <c r="V138" s="1" t="s">
        <v>46</v>
      </c>
      <c r="W138" s="5" t="s">
        <v>305</v>
      </c>
      <c r="X138" s="4">
        <v>77</v>
      </c>
    </row>
    <row r="139" spans="1:24" x14ac:dyDescent="0.3">
      <c r="A139" s="1" t="s">
        <v>300</v>
      </c>
      <c r="B139" s="1" t="s">
        <v>11</v>
      </c>
      <c r="C139" s="1" t="s">
        <v>79</v>
      </c>
      <c r="D139" s="1" t="s">
        <v>31</v>
      </c>
      <c r="E139" s="4">
        <v>18</v>
      </c>
      <c r="F139" s="4">
        <v>9</v>
      </c>
      <c r="G139" s="1" t="s">
        <v>14</v>
      </c>
      <c r="H139" s="1" t="s">
        <v>20</v>
      </c>
      <c r="I139" s="5" t="s">
        <v>301</v>
      </c>
      <c r="J139" s="4">
        <v>66</v>
      </c>
      <c r="O139" s="1" t="s">
        <v>306</v>
      </c>
      <c r="P139" s="1" t="s">
        <v>23</v>
      </c>
      <c r="Q139" s="1" t="s">
        <v>19</v>
      </c>
      <c r="R139" s="1" t="s">
        <v>31</v>
      </c>
      <c r="S139" s="4">
        <v>16</v>
      </c>
      <c r="T139" s="4">
        <v>10</v>
      </c>
      <c r="U139" s="1" t="s">
        <v>43</v>
      </c>
      <c r="V139" s="1" t="s">
        <v>61</v>
      </c>
      <c r="W139" s="5" t="s">
        <v>307</v>
      </c>
      <c r="X139" s="4">
        <v>47</v>
      </c>
    </row>
    <row r="140" spans="1:24" x14ac:dyDescent="0.3">
      <c r="A140" s="1" t="s">
        <v>302</v>
      </c>
      <c r="B140" s="1" t="s">
        <v>29</v>
      </c>
      <c r="C140" s="1" t="s">
        <v>79</v>
      </c>
      <c r="D140" s="1" t="s">
        <v>13</v>
      </c>
      <c r="E140" s="4">
        <v>14</v>
      </c>
      <c r="F140" s="4">
        <v>12</v>
      </c>
      <c r="G140" s="1" t="s">
        <v>14</v>
      </c>
      <c r="H140" s="1" t="s">
        <v>20</v>
      </c>
      <c r="I140" s="5" t="s">
        <v>303</v>
      </c>
      <c r="J140" s="4">
        <v>66</v>
      </c>
      <c r="O140" s="1" t="s">
        <v>308</v>
      </c>
      <c r="P140" s="1" t="s">
        <v>23</v>
      </c>
      <c r="Q140" s="1" t="s">
        <v>36</v>
      </c>
      <c r="R140" s="1" t="s">
        <v>13</v>
      </c>
      <c r="S140" s="4">
        <v>18</v>
      </c>
      <c r="T140" s="4">
        <v>10</v>
      </c>
      <c r="U140" s="1" t="s">
        <v>43</v>
      </c>
      <c r="V140" s="1" t="s">
        <v>40</v>
      </c>
      <c r="W140" s="5" t="s">
        <v>309</v>
      </c>
      <c r="X140" s="4">
        <v>57</v>
      </c>
    </row>
    <row r="141" spans="1:24" x14ac:dyDescent="0.3">
      <c r="A141" s="1" t="s">
        <v>304</v>
      </c>
      <c r="B141" s="1" t="s">
        <v>51</v>
      </c>
      <c r="C141" s="1" t="s">
        <v>36</v>
      </c>
      <c r="D141" s="1" t="s">
        <v>31</v>
      </c>
      <c r="E141" s="4">
        <v>15</v>
      </c>
      <c r="F141" s="4">
        <v>12</v>
      </c>
      <c r="G141" s="1" t="s">
        <v>32</v>
      </c>
      <c r="H141" s="1" t="s">
        <v>46</v>
      </c>
      <c r="I141" s="5" t="s">
        <v>305</v>
      </c>
      <c r="J141" s="4">
        <v>77</v>
      </c>
      <c r="O141" s="1" t="s">
        <v>310</v>
      </c>
      <c r="P141" s="1" t="s">
        <v>29</v>
      </c>
      <c r="Q141" s="1" t="s">
        <v>96</v>
      </c>
      <c r="R141" s="1" t="s">
        <v>31</v>
      </c>
      <c r="S141" s="4">
        <v>16</v>
      </c>
      <c r="T141" s="4">
        <v>9</v>
      </c>
      <c r="U141" s="1" t="s">
        <v>32</v>
      </c>
      <c r="V141" s="1" t="s">
        <v>46</v>
      </c>
      <c r="W141" s="5" t="s">
        <v>311</v>
      </c>
      <c r="X141" s="4">
        <v>67</v>
      </c>
    </row>
    <row r="142" spans="1:24" x14ac:dyDescent="0.3">
      <c r="A142" s="1" t="s">
        <v>306</v>
      </c>
      <c r="B142" s="1" t="s">
        <v>23</v>
      </c>
      <c r="C142" s="1" t="s">
        <v>19</v>
      </c>
      <c r="D142" s="1" t="s">
        <v>31</v>
      </c>
      <c r="E142" s="4">
        <v>16</v>
      </c>
      <c r="F142" s="4">
        <v>10</v>
      </c>
      <c r="G142" s="1" t="s">
        <v>43</v>
      </c>
      <c r="H142" s="1" t="s">
        <v>61</v>
      </c>
      <c r="I142" s="5" t="s">
        <v>307</v>
      </c>
      <c r="J142" s="4">
        <v>47</v>
      </c>
      <c r="O142" s="1" t="s">
        <v>312</v>
      </c>
      <c r="P142" s="1" t="s">
        <v>29</v>
      </c>
      <c r="Q142" s="1" t="s">
        <v>12</v>
      </c>
      <c r="R142" s="1" t="s">
        <v>31</v>
      </c>
      <c r="S142" s="4">
        <v>14</v>
      </c>
      <c r="T142" s="4">
        <v>12</v>
      </c>
      <c r="U142" s="1" t="s">
        <v>43</v>
      </c>
      <c r="V142" s="1" t="s">
        <v>61</v>
      </c>
      <c r="W142" s="5" t="s">
        <v>313</v>
      </c>
      <c r="X142" s="4">
        <v>44</v>
      </c>
    </row>
    <row r="143" spans="1:24" x14ac:dyDescent="0.3">
      <c r="A143" s="1" t="s">
        <v>308</v>
      </c>
      <c r="B143" s="1" t="s">
        <v>23</v>
      </c>
      <c r="C143" s="1" t="s">
        <v>36</v>
      </c>
      <c r="D143" s="1" t="s">
        <v>13</v>
      </c>
      <c r="E143" s="4">
        <v>18</v>
      </c>
      <c r="F143" s="4">
        <v>10</v>
      </c>
      <c r="G143" s="1" t="s">
        <v>43</v>
      </c>
      <c r="H143" s="1" t="s">
        <v>40</v>
      </c>
      <c r="I143" s="5" t="s">
        <v>309</v>
      </c>
      <c r="J143" s="4">
        <v>57</v>
      </c>
      <c r="O143" s="1" t="s">
        <v>314</v>
      </c>
      <c r="P143" s="1" t="s">
        <v>68</v>
      </c>
      <c r="Q143" s="1" t="s">
        <v>79</v>
      </c>
      <c r="R143" s="1" t="s">
        <v>13</v>
      </c>
      <c r="S143" s="4">
        <v>15</v>
      </c>
      <c r="T143" s="4">
        <v>11</v>
      </c>
      <c r="U143" s="1" t="s">
        <v>14</v>
      </c>
      <c r="V143" s="1" t="s">
        <v>46</v>
      </c>
      <c r="W143" s="5" t="s">
        <v>315</v>
      </c>
      <c r="X143" s="4">
        <v>35</v>
      </c>
    </row>
    <row r="144" spans="1:24" x14ac:dyDescent="0.3">
      <c r="A144" s="1" t="s">
        <v>310</v>
      </c>
      <c r="B144" s="1" t="s">
        <v>29</v>
      </c>
      <c r="C144" s="1" t="s">
        <v>96</v>
      </c>
      <c r="D144" s="1" t="s">
        <v>31</v>
      </c>
      <c r="E144" s="4">
        <v>16</v>
      </c>
      <c r="F144" s="4">
        <v>9</v>
      </c>
      <c r="G144" s="1" t="s">
        <v>32</v>
      </c>
      <c r="H144" s="1" t="s">
        <v>46</v>
      </c>
      <c r="I144" s="5" t="s">
        <v>311</v>
      </c>
      <c r="J144" s="4">
        <v>67</v>
      </c>
      <c r="O144" s="1" t="s">
        <v>316</v>
      </c>
      <c r="P144" s="1" t="s">
        <v>23</v>
      </c>
      <c r="Q144" s="1" t="s">
        <v>36</v>
      </c>
      <c r="R144" s="1" t="s">
        <v>31</v>
      </c>
      <c r="S144" s="4">
        <v>20</v>
      </c>
      <c r="T144" s="4">
        <v>11</v>
      </c>
      <c r="U144" s="1" t="s">
        <v>14</v>
      </c>
      <c r="V144" s="1" t="s">
        <v>37</v>
      </c>
      <c r="W144" s="5" t="s">
        <v>317</v>
      </c>
      <c r="X144" s="4">
        <v>52</v>
      </c>
    </row>
    <row r="145" spans="1:24" x14ac:dyDescent="0.3">
      <c r="A145" s="1" t="s">
        <v>312</v>
      </c>
      <c r="B145" s="1" t="s">
        <v>29</v>
      </c>
      <c r="C145" s="1" t="s">
        <v>12</v>
      </c>
      <c r="D145" s="1" t="s">
        <v>31</v>
      </c>
      <c r="E145" s="4">
        <v>14</v>
      </c>
      <c r="F145" s="4">
        <v>12</v>
      </c>
      <c r="G145" s="1" t="s">
        <v>43</v>
      </c>
      <c r="H145" s="1" t="s">
        <v>61</v>
      </c>
      <c r="I145" s="5" t="s">
        <v>313</v>
      </c>
      <c r="J145" s="4">
        <v>44</v>
      </c>
      <c r="O145" s="1" t="s">
        <v>318</v>
      </c>
      <c r="P145" s="1" t="s">
        <v>54</v>
      </c>
      <c r="Q145" s="1" t="s">
        <v>96</v>
      </c>
      <c r="R145" s="1" t="s">
        <v>13</v>
      </c>
      <c r="S145" s="4">
        <v>18</v>
      </c>
      <c r="T145" s="4">
        <v>9</v>
      </c>
      <c r="U145" s="1" t="s">
        <v>32</v>
      </c>
      <c r="V145" s="1" t="s">
        <v>76</v>
      </c>
      <c r="W145" s="5" t="s">
        <v>319</v>
      </c>
      <c r="X145" s="4">
        <v>86</v>
      </c>
    </row>
    <row r="146" spans="1:24" x14ac:dyDescent="0.3">
      <c r="A146" s="1" t="s">
        <v>314</v>
      </c>
      <c r="B146" s="1" t="s">
        <v>68</v>
      </c>
      <c r="C146" s="1" t="s">
        <v>79</v>
      </c>
      <c r="D146" s="1" t="s">
        <v>13</v>
      </c>
      <c r="E146" s="4">
        <v>15</v>
      </c>
      <c r="F146" s="4">
        <v>11</v>
      </c>
      <c r="G146" s="1" t="s">
        <v>14</v>
      </c>
      <c r="H146" s="1" t="s">
        <v>46</v>
      </c>
      <c r="I146" s="5" t="s">
        <v>315</v>
      </c>
      <c r="J146" s="4">
        <v>35</v>
      </c>
      <c r="O146" s="1" t="s">
        <v>320</v>
      </c>
      <c r="P146" s="1" t="s">
        <v>84</v>
      </c>
      <c r="Q146" s="1" t="s">
        <v>55</v>
      </c>
      <c r="R146" s="1" t="s">
        <v>31</v>
      </c>
      <c r="S146" s="4">
        <v>16</v>
      </c>
      <c r="T146" s="4">
        <v>12</v>
      </c>
      <c r="U146" s="1" t="s">
        <v>32</v>
      </c>
      <c r="V146" s="1" t="s">
        <v>76</v>
      </c>
      <c r="W146" s="5" t="s">
        <v>321</v>
      </c>
      <c r="X146" s="4">
        <v>66</v>
      </c>
    </row>
    <row r="147" spans="1:24" x14ac:dyDescent="0.3">
      <c r="A147" s="1" t="s">
        <v>316</v>
      </c>
      <c r="B147" s="1" t="s">
        <v>23</v>
      </c>
      <c r="C147" s="1" t="s">
        <v>36</v>
      </c>
      <c r="D147" s="1" t="s">
        <v>31</v>
      </c>
      <c r="E147" s="4">
        <v>20</v>
      </c>
      <c r="F147" s="4">
        <v>11</v>
      </c>
      <c r="G147" s="1" t="s">
        <v>14</v>
      </c>
      <c r="H147" s="1" t="s">
        <v>37</v>
      </c>
      <c r="I147" s="5" t="s">
        <v>317</v>
      </c>
      <c r="J147" s="4">
        <v>52</v>
      </c>
      <c r="O147" s="1" t="s">
        <v>322</v>
      </c>
      <c r="P147" s="1" t="s">
        <v>35</v>
      </c>
      <c r="Q147" s="1" t="s">
        <v>12</v>
      </c>
      <c r="R147" s="1" t="s">
        <v>13</v>
      </c>
      <c r="S147" s="4">
        <v>14</v>
      </c>
      <c r="T147" s="4">
        <v>11</v>
      </c>
      <c r="U147" s="1" t="s">
        <v>14</v>
      </c>
      <c r="V147" s="1" t="s">
        <v>26</v>
      </c>
      <c r="W147" s="5" t="s">
        <v>323</v>
      </c>
      <c r="X147" s="4">
        <v>93</v>
      </c>
    </row>
    <row r="148" spans="1:24" x14ac:dyDescent="0.3">
      <c r="A148" s="1" t="s">
        <v>318</v>
      </c>
      <c r="B148" s="1" t="s">
        <v>54</v>
      </c>
      <c r="C148" s="1" t="s">
        <v>96</v>
      </c>
      <c r="D148" s="1" t="s">
        <v>13</v>
      </c>
      <c r="E148" s="4">
        <v>18</v>
      </c>
      <c r="F148" s="4">
        <v>9</v>
      </c>
      <c r="G148" s="1" t="s">
        <v>32</v>
      </c>
      <c r="H148" s="1" t="s">
        <v>76</v>
      </c>
      <c r="I148" s="5" t="s">
        <v>319</v>
      </c>
      <c r="J148" s="4">
        <v>86</v>
      </c>
      <c r="O148" s="1" t="s">
        <v>324</v>
      </c>
      <c r="P148" s="1" t="s">
        <v>23</v>
      </c>
      <c r="Q148" s="1" t="s">
        <v>85</v>
      </c>
      <c r="R148" s="1" t="s">
        <v>31</v>
      </c>
      <c r="S148" s="4">
        <v>16</v>
      </c>
      <c r="T148" s="4">
        <v>9</v>
      </c>
      <c r="U148" s="1" t="s">
        <v>32</v>
      </c>
      <c r="V148" s="1" t="s">
        <v>61</v>
      </c>
      <c r="W148" s="5" t="s">
        <v>325</v>
      </c>
      <c r="X148" s="4">
        <v>54</v>
      </c>
    </row>
    <row r="149" spans="1:24" x14ac:dyDescent="0.3">
      <c r="A149" s="1" t="s">
        <v>320</v>
      </c>
      <c r="B149" s="1" t="s">
        <v>84</v>
      </c>
      <c r="C149" s="1" t="s">
        <v>55</v>
      </c>
      <c r="D149" s="1" t="s">
        <v>31</v>
      </c>
      <c r="E149" s="4">
        <v>16</v>
      </c>
      <c r="F149" s="4">
        <v>12</v>
      </c>
      <c r="G149" s="1" t="s">
        <v>32</v>
      </c>
      <c r="H149" s="1" t="s">
        <v>76</v>
      </c>
      <c r="I149" s="5" t="s">
        <v>321</v>
      </c>
      <c r="J149" s="4">
        <v>66</v>
      </c>
      <c r="O149" s="1" t="s">
        <v>326</v>
      </c>
      <c r="P149" s="1" t="s">
        <v>54</v>
      </c>
      <c r="Q149" s="1" t="s">
        <v>55</v>
      </c>
      <c r="R149" s="1" t="s">
        <v>13</v>
      </c>
      <c r="S149" s="4">
        <v>20</v>
      </c>
      <c r="T149" s="4">
        <v>9</v>
      </c>
      <c r="U149" s="1" t="s">
        <v>32</v>
      </c>
      <c r="V149" s="1" t="s">
        <v>15</v>
      </c>
      <c r="W149" s="5" t="s">
        <v>77</v>
      </c>
      <c r="X149" s="4">
        <v>75</v>
      </c>
    </row>
    <row r="150" spans="1:24" x14ac:dyDescent="0.3">
      <c r="A150" s="1" t="s">
        <v>322</v>
      </c>
      <c r="B150" s="1" t="s">
        <v>35</v>
      </c>
      <c r="C150" s="1" t="s">
        <v>12</v>
      </c>
      <c r="D150" s="1" t="s">
        <v>13</v>
      </c>
      <c r="E150" s="4">
        <v>14</v>
      </c>
      <c r="F150" s="4">
        <v>11</v>
      </c>
      <c r="G150" s="1" t="s">
        <v>14</v>
      </c>
      <c r="H150" s="1" t="s">
        <v>26</v>
      </c>
      <c r="I150" s="5" t="s">
        <v>323</v>
      </c>
      <c r="J150" s="4">
        <v>93</v>
      </c>
      <c r="O150" s="1" t="s">
        <v>327</v>
      </c>
      <c r="P150" s="1" t="s">
        <v>73</v>
      </c>
      <c r="Q150" s="1" t="s">
        <v>96</v>
      </c>
      <c r="R150" s="1" t="s">
        <v>13</v>
      </c>
      <c r="S150" s="4">
        <v>20</v>
      </c>
      <c r="T150" s="4">
        <v>9</v>
      </c>
      <c r="U150" s="1" t="s">
        <v>32</v>
      </c>
      <c r="V150" s="1" t="s">
        <v>61</v>
      </c>
      <c r="W150" s="5" t="s">
        <v>328</v>
      </c>
      <c r="X150" s="4">
        <v>40</v>
      </c>
    </row>
    <row r="151" spans="1:24" x14ac:dyDescent="0.3">
      <c r="A151" s="1" t="s">
        <v>324</v>
      </c>
      <c r="B151" s="1" t="s">
        <v>23</v>
      </c>
      <c r="C151" s="1" t="s">
        <v>85</v>
      </c>
      <c r="D151" s="1" t="s">
        <v>31</v>
      </c>
      <c r="E151" s="4">
        <v>16</v>
      </c>
      <c r="F151" s="4">
        <v>9</v>
      </c>
      <c r="G151" s="1" t="s">
        <v>32</v>
      </c>
      <c r="H151" s="1" t="s">
        <v>61</v>
      </c>
      <c r="I151" s="5" t="s">
        <v>325</v>
      </c>
      <c r="J151" s="4">
        <v>54</v>
      </c>
      <c r="O151" s="1" t="s">
        <v>329</v>
      </c>
      <c r="P151" s="1" t="s">
        <v>11</v>
      </c>
      <c r="Q151" s="1" t="s">
        <v>24</v>
      </c>
      <c r="R151" s="1" t="s">
        <v>31</v>
      </c>
      <c r="S151" s="4">
        <v>15</v>
      </c>
      <c r="T151" s="4">
        <v>9</v>
      </c>
      <c r="U151" s="1" t="s">
        <v>43</v>
      </c>
      <c r="V151" s="1" t="s">
        <v>61</v>
      </c>
      <c r="W151" s="5" t="s">
        <v>330</v>
      </c>
      <c r="X151" s="4">
        <v>83</v>
      </c>
    </row>
    <row r="152" spans="1:24" x14ac:dyDescent="0.3">
      <c r="A152" s="1" t="s">
        <v>326</v>
      </c>
      <c r="B152" s="1" t="s">
        <v>54</v>
      </c>
      <c r="C152" s="1" t="s">
        <v>55</v>
      </c>
      <c r="D152" s="1" t="s">
        <v>13</v>
      </c>
      <c r="E152" s="4">
        <v>20</v>
      </c>
      <c r="F152" s="4">
        <v>9</v>
      </c>
      <c r="G152" s="1" t="s">
        <v>32</v>
      </c>
      <c r="H152" s="1" t="s">
        <v>15</v>
      </c>
      <c r="I152" s="5" t="s">
        <v>77</v>
      </c>
      <c r="J152" s="4">
        <v>75</v>
      </c>
      <c r="O152" s="1" t="s">
        <v>331</v>
      </c>
      <c r="P152" s="1" t="s">
        <v>73</v>
      </c>
      <c r="Q152" s="1" t="s">
        <v>30</v>
      </c>
      <c r="R152" s="1" t="s">
        <v>31</v>
      </c>
      <c r="S152" s="4">
        <v>19</v>
      </c>
      <c r="T152" s="4">
        <v>10</v>
      </c>
      <c r="U152" s="1" t="s">
        <v>43</v>
      </c>
      <c r="V152" s="1" t="s">
        <v>20</v>
      </c>
      <c r="W152" s="5" t="s">
        <v>191</v>
      </c>
      <c r="X152" s="4">
        <v>93</v>
      </c>
    </row>
    <row r="153" spans="1:24" x14ac:dyDescent="0.3">
      <c r="A153" s="1" t="s">
        <v>327</v>
      </c>
      <c r="B153" s="1" t="s">
        <v>73</v>
      </c>
      <c r="C153" s="1" t="s">
        <v>96</v>
      </c>
      <c r="D153" s="1" t="s">
        <v>13</v>
      </c>
      <c r="E153" s="4">
        <v>20</v>
      </c>
      <c r="F153" s="4">
        <v>9</v>
      </c>
      <c r="G153" s="1" t="s">
        <v>32</v>
      </c>
      <c r="H153" s="1" t="s">
        <v>61</v>
      </c>
      <c r="I153" s="5" t="s">
        <v>328</v>
      </c>
      <c r="J153" s="4">
        <v>40</v>
      </c>
      <c r="O153" s="1" t="s">
        <v>332</v>
      </c>
      <c r="P153" s="1" t="s">
        <v>29</v>
      </c>
      <c r="Q153" s="1" t="s">
        <v>12</v>
      </c>
      <c r="R153" s="1" t="s">
        <v>31</v>
      </c>
      <c r="S153" s="4">
        <v>16</v>
      </c>
      <c r="T153" s="4">
        <v>11</v>
      </c>
      <c r="U153" s="1" t="s">
        <v>32</v>
      </c>
      <c r="V153" s="1" t="s">
        <v>76</v>
      </c>
      <c r="W153" s="5" t="s">
        <v>333</v>
      </c>
      <c r="X153" s="4">
        <v>42</v>
      </c>
    </row>
    <row r="154" spans="1:24" x14ac:dyDescent="0.3">
      <c r="A154" s="1" t="s">
        <v>329</v>
      </c>
      <c r="B154" s="1" t="s">
        <v>11</v>
      </c>
      <c r="C154" s="1" t="s">
        <v>24</v>
      </c>
      <c r="D154" s="1" t="s">
        <v>31</v>
      </c>
      <c r="E154" s="4">
        <v>15</v>
      </c>
      <c r="F154" s="4">
        <v>9</v>
      </c>
      <c r="G154" s="1" t="s">
        <v>43</v>
      </c>
      <c r="H154" s="1" t="s">
        <v>61</v>
      </c>
      <c r="I154" s="5" t="s">
        <v>330</v>
      </c>
      <c r="J154" s="4">
        <v>83</v>
      </c>
      <c r="O154" s="1" t="s">
        <v>334</v>
      </c>
      <c r="P154" s="1" t="s">
        <v>73</v>
      </c>
      <c r="Q154" s="1" t="s">
        <v>12</v>
      </c>
      <c r="R154" s="1" t="s">
        <v>31</v>
      </c>
      <c r="S154" s="4">
        <v>18</v>
      </c>
      <c r="T154" s="4">
        <v>11</v>
      </c>
      <c r="U154" s="1" t="s">
        <v>32</v>
      </c>
      <c r="V154" s="1" t="s">
        <v>76</v>
      </c>
      <c r="W154" s="5" t="s">
        <v>335</v>
      </c>
      <c r="X154" s="4">
        <v>97</v>
      </c>
    </row>
    <row r="155" spans="1:24" x14ac:dyDescent="0.3">
      <c r="A155" s="1" t="s">
        <v>331</v>
      </c>
      <c r="B155" s="1" t="s">
        <v>73</v>
      </c>
      <c r="C155" s="1" t="s">
        <v>30</v>
      </c>
      <c r="D155" s="1" t="s">
        <v>31</v>
      </c>
      <c r="E155" s="4">
        <v>19</v>
      </c>
      <c r="F155" s="4">
        <v>10</v>
      </c>
      <c r="G155" s="1" t="s">
        <v>43</v>
      </c>
      <c r="H155" s="1" t="s">
        <v>20</v>
      </c>
      <c r="I155" s="5" t="s">
        <v>191</v>
      </c>
      <c r="J155" s="4">
        <v>93</v>
      </c>
      <c r="O155" s="1" t="s">
        <v>336</v>
      </c>
      <c r="P155" s="1" t="s">
        <v>11</v>
      </c>
      <c r="Q155" s="1" t="s">
        <v>58</v>
      </c>
      <c r="R155" s="1" t="s">
        <v>31</v>
      </c>
      <c r="S155" s="4">
        <v>19</v>
      </c>
      <c r="T155" s="4">
        <v>12</v>
      </c>
      <c r="U155" s="1" t="s">
        <v>25</v>
      </c>
      <c r="V155" s="1" t="s">
        <v>61</v>
      </c>
      <c r="W155" s="5" t="s">
        <v>218</v>
      </c>
      <c r="X155" s="4">
        <v>68</v>
      </c>
    </row>
    <row r="156" spans="1:24" x14ac:dyDescent="0.3">
      <c r="A156" s="1" t="s">
        <v>332</v>
      </c>
      <c r="B156" s="1" t="s">
        <v>29</v>
      </c>
      <c r="C156" s="1" t="s">
        <v>12</v>
      </c>
      <c r="D156" s="1" t="s">
        <v>31</v>
      </c>
      <c r="E156" s="4">
        <v>16</v>
      </c>
      <c r="F156" s="4">
        <v>11</v>
      </c>
      <c r="G156" s="1" t="s">
        <v>32</v>
      </c>
      <c r="H156" s="1" t="s">
        <v>76</v>
      </c>
      <c r="I156" s="5" t="s">
        <v>333</v>
      </c>
      <c r="J156" s="4">
        <v>42</v>
      </c>
      <c r="O156" s="1" t="s">
        <v>337</v>
      </c>
      <c r="P156" s="1" t="s">
        <v>23</v>
      </c>
      <c r="Q156" s="1" t="s">
        <v>30</v>
      </c>
      <c r="R156" s="1" t="s">
        <v>31</v>
      </c>
      <c r="S156" s="4">
        <v>19</v>
      </c>
      <c r="T156" s="4">
        <v>9</v>
      </c>
      <c r="U156" s="1" t="s">
        <v>32</v>
      </c>
      <c r="V156" s="1" t="s">
        <v>61</v>
      </c>
      <c r="W156" s="5" t="s">
        <v>338</v>
      </c>
      <c r="X156" s="4">
        <v>51</v>
      </c>
    </row>
    <row r="157" spans="1:24" x14ac:dyDescent="0.3">
      <c r="A157" s="1" t="s">
        <v>334</v>
      </c>
      <c r="B157" s="1" t="s">
        <v>73</v>
      </c>
      <c r="C157" s="1" t="s">
        <v>12</v>
      </c>
      <c r="D157" s="1" t="s">
        <v>31</v>
      </c>
      <c r="E157" s="4">
        <v>18</v>
      </c>
      <c r="F157" s="4">
        <v>11</v>
      </c>
      <c r="G157" s="1" t="s">
        <v>32</v>
      </c>
      <c r="H157" s="1" t="s">
        <v>76</v>
      </c>
      <c r="I157" s="5" t="s">
        <v>335</v>
      </c>
      <c r="J157" s="4">
        <v>97</v>
      </c>
      <c r="O157" s="1" t="s">
        <v>339</v>
      </c>
      <c r="P157" s="1" t="s">
        <v>23</v>
      </c>
      <c r="Q157" s="1" t="s">
        <v>36</v>
      </c>
      <c r="R157" s="1" t="s">
        <v>13</v>
      </c>
      <c r="S157" s="4">
        <v>18</v>
      </c>
      <c r="T157" s="4">
        <v>9</v>
      </c>
      <c r="U157" s="1" t="s">
        <v>32</v>
      </c>
      <c r="V157" s="1" t="s">
        <v>37</v>
      </c>
      <c r="W157" s="5" t="s">
        <v>340</v>
      </c>
      <c r="X157" s="4">
        <v>64</v>
      </c>
    </row>
    <row r="158" spans="1:24" x14ac:dyDescent="0.3">
      <c r="A158" s="1" t="s">
        <v>336</v>
      </c>
      <c r="B158" s="1" t="s">
        <v>11</v>
      </c>
      <c r="C158" s="1" t="s">
        <v>58</v>
      </c>
      <c r="D158" s="1" t="s">
        <v>31</v>
      </c>
      <c r="E158" s="4">
        <v>19</v>
      </c>
      <c r="F158" s="4">
        <v>12</v>
      </c>
      <c r="G158" s="1" t="s">
        <v>25</v>
      </c>
      <c r="H158" s="1" t="s">
        <v>61</v>
      </c>
      <c r="I158" s="5" t="s">
        <v>218</v>
      </c>
      <c r="J158" s="4">
        <v>68</v>
      </c>
      <c r="O158" s="1" t="s">
        <v>341</v>
      </c>
      <c r="P158" s="1" t="s">
        <v>54</v>
      </c>
      <c r="Q158" s="1" t="s">
        <v>55</v>
      </c>
      <c r="R158" s="1" t="s">
        <v>13</v>
      </c>
      <c r="S158" s="4">
        <v>14</v>
      </c>
      <c r="T158" s="4">
        <v>9</v>
      </c>
      <c r="U158" s="1" t="s">
        <v>25</v>
      </c>
      <c r="V158" s="1" t="s">
        <v>37</v>
      </c>
      <c r="W158" s="5" t="s">
        <v>342</v>
      </c>
      <c r="X158" s="4">
        <v>82</v>
      </c>
    </row>
    <row r="159" spans="1:24" x14ac:dyDescent="0.3">
      <c r="A159" s="1" t="s">
        <v>337</v>
      </c>
      <c r="B159" s="1" t="s">
        <v>23</v>
      </c>
      <c r="C159" s="1" t="s">
        <v>30</v>
      </c>
      <c r="D159" s="1" t="s">
        <v>31</v>
      </c>
      <c r="E159" s="4">
        <v>19</v>
      </c>
      <c r="F159" s="4">
        <v>9</v>
      </c>
      <c r="G159" s="1" t="s">
        <v>32</v>
      </c>
      <c r="H159" s="1" t="s">
        <v>61</v>
      </c>
      <c r="I159" s="5" t="s">
        <v>338</v>
      </c>
      <c r="J159" s="4">
        <v>51</v>
      </c>
      <c r="O159" s="1" t="s">
        <v>343</v>
      </c>
      <c r="P159" s="1" t="s">
        <v>68</v>
      </c>
      <c r="Q159" s="1" t="s">
        <v>79</v>
      </c>
      <c r="R159" s="1" t="s">
        <v>13</v>
      </c>
      <c r="S159" s="4">
        <v>19</v>
      </c>
      <c r="T159" s="4">
        <v>11</v>
      </c>
      <c r="U159" s="1" t="s">
        <v>14</v>
      </c>
      <c r="V159" s="1" t="s">
        <v>40</v>
      </c>
      <c r="W159" s="5" t="s">
        <v>344</v>
      </c>
      <c r="X159" s="4">
        <v>35</v>
      </c>
    </row>
    <row r="160" spans="1:24" x14ac:dyDescent="0.3">
      <c r="A160" s="1" t="s">
        <v>339</v>
      </c>
      <c r="B160" s="1" t="s">
        <v>23</v>
      </c>
      <c r="C160" s="1" t="s">
        <v>36</v>
      </c>
      <c r="D160" s="1" t="s">
        <v>13</v>
      </c>
      <c r="E160" s="4">
        <v>18</v>
      </c>
      <c r="F160" s="4">
        <v>9</v>
      </c>
      <c r="G160" s="1" t="s">
        <v>32</v>
      </c>
      <c r="H160" s="1" t="s">
        <v>37</v>
      </c>
      <c r="I160" s="5" t="s">
        <v>340</v>
      </c>
      <c r="J160" s="4">
        <v>64</v>
      </c>
      <c r="O160" s="1" t="s">
        <v>345</v>
      </c>
      <c r="P160" s="1" t="s">
        <v>29</v>
      </c>
      <c r="Q160" s="1" t="s">
        <v>24</v>
      </c>
      <c r="R160" s="1" t="s">
        <v>31</v>
      </c>
      <c r="S160" s="4">
        <v>15</v>
      </c>
      <c r="T160" s="4">
        <v>9</v>
      </c>
      <c r="U160" s="1" t="s">
        <v>14</v>
      </c>
      <c r="V160" s="1" t="s">
        <v>26</v>
      </c>
      <c r="W160" s="5" t="s">
        <v>346</v>
      </c>
      <c r="X160" s="4">
        <v>49</v>
      </c>
    </row>
    <row r="161" spans="1:24" x14ac:dyDescent="0.3">
      <c r="A161" s="1" t="s">
        <v>341</v>
      </c>
      <c r="B161" s="1" t="s">
        <v>54</v>
      </c>
      <c r="C161" s="1" t="s">
        <v>55</v>
      </c>
      <c r="D161" s="1" t="s">
        <v>13</v>
      </c>
      <c r="E161" s="4">
        <v>14</v>
      </c>
      <c r="F161" s="4">
        <v>9</v>
      </c>
      <c r="G161" s="1" t="s">
        <v>25</v>
      </c>
      <c r="H161" s="1" t="s">
        <v>37</v>
      </c>
      <c r="I161" s="5" t="s">
        <v>342</v>
      </c>
      <c r="J161" s="4">
        <v>82</v>
      </c>
      <c r="O161" s="1" t="s">
        <v>347</v>
      </c>
      <c r="P161" s="1" t="s">
        <v>23</v>
      </c>
      <c r="Q161" s="1" t="s">
        <v>85</v>
      </c>
      <c r="R161" s="1" t="s">
        <v>31</v>
      </c>
      <c r="S161" s="4">
        <v>15</v>
      </c>
      <c r="T161" s="4">
        <v>11</v>
      </c>
      <c r="U161" s="1" t="s">
        <v>32</v>
      </c>
      <c r="V161" s="1" t="s">
        <v>26</v>
      </c>
      <c r="W161" s="5" t="s">
        <v>348</v>
      </c>
      <c r="X161" s="4">
        <v>37</v>
      </c>
    </row>
    <row r="162" spans="1:24" x14ac:dyDescent="0.3">
      <c r="A162" s="1" t="s">
        <v>343</v>
      </c>
      <c r="B162" s="1" t="s">
        <v>68</v>
      </c>
      <c r="C162" s="1" t="s">
        <v>79</v>
      </c>
      <c r="D162" s="1" t="s">
        <v>13</v>
      </c>
      <c r="E162" s="4">
        <v>19</v>
      </c>
      <c r="F162" s="4">
        <v>11</v>
      </c>
      <c r="G162" s="1" t="s">
        <v>14</v>
      </c>
      <c r="H162" s="1" t="s">
        <v>40</v>
      </c>
      <c r="I162" s="5" t="s">
        <v>344</v>
      </c>
      <c r="J162" s="4">
        <v>35</v>
      </c>
      <c r="O162" s="1" t="s">
        <v>349</v>
      </c>
      <c r="P162" s="1" t="s">
        <v>35</v>
      </c>
      <c r="Q162" s="1" t="s">
        <v>30</v>
      </c>
      <c r="R162" s="1" t="s">
        <v>31</v>
      </c>
      <c r="S162" s="4">
        <v>18</v>
      </c>
      <c r="T162" s="4">
        <v>12</v>
      </c>
      <c r="U162" s="1" t="s">
        <v>43</v>
      </c>
      <c r="V162" s="1" t="s">
        <v>37</v>
      </c>
      <c r="W162" s="5" t="s">
        <v>350</v>
      </c>
      <c r="X162" s="4">
        <v>53</v>
      </c>
    </row>
    <row r="163" spans="1:24" x14ac:dyDescent="0.3">
      <c r="A163" s="1" t="s">
        <v>345</v>
      </c>
      <c r="B163" s="1" t="s">
        <v>29</v>
      </c>
      <c r="C163" s="1" t="s">
        <v>24</v>
      </c>
      <c r="D163" s="1" t="s">
        <v>31</v>
      </c>
      <c r="E163" s="4">
        <v>15</v>
      </c>
      <c r="F163" s="4">
        <v>9</v>
      </c>
      <c r="G163" s="1" t="s">
        <v>14</v>
      </c>
      <c r="H163" s="1" t="s">
        <v>26</v>
      </c>
      <c r="I163" s="5" t="s">
        <v>346</v>
      </c>
      <c r="J163" s="4">
        <v>49</v>
      </c>
      <c r="O163" s="1" t="s">
        <v>351</v>
      </c>
      <c r="P163" s="1" t="s">
        <v>68</v>
      </c>
      <c r="Q163" s="1" t="s">
        <v>96</v>
      </c>
      <c r="R163" s="1" t="s">
        <v>13</v>
      </c>
      <c r="S163" s="4">
        <v>15</v>
      </c>
      <c r="T163" s="4">
        <v>10</v>
      </c>
      <c r="U163" s="1" t="s">
        <v>25</v>
      </c>
      <c r="V163" s="1" t="s">
        <v>20</v>
      </c>
      <c r="W163" s="5" t="s">
        <v>352</v>
      </c>
      <c r="X163" s="4">
        <v>50</v>
      </c>
    </row>
    <row r="164" spans="1:24" x14ac:dyDescent="0.3">
      <c r="A164" s="1" t="s">
        <v>347</v>
      </c>
      <c r="B164" s="1" t="s">
        <v>23</v>
      </c>
      <c r="C164" s="1" t="s">
        <v>85</v>
      </c>
      <c r="D164" s="1" t="s">
        <v>31</v>
      </c>
      <c r="E164" s="4">
        <v>15</v>
      </c>
      <c r="F164" s="4">
        <v>11</v>
      </c>
      <c r="G164" s="1" t="s">
        <v>32</v>
      </c>
      <c r="H164" s="1" t="s">
        <v>26</v>
      </c>
      <c r="I164" s="5" t="s">
        <v>348</v>
      </c>
      <c r="J164" s="4">
        <v>37</v>
      </c>
      <c r="O164" s="1" t="s">
        <v>353</v>
      </c>
      <c r="P164" s="1" t="s">
        <v>51</v>
      </c>
      <c r="Q164" s="1" t="s">
        <v>55</v>
      </c>
      <c r="R164" s="1" t="s">
        <v>31</v>
      </c>
      <c r="S164" s="4">
        <v>20</v>
      </c>
      <c r="T164" s="4">
        <v>9</v>
      </c>
      <c r="U164" s="1" t="s">
        <v>25</v>
      </c>
      <c r="V164" s="1" t="s">
        <v>46</v>
      </c>
      <c r="W164" s="5" t="s">
        <v>354</v>
      </c>
      <c r="X164" s="4">
        <v>53</v>
      </c>
    </row>
    <row r="165" spans="1:24" x14ac:dyDescent="0.3">
      <c r="A165" s="1" t="s">
        <v>349</v>
      </c>
      <c r="B165" s="1" t="s">
        <v>35</v>
      </c>
      <c r="C165" s="1" t="s">
        <v>30</v>
      </c>
      <c r="D165" s="1" t="s">
        <v>31</v>
      </c>
      <c r="E165" s="4">
        <v>18</v>
      </c>
      <c r="F165" s="4">
        <v>12</v>
      </c>
      <c r="G165" s="1" t="s">
        <v>43</v>
      </c>
      <c r="H165" s="1" t="s">
        <v>37</v>
      </c>
      <c r="I165" s="5" t="s">
        <v>350</v>
      </c>
      <c r="J165" s="4">
        <v>53</v>
      </c>
      <c r="O165" s="1" t="s">
        <v>355</v>
      </c>
      <c r="P165" s="1" t="s">
        <v>68</v>
      </c>
      <c r="Q165" s="1" t="s">
        <v>79</v>
      </c>
      <c r="R165" s="1" t="s">
        <v>13</v>
      </c>
      <c r="S165" s="4">
        <v>15</v>
      </c>
      <c r="T165" s="4">
        <v>12</v>
      </c>
      <c r="U165" s="1" t="s">
        <v>14</v>
      </c>
      <c r="V165" s="1" t="s">
        <v>20</v>
      </c>
      <c r="W165" s="5" t="s">
        <v>356</v>
      </c>
      <c r="X165" s="4">
        <v>37</v>
      </c>
    </row>
    <row r="166" spans="1:24" x14ac:dyDescent="0.3">
      <c r="A166" s="1" t="s">
        <v>351</v>
      </c>
      <c r="B166" s="1" t="s">
        <v>68</v>
      </c>
      <c r="C166" s="1" t="s">
        <v>96</v>
      </c>
      <c r="D166" s="1" t="s">
        <v>13</v>
      </c>
      <c r="E166" s="4">
        <v>15</v>
      </c>
      <c r="F166" s="4">
        <v>10</v>
      </c>
      <c r="G166" s="1" t="s">
        <v>25</v>
      </c>
      <c r="H166" s="1" t="s">
        <v>20</v>
      </c>
      <c r="I166" s="5" t="s">
        <v>352</v>
      </c>
      <c r="J166" s="4">
        <v>50</v>
      </c>
      <c r="O166" s="1" t="s">
        <v>357</v>
      </c>
      <c r="P166" s="1" t="s">
        <v>23</v>
      </c>
      <c r="Q166" s="1" t="s">
        <v>24</v>
      </c>
      <c r="R166" s="1" t="s">
        <v>13</v>
      </c>
      <c r="S166" s="4">
        <v>16</v>
      </c>
      <c r="T166" s="4">
        <v>9</v>
      </c>
      <c r="U166" s="1" t="s">
        <v>25</v>
      </c>
      <c r="V166" s="1" t="s">
        <v>20</v>
      </c>
      <c r="W166" s="5" t="s">
        <v>358</v>
      </c>
      <c r="X166" s="4">
        <v>66</v>
      </c>
    </row>
    <row r="167" spans="1:24" x14ac:dyDescent="0.3">
      <c r="A167" s="1" t="s">
        <v>353</v>
      </c>
      <c r="B167" s="1" t="s">
        <v>51</v>
      </c>
      <c r="C167" s="1" t="s">
        <v>55</v>
      </c>
      <c r="D167" s="1" t="s">
        <v>31</v>
      </c>
      <c r="E167" s="4">
        <v>20</v>
      </c>
      <c r="F167" s="4">
        <v>9</v>
      </c>
      <c r="G167" s="1" t="s">
        <v>25</v>
      </c>
      <c r="H167" s="1" t="s">
        <v>46</v>
      </c>
      <c r="I167" s="5" t="s">
        <v>354</v>
      </c>
      <c r="J167" s="4">
        <v>53</v>
      </c>
      <c r="O167" s="1" t="s">
        <v>359</v>
      </c>
      <c r="P167" s="1" t="s">
        <v>68</v>
      </c>
      <c r="Q167" s="1" t="s">
        <v>85</v>
      </c>
      <c r="R167" s="1" t="s">
        <v>13</v>
      </c>
      <c r="S167" s="4">
        <v>19</v>
      </c>
      <c r="T167" s="4">
        <v>11</v>
      </c>
      <c r="U167" s="1" t="s">
        <v>43</v>
      </c>
      <c r="V167" s="1" t="s">
        <v>76</v>
      </c>
      <c r="W167" s="5" t="s">
        <v>360</v>
      </c>
      <c r="X167" s="4">
        <v>64</v>
      </c>
    </row>
    <row r="168" spans="1:24" x14ac:dyDescent="0.3">
      <c r="A168" s="1" t="s">
        <v>355</v>
      </c>
      <c r="B168" s="1" t="s">
        <v>68</v>
      </c>
      <c r="C168" s="1" t="s">
        <v>79</v>
      </c>
      <c r="D168" s="1" t="s">
        <v>13</v>
      </c>
      <c r="E168" s="4">
        <v>15</v>
      </c>
      <c r="F168" s="4">
        <v>12</v>
      </c>
      <c r="G168" s="1" t="s">
        <v>14</v>
      </c>
      <c r="H168" s="1" t="s">
        <v>20</v>
      </c>
      <c r="I168" s="5" t="s">
        <v>356</v>
      </c>
      <c r="J168" s="4">
        <v>37</v>
      </c>
      <c r="O168" s="1" t="s">
        <v>361</v>
      </c>
      <c r="P168" s="1" t="s">
        <v>11</v>
      </c>
      <c r="Q168" s="1" t="s">
        <v>30</v>
      </c>
      <c r="R168" s="1" t="s">
        <v>13</v>
      </c>
      <c r="S168" s="4">
        <v>20</v>
      </c>
      <c r="T168" s="4">
        <v>10</v>
      </c>
      <c r="U168" s="1" t="s">
        <v>32</v>
      </c>
      <c r="V168" s="1" t="s">
        <v>15</v>
      </c>
      <c r="W168" s="5" t="s">
        <v>362</v>
      </c>
      <c r="X168" s="4">
        <v>49</v>
      </c>
    </row>
    <row r="169" spans="1:24" x14ac:dyDescent="0.3">
      <c r="A169" s="1" t="s">
        <v>357</v>
      </c>
      <c r="B169" s="1" t="s">
        <v>23</v>
      </c>
      <c r="C169" s="1" t="s">
        <v>24</v>
      </c>
      <c r="D169" s="1" t="s">
        <v>13</v>
      </c>
      <c r="E169" s="4">
        <v>16</v>
      </c>
      <c r="F169" s="4">
        <v>9</v>
      </c>
      <c r="G169" s="1" t="s">
        <v>25</v>
      </c>
      <c r="H169" s="1" t="s">
        <v>20</v>
      </c>
      <c r="I169" s="5" t="s">
        <v>358</v>
      </c>
      <c r="J169" s="4">
        <v>66</v>
      </c>
      <c r="O169" s="1" t="s">
        <v>363</v>
      </c>
      <c r="P169" s="1" t="s">
        <v>11</v>
      </c>
      <c r="Q169" s="1" t="s">
        <v>85</v>
      </c>
      <c r="R169" s="1" t="s">
        <v>31</v>
      </c>
      <c r="S169" s="4">
        <v>15</v>
      </c>
      <c r="T169" s="4">
        <v>10</v>
      </c>
      <c r="U169" s="1" t="s">
        <v>14</v>
      </c>
      <c r="V169" s="1" t="s">
        <v>37</v>
      </c>
      <c r="W169" s="5" t="s">
        <v>364</v>
      </c>
      <c r="X169" s="4">
        <v>71</v>
      </c>
    </row>
    <row r="170" spans="1:24" x14ac:dyDescent="0.3">
      <c r="A170" s="1" t="s">
        <v>359</v>
      </c>
      <c r="B170" s="1" t="s">
        <v>68</v>
      </c>
      <c r="C170" s="1" t="s">
        <v>85</v>
      </c>
      <c r="D170" s="1" t="s">
        <v>13</v>
      </c>
      <c r="E170" s="4">
        <v>19</v>
      </c>
      <c r="F170" s="4">
        <v>11</v>
      </c>
      <c r="G170" s="1" t="s">
        <v>43</v>
      </c>
      <c r="H170" s="1" t="s">
        <v>76</v>
      </c>
      <c r="I170" s="5" t="s">
        <v>360</v>
      </c>
      <c r="J170" s="4">
        <v>64</v>
      </c>
      <c r="O170" s="1" t="s">
        <v>365</v>
      </c>
      <c r="P170" s="1" t="s">
        <v>11</v>
      </c>
      <c r="Q170" s="1" t="s">
        <v>55</v>
      </c>
      <c r="R170" s="1" t="s">
        <v>13</v>
      </c>
      <c r="S170" s="4">
        <v>16</v>
      </c>
      <c r="T170" s="4">
        <v>10</v>
      </c>
      <c r="U170" s="1" t="s">
        <v>32</v>
      </c>
      <c r="V170" s="1" t="s">
        <v>15</v>
      </c>
      <c r="W170" s="5" t="s">
        <v>366</v>
      </c>
      <c r="X170" s="4">
        <v>72</v>
      </c>
    </row>
    <row r="171" spans="1:24" x14ac:dyDescent="0.3">
      <c r="A171" s="1" t="s">
        <v>361</v>
      </c>
      <c r="B171" s="1" t="s">
        <v>11</v>
      </c>
      <c r="C171" s="1" t="s">
        <v>30</v>
      </c>
      <c r="D171" s="1" t="s">
        <v>13</v>
      </c>
      <c r="E171" s="4">
        <v>20</v>
      </c>
      <c r="F171" s="4">
        <v>10</v>
      </c>
      <c r="G171" s="1" t="s">
        <v>32</v>
      </c>
      <c r="H171" s="1" t="s">
        <v>15</v>
      </c>
      <c r="I171" s="5" t="s">
        <v>362</v>
      </c>
      <c r="J171" s="4">
        <v>49</v>
      </c>
      <c r="O171" s="1" t="s">
        <v>367</v>
      </c>
      <c r="P171" s="1" t="s">
        <v>35</v>
      </c>
      <c r="Q171" s="1" t="s">
        <v>12</v>
      </c>
      <c r="R171" s="1" t="s">
        <v>31</v>
      </c>
      <c r="S171" s="4">
        <v>15</v>
      </c>
      <c r="T171" s="4">
        <v>10</v>
      </c>
      <c r="U171" s="1" t="s">
        <v>32</v>
      </c>
      <c r="V171" s="1" t="s">
        <v>20</v>
      </c>
      <c r="W171" s="5" t="s">
        <v>368</v>
      </c>
      <c r="X171" s="4">
        <v>99</v>
      </c>
    </row>
    <row r="172" spans="1:24" x14ac:dyDescent="0.3">
      <c r="A172" s="1" t="s">
        <v>363</v>
      </c>
      <c r="B172" s="1" t="s">
        <v>11</v>
      </c>
      <c r="C172" s="1" t="s">
        <v>85</v>
      </c>
      <c r="D172" s="1" t="s">
        <v>31</v>
      </c>
      <c r="E172" s="4">
        <v>15</v>
      </c>
      <c r="F172" s="4">
        <v>10</v>
      </c>
      <c r="G172" s="1" t="s">
        <v>14</v>
      </c>
      <c r="H172" s="1" t="s">
        <v>37</v>
      </c>
      <c r="I172" s="5" t="s">
        <v>364</v>
      </c>
      <c r="J172" s="4">
        <v>71</v>
      </c>
      <c r="O172" s="1" t="s">
        <v>369</v>
      </c>
      <c r="P172" s="1" t="s">
        <v>23</v>
      </c>
      <c r="Q172" s="1" t="s">
        <v>24</v>
      </c>
      <c r="R172" s="1" t="s">
        <v>31</v>
      </c>
      <c r="S172" s="4">
        <v>17</v>
      </c>
      <c r="T172" s="4">
        <v>12</v>
      </c>
      <c r="U172" s="1" t="s">
        <v>43</v>
      </c>
      <c r="V172" s="1" t="s">
        <v>61</v>
      </c>
      <c r="W172" s="5" t="s">
        <v>370</v>
      </c>
      <c r="X172" s="4">
        <v>96</v>
      </c>
    </row>
    <row r="173" spans="1:24" x14ac:dyDescent="0.3">
      <c r="A173" s="1" t="s">
        <v>365</v>
      </c>
      <c r="B173" s="1" t="s">
        <v>11</v>
      </c>
      <c r="C173" s="1" t="s">
        <v>55</v>
      </c>
      <c r="D173" s="1" t="s">
        <v>13</v>
      </c>
      <c r="E173" s="4">
        <v>16</v>
      </c>
      <c r="F173" s="4">
        <v>10</v>
      </c>
      <c r="G173" s="1" t="s">
        <v>32</v>
      </c>
      <c r="H173" s="1" t="s">
        <v>15</v>
      </c>
      <c r="I173" s="5" t="s">
        <v>366</v>
      </c>
      <c r="J173" s="4">
        <v>72</v>
      </c>
      <c r="O173" s="1" t="s">
        <v>371</v>
      </c>
      <c r="P173" s="1" t="s">
        <v>35</v>
      </c>
      <c r="Q173" s="1" t="s">
        <v>58</v>
      </c>
      <c r="R173" s="1" t="s">
        <v>31</v>
      </c>
      <c r="S173" s="4">
        <v>19</v>
      </c>
      <c r="T173" s="4">
        <v>9</v>
      </c>
      <c r="U173" s="1" t="s">
        <v>14</v>
      </c>
      <c r="V173" s="1" t="s">
        <v>20</v>
      </c>
      <c r="W173" s="5" t="s">
        <v>372</v>
      </c>
      <c r="X173" s="4">
        <v>87</v>
      </c>
    </row>
    <row r="174" spans="1:24" x14ac:dyDescent="0.3">
      <c r="A174" s="1" t="s">
        <v>367</v>
      </c>
      <c r="B174" s="1" t="s">
        <v>35</v>
      </c>
      <c r="C174" s="1" t="s">
        <v>12</v>
      </c>
      <c r="D174" s="1" t="s">
        <v>31</v>
      </c>
      <c r="E174" s="4">
        <v>15</v>
      </c>
      <c r="F174" s="4">
        <v>10</v>
      </c>
      <c r="G174" s="1" t="s">
        <v>32</v>
      </c>
      <c r="H174" s="1" t="s">
        <v>20</v>
      </c>
      <c r="I174" s="5" t="s">
        <v>368</v>
      </c>
      <c r="J174" s="4">
        <v>99</v>
      </c>
      <c r="O174" s="1" t="s">
        <v>373</v>
      </c>
      <c r="P174" s="1" t="s">
        <v>51</v>
      </c>
      <c r="Q174" s="1" t="s">
        <v>19</v>
      </c>
      <c r="R174" s="1" t="s">
        <v>13</v>
      </c>
      <c r="S174" s="4">
        <v>15</v>
      </c>
      <c r="T174" s="4">
        <v>11</v>
      </c>
      <c r="U174" s="1" t="s">
        <v>14</v>
      </c>
      <c r="V174" s="1" t="s">
        <v>61</v>
      </c>
      <c r="W174" s="5" t="s">
        <v>374</v>
      </c>
      <c r="X174" s="4">
        <v>78</v>
      </c>
    </row>
    <row r="175" spans="1:24" x14ac:dyDescent="0.3">
      <c r="A175" s="1" t="s">
        <v>369</v>
      </c>
      <c r="B175" s="1" t="s">
        <v>23</v>
      </c>
      <c r="C175" s="1" t="s">
        <v>24</v>
      </c>
      <c r="D175" s="1" t="s">
        <v>31</v>
      </c>
      <c r="E175" s="4">
        <v>17</v>
      </c>
      <c r="F175" s="4">
        <v>12</v>
      </c>
      <c r="G175" s="1" t="s">
        <v>43</v>
      </c>
      <c r="H175" s="1" t="s">
        <v>61</v>
      </c>
      <c r="I175" s="5" t="s">
        <v>370</v>
      </c>
      <c r="J175" s="4">
        <v>96</v>
      </c>
      <c r="O175" s="1" t="s">
        <v>375</v>
      </c>
      <c r="P175" s="1" t="s">
        <v>35</v>
      </c>
      <c r="Q175" s="1" t="s">
        <v>36</v>
      </c>
      <c r="R175" s="1" t="s">
        <v>13</v>
      </c>
      <c r="S175" s="4">
        <v>18</v>
      </c>
      <c r="T175" s="4">
        <v>11</v>
      </c>
      <c r="U175" s="1" t="s">
        <v>25</v>
      </c>
      <c r="V175" s="1" t="s">
        <v>40</v>
      </c>
      <c r="W175" s="5" t="s">
        <v>376</v>
      </c>
      <c r="X175" s="4">
        <v>62</v>
      </c>
    </row>
    <row r="176" spans="1:24" x14ac:dyDescent="0.3">
      <c r="A176" s="1" t="s">
        <v>371</v>
      </c>
      <c r="B176" s="1" t="s">
        <v>35</v>
      </c>
      <c r="C176" s="1" t="s">
        <v>58</v>
      </c>
      <c r="D176" s="1" t="s">
        <v>31</v>
      </c>
      <c r="E176" s="4">
        <v>19</v>
      </c>
      <c r="F176" s="4">
        <v>9</v>
      </c>
      <c r="G176" s="1" t="s">
        <v>14</v>
      </c>
      <c r="H176" s="1" t="s">
        <v>20</v>
      </c>
      <c r="I176" s="5" t="s">
        <v>372</v>
      </c>
      <c r="J176" s="4">
        <v>87</v>
      </c>
      <c r="O176" s="1" t="s">
        <v>377</v>
      </c>
      <c r="P176" s="1" t="s">
        <v>35</v>
      </c>
      <c r="Q176" s="1" t="s">
        <v>30</v>
      </c>
      <c r="R176" s="1" t="s">
        <v>13</v>
      </c>
      <c r="S176" s="4">
        <v>20</v>
      </c>
      <c r="T176" s="4">
        <v>11</v>
      </c>
      <c r="U176" s="1" t="s">
        <v>32</v>
      </c>
      <c r="V176" s="1" t="s">
        <v>37</v>
      </c>
      <c r="W176" s="5" t="s">
        <v>189</v>
      </c>
      <c r="X176" s="4">
        <v>79</v>
      </c>
    </row>
    <row r="177" spans="1:24" x14ac:dyDescent="0.3">
      <c r="A177" s="1" t="s">
        <v>373</v>
      </c>
      <c r="B177" s="1" t="s">
        <v>51</v>
      </c>
      <c r="C177" s="1" t="s">
        <v>19</v>
      </c>
      <c r="D177" s="1" t="s">
        <v>13</v>
      </c>
      <c r="E177" s="4">
        <v>15</v>
      </c>
      <c r="F177" s="4">
        <v>11</v>
      </c>
      <c r="G177" s="1" t="s">
        <v>14</v>
      </c>
      <c r="H177" s="1" t="s">
        <v>61</v>
      </c>
      <c r="I177" s="5" t="s">
        <v>374</v>
      </c>
      <c r="J177" s="4">
        <v>78</v>
      </c>
      <c r="O177" s="1" t="s">
        <v>378</v>
      </c>
      <c r="P177" s="1" t="s">
        <v>18</v>
      </c>
      <c r="Q177" s="1" t="s">
        <v>55</v>
      </c>
      <c r="R177" s="1" t="s">
        <v>31</v>
      </c>
      <c r="S177" s="4">
        <v>17</v>
      </c>
      <c r="T177" s="4">
        <v>9</v>
      </c>
      <c r="U177" s="1" t="s">
        <v>32</v>
      </c>
      <c r="V177" s="1" t="s">
        <v>26</v>
      </c>
      <c r="W177" s="5" t="s">
        <v>379</v>
      </c>
      <c r="X177" s="4">
        <v>66</v>
      </c>
    </row>
    <row r="178" spans="1:24" x14ac:dyDescent="0.3">
      <c r="A178" s="1" t="s">
        <v>375</v>
      </c>
      <c r="B178" s="1" t="s">
        <v>35</v>
      </c>
      <c r="C178" s="1" t="s">
        <v>36</v>
      </c>
      <c r="D178" s="1" t="s">
        <v>13</v>
      </c>
      <c r="E178" s="4">
        <v>18</v>
      </c>
      <c r="F178" s="4">
        <v>11</v>
      </c>
      <c r="G178" s="1" t="s">
        <v>25</v>
      </c>
      <c r="H178" s="1" t="s">
        <v>40</v>
      </c>
      <c r="I178" s="5" t="s">
        <v>376</v>
      </c>
      <c r="J178" s="4">
        <v>62</v>
      </c>
      <c r="O178" s="1" t="s">
        <v>380</v>
      </c>
      <c r="P178" s="1" t="s">
        <v>11</v>
      </c>
      <c r="Q178" s="1" t="s">
        <v>24</v>
      </c>
      <c r="R178" s="1" t="s">
        <v>31</v>
      </c>
      <c r="S178" s="4">
        <v>18</v>
      </c>
      <c r="T178" s="4">
        <v>11</v>
      </c>
      <c r="U178" s="1" t="s">
        <v>32</v>
      </c>
      <c r="V178" s="1" t="s">
        <v>61</v>
      </c>
      <c r="W178" s="5" t="s">
        <v>381</v>
      </c>
      <c r="X178" s="4">
        <v>67</v>
      </c>
    </row>
    <row r="179" spans="1:24" x14ac:dyDescent="0.3">
      <c r="A179" s="1" t="s">
        <v>377</v>
      </c>
      <c r="B179" s="1" t="s">
        <v>35</v>
      </c>
      <c r="C179" s="1" t="s">
        <v>30</v>
      </c>
      <c r="D179" s="1" t="s">
        <v>13</v>
      </c>
      <c r="E179" s="4">
        <v>20</v>
      </c>
      <c r="F179" s="4">
        <v>11</v>
      </c>
      <c r="G179" s="1" t="s">
        <v>32</v>
      </c>
      <c r="H179" s="1" t="s">
        <v>37</v>
      </c>
      <c r="I179" s="5" t="s">
        <v>189</v>
      </c>
      <c r="J179" s="4">
        <v>79</v>
      </c>
      <c r="O179" s="1" t="s">
        <v>382</v>
      </c>
      <c r="P179" s="1" t="s">
        <v>51</v>
      </c>
      <c r="Q179" s="1" t="s">
        <v>85</v>
      </c>
      <c r="R179" s="1" t="s">
        <v>13</v>
      </c>
      <c r="S179" s="4">
        <v>16</v>
      </c>
      <c r="T179" s="4">
        <v>10</v>
      </c>
      <c r="U179" s="1" t="s">
        <v>43</v>
      </c>
      <c r="V179" s="1" t="s">
        <v>61</v>
      </c>
      <c r="W179" s="5" t="s">
        <v>383</v>
      </c>
      <c r="X179" s="4">
        <v>72</v>
      </c>
    </row>
    <row r="180" spans="1:24" x14ac:dyDescent="0.3">
      <c r="A180" s="1" t="s">
        <v>378</v>
      </c>
      <c r="B180" s="1" t="s">
        <v>18</v>
      </c>
      <c r="C180" s="1" t="s">
        <v>55</v>
      </c>
      <c r="D180" s="1" t="s">
        <v>31</v>
      </c>
      <c r="E180" s="4">
        <v>17</v>
      </c>
      <c r="F180" s="4">
        <v>9</v>
      </c>
      <c r="G180" s="1" t="s">
        <v>32</v>
      </c>
      <c r="H180" s="1" t="s">
        <v>26</v>
      </c>
      <c r="I180" s="5" t="s">
        <v>379</v>
      </c>
      <c r="J180" s="4">
        <v>66</v>
      </c>
      <c r="O180" s="1" t="s">
        <v>384</v>
      </c>
      <c r="P180" s="1" t="s">
        <v>54</v>
      </c>
      <c r="Q180" s="1" t="s">
        <v>19</v>
      </c>
      <c r="R180" s="1" t="s">
        <v>31</v>
      </c>
      <c r="S180" s="4">
        <v>16</v>
      </c>
      <c r="T180" s="4">
        <v>12</v>
      </c>
      <c r="U180" s="1" t="s">
        <v>25</v>
      </c>
      <c r="V180" s="1" t="s">
        <v>20</v>
      </c>
      <c r="W180" s="5" t="s">
        <v>385</v>
      </c>
      <c r="X180" s="4">
        <v>39</v>
      </c>
    </row>
    <row r="181" spans="1:24" x14ac:dyDescent="0.3">
      <c r="A181" s="1" t="s">
        <v>380</v>
      </c>
      <c r="B181" s="1" t="s">
        <v>11</v>
      </c>
      <c r="C181" s="1" t="s">
        <v>24</v>
      </c>
      <c r="D181" s="1" t="s">
        <v>31</v>
      </c>
      <c r="E181" s="4">
        <v>18</v>
      </c>
      <c r="F181" s="4">
        <v>11</v>
      </c>
      <c r="G181" s="1" t="s">
        <v>32</v>
      </c>
      <c r="H181" s="1" t="s">
        <v>61</v>
      </c>
      <c r="I181" s="5" t="s">
        <v>381</v>
      </c>
      <c r="J181" s="4">
        <v>67</v>
      </c>
      <c r="O181" s="1" t="s">
        <v>386</v>
      </c>
      <c r="P181" s="1" t="s">
        <v>68</v>
      </c>
      <c r="Q181" s="1" t="s">
        <v>96</v>
      </c>
      <c r="R181" s="1" t="s">
        <v>13</v>
      </c>
      <c r="S181" s="4">
        <v>18</v>
      </c>
      <c r="T181" s="4">
        <v>9</v>
      </c>
      <c r="U181" s="1" t="s">
        <v>25</v>
      </c>
      <c r="V181" s="1" t="s">
        <v>46</v>
      </c>
      <c r="W181" s="5" t="s">
        <v>387</v>
      </c>
      <c r="X181" s="4">
        <v>74</v>
      </c>
    </row>
    <row r="182" spans="1:24" x14ac:dyDescent="0.3">
      <c r="A182" s="1" t="s">
        <v>382</v>
      </c>
      <c r="B182" s="1" t="s">
        <v>51</v>
      </c>
      <c r="C182" s="1" t="s">
        <v>85</v>
      </c>
      <c r="D182" s="1" t="s">
        <v>13</v>
      </c>
      <c r="E182" s="4">
        <v>16</v>
      </c>
      <c r="F182" s="4">
        <v>10</v>
      </c>
      <c r="G182" s="1" t="s">
        <v>43</v>
      </c>
      <c r="H182" s="1" t="s">
        <v>61</v>
      </c>
      <c r="I182" s="5" t="s">
        <v>383</v>
      </c>
      <c r="J182" s="4">
        <v>72</v>
      </c>
      <c r="O182" s="1" t="s">
        <v>388</v>
      </c>
      <c r="P182" s="1" t="s">
        <v>73</v>
      </c>
      <c r="Q182" s="1" t="s">
        <v>12</v>
      </c>
      <c r="R182" s="1" t="s">
        <v>31</v>
      </c>
      <c r="S182" s="4">
        <v>19</v>
      </c>
      <c r="T182" s="4">
        <v>11</v>
      </c>
      <c r="U182" s="1" t="s">
        <v>43</v>
      </c>
      <c r="V182" s="1" t="s">
        <v>61</v>
      </c>
      <c r="W182" s="5" t="s">
        <v>214</v>
      </c>
      <c r="X182" s="4">
        <v>88</v>
      </c>
    </row>
    <row r="183" spans="1:24" x14ac:dyDescent="0.3">
      <c r="A183" s="1" t="s">
        <v>384</v>
      </c>
      <c r="B183" s="1" t="s">
        <v>54</v>
      </c>
      <c r="C183" s="1" t="s">
        <v>19</v>
      </c>
      <c r="D183" s="1" t="s">
        <v>31</v>
      </c>
      <c r="E183" s="4">
        <v>16</v>
      </c>
      <c r="F183" s="4">
        <v>12</v>
      </c>
      <c r="G183" s="1" t="s">
        <v>25</v>
      </c>
      <c r="H183" s="1" t="s">
        <v>20</v>
      </c>
      <c r="I183" s="5" t="s">
        <v>385</v>
      </c>
      <c r="J183" s="4">
        <v>39</v>
      </c>
      <c r="O183" s="1" t="s">
        <v>389</v>
      </c>
      <c r="P183" s="1" t="s">
        <v>54</v>
      </c>
      <c r="Q183" s="1" t="s">
        <v>58</v>
      </c>
      <c r="R183" s="1" t="s">
        <v>31</v>
      </c>
      <c r="S183" s="4">
        <v>14</v>
      </c>
      <c r="T183" s="4">
        <v>11</v>
      </c>
      <c r="U183" s="1" t="s">
        <v>32</v>
      </c>
      <c r="V183" s="1" t="s">
        <v>76</v>
      </c>
      <c r="W183" s="5" t="s">
        <v>390</v>
      </c>
      <c r="X183" s="4">
        <v>54</v>
      </c>
    </row>
    <row r="184" spans="1:24" x14ac:dyDescent="0.3">
      <c r="A184" s="1" t="s">
        <v>386</v>
      </c>
      <c r="B184" s="1" t="s">
        <v>68</v>
      </c>
      <c r="C184" s="1" t="s">
        <v>96</v>
      </c>
      <c r="D184" s="1" t="s">
        <v>13</v>
      </c>
      <c r="E184" s="4">
        <v>18</v>
      </c>
      <c r="F184" s="4">
        <v>9</v>
      </c>
      <c r="G184" s="1" t="s">
        <v>25</v>
      </c>
      <c r="H184" s="1" t="s">
        <v>46</v>
      </c>
      <c r="I184" s="5" t="s">
        <v>387</v>
      </c>
      <c r="J184" s="4">
        <v>74</v>
      </c>
      <c r="O184" s="1" t="s">
        <v>391</v>
      </c>
      <c r="P184" s="1" t="s">
        <v>68</v>
      </c>
      <c r="Q184" s="1" t="s">
        <v>19</v>
      </c>
      <c r="R184" s="1" t="s">
        <v>13</v>
      </c>
      <c r="S184" s="4">
        <v>19</v>
      </c>
      <c r="T184" s="4">
        <v>12</v>
      </c>
      <c r="U184" s="1" t="s">
        <v>25</v>
      </c>
      <c r="V184" s="1" t="s">
        <v>46</v>
      </c>
      <c r="W184" s="5" t="s">
        <v>392</v>
      </c>
      <c r="X184" s="4">
        <v>46</v>
      </c>
    </row>
    <row r="185" spans="1:24" x14ac:dyDescent="0.3">
      <c r="A185" s="1" t="s">
        <v>388</v>
      </c>
      <c r="B185" s="1" t="s">
        <v>73</v>
      </c>
      <c r="C185" s="1" t="s">
        <v>12</v>
      </c>
      <c r="D185" s="1" t="s">
        <v>31</v>
      </c>
      <c r="E185" s="4">
        <v>19</v>
      </c>
      <c r="F185" s="4">
        <v>11</v>
      </c>
      <c r="G185" s="1" t="s">
        <v>43</v>
      </c>
      <c r="H185" s="1" t="s">
        <v>61</v>
      </c>
      <c r="I185" s="5" t="s">
        <v>214</v>
      </c>
      <c r="J185" s="4">
        <v>88</v>
      </c>
      <c r="O185" s="1" t="s">
        <v>393</v>
      </c>
      <c r="P185" s="1" t="s">
        <v>68</v>
      </c>
      <c r="Q185" s="1" t="s">
        <v>85</v>
      </c>
      <c r="R185" s="1" t="s">
        <v>13</v>
      </c>
      <c r="S185" s="4">
        <v>15</v>
      </c>
      <c r="T185" s="4">
        <v>10</v>
      </c>
      <c r="U185" s="1" t="s">
        <v>32</v>
      </c>
      <c r="V185" s="1" t="s">
        <v>37</v>
      </c>
      <c r="W185" s="5" t="s">
        <v>394</v>
      </c>
      <c r="X185" s="4">
        <v>89</v>
      </c>
    </row>
    <row r="186" spans="1:24" x14ac:dyDescent="0.3">
      <c r="A186" s="1" t="s">
        <v>389</v>
      </c>
      <c r="B186" s="1" t="s">
        <v>54</v>
      </c>
      <c r="C186" s="1" t="s">
        <v>58</v>
      </c>
      <c r="D186" s="1" t="s">
        <v>31</v>
      </c>
      <c r="E186" s="4">
        <v>14</v>
      </c>
      <c r="F186" s="4">
        <v>11</v>
      </c>
      <c r="G186" s="1" t="s">
        <v>32</v>
      </c>
      <c r="H186" s="1" t="s">
        <v>76</v>
      </c>
      <c r="I186" s="5" t="s">
        <v>390</v>
      </c>
      <c r="J186" s="4">
        <v>54</v>
      </c>
      <c r="O186" s="1" t="s">
        <v>395</v>
      </c>
      <c r="P186" s="1" t="s">
        <v>11</v>
      </c>
      <c r="Q186" s="1" t="s">
        <v>96</v>
      </c>
      <c r="R186" s="1" t="s">
        <v>13</v>
      </c>
      <c r="S186" s="4">
        <v>18</v>
      </c>
      <c r="T186" s="4">
        <v>11</v>
      </c>
      <c r="U186" s="1" t="s">
        <v>25</v>
      </c>
      <c r="V186" s="1" t="s">
        <v>37</v>
      </c>
      <c r="W186" s="5" t="s">
        <v>396</v>
      </c>
      <c r="X186" s="4">
        <v>65</v>
      </c>
    </row>
    <row r="187" spans="1:24" x14ac:dyDescent="0.3">
      <c r="A187" s="1" t="s">
        <v>391</v>
      </c>
      <c r="B187" s="1" t="s">
        <v>68</v>
      </c>
      <c r="C187" s="1" t="s">
        <v>19</v>
      </c>
      <c r="D187" s="1" t="s">
        <v>13</v>
      </c>
      <c r="E187" s="4">
        <v>19</v>
      </c>
      <c r="F187" s="4">
        <v>12</v>
      </c>
      <c r="G187" s="1" t="s">
        <v>25</v>
      </c>
      <c r="H187" s="1" t="s">
        <v>46</v>
      </c>
      <c r="I187" s="5" t="s">
        <v>392</v>
      </c>
      <c r="J187" s="4">
        <v>46</v>
      </c>
      <c r="O187" s="1" t="s">
        <v>397</v>
      </c>
      <c r="P187" s="1" t="s">
        <v>23</v>
      </c>
      <c r="Q187" s="1" t="s">
        <v>12</v>
      </c>
      <c r="R187" s="1" t="s">
        <v>13</v>
      </c>
      <c r="S187" s="4">
        <v>20</v>
      </c>
      <c r="T187" s="4">
        <v>9</v>
      </c>
      <c r="U187" s="1" t="s">
        <v>25</v>
      </c>
      <c r="V187" s="1" t="s">
        <v>46</v>
      </c>
      <c r="W187" s="5" t="s">
        <v>398</v>
      </c>
      <c r="X187" s="4">
        <v>91</v>
      </c>
    </row>
    <row r="188" spans="1:24" x14ac:dyDescent="0.3">
      <c r="A188" s="1" t="s">
        <v>393</v>
      </c>
      <c r="B188" s="1" t="s">
        <v>68</v>
      </c>
      <c r="C188" s="1" t="s">
        <v>85</v>
      </c>
      <c r="D188" s="1" t="s">
        <v>13</v>
      </c>
      <c r="E188" s="4">
        <v>15</v>
      </c>
      <c r="F188" s="4">
        <v>10</v>
      </c>
      <c r="G188" s="1" t="s">
        <v>32</v>
      </c>
      <c r="H188" s="1" t="s">
        <v>37</v>
      </c>
      <c r="I188" s="5" t="s">
        <v>394</v>
      </c>
      <c r="J188" s="4">
        <v>89</v>
      </c>
      <c r="O188" s="1" t="s">
        <v>399</v>
      </c>
      <c r="P188" s="1" t="s">
        <v>35</v>
      </c>
      <c r="Q188" s="1" t="s">
        <v>79</v>
      </c>
      <c r="R188" s="1" t="s">
        <v>13</v>
      </c>
      <c r="S188" s="4">
        <v>17</v>
      </c>
      <c r="T188" s="4">
        <v>10</v>
      </c>
      <c r="U188" s="1" t="s">
        <v>43</v>
      </c>
      <c r="V188" s="1" t="s">
        <v>37</v>
      </c>
      <c r="W188" s="5" t="s">
        <v>400</v>
      </c>
      <c r="X188" s="4">
        <v>78</v>
      </c>
    </row>
    <row r="189" spans="1:24" x14ac:dyDescent="0.3">
      <c r="A189" s="1" t="s">
        <v>395</v>
      </c>
      <c r="B189" s="1" t="s">
        <v>11</v>
      </c>
      <c r="C189" s="1" t="s">
        <v>96</v>
      </c>
      <c r="D189" s="1" t="s">
        <v>13</v>
      </c>
      <c r="E189" s="4">
        <v>18</v>
      </c>
      <c r="F189" s="4">
        <v>11</v>
      </c>
      <c r="G189" s="1" t="s">
        <v>25</v>
      </c>
      <c r="H189" s="1" t="s">
        <v>37</v>
      </c>
      <c r="I189" s="5" t="s">
        <v>396</v>
      </c>
      <c r="J189" s="4">
        <v>65</v>
      </c>
      <c r="O189" s="1" t="s">
        <v>401</v>
      </c>
      <c r="P189" s="1" t="s">
        <v>11</v>
      </c>
      <c r="Q189" s="1" t="s">
        <v>79</v>
      </c>
      <c r="R189" s="1" t="s">
        <v>31</v>
      </c>
      <c r="S189" s="4">
        <v>15</v>
      </c>
      <c r="T189" s="4">
        <v>11</v>
      </c>
      <c r="U189" s="1" t="s">
        <v>43</v>
      </c>
      <c r="V189" s="1" t="s">
        <v>40</v>
      </c>
      <c r="W189" s="5" t="s">
        <v>402</v>
      </c>
      <c r="X189" s="4">
        <v>84</v>
      </c>
    </row>
    <row r="190" spans="1:24" x14ac:dyDescent="0.3">
      <c r="A190" s="1" t="s">
        <v>397</v>
      </c>
      <c r="B190" s="1" t="s">
        <v>23</v>
      </c>
      <c r="C190" s="1" t="s">
        <v>12</v>
      </c>
      <c r="D190" s="1" t="s">
        <v>13</v>
      </c>
      <c r="E190" s="4">
        <v>20</v>
      </c>
      <c r="F190" s="4">
        <v>9</v>
      </c>
      <c r="G190" s="1" t="s">
        <v>25</v>
      </c>
      <c r="H190" s="1" t="s">
        <v>46</v>
      </c>
      <c r="I190" s="5" t="s">
        <v>398</v>
      </c>
      <c r="J190" s="4">
        <v>91</v>
      </c>
      <c r="O190" s="1" t="s">
        <v>403</v>
      </c>
      <c r="P190" s="1" t="s">
        <v>11</v>
      </c>
      <c r="Q190" s="1" t="s">
        <v>12</v>
      </c>
      <c r="R190" s="1" t="s">
        <v>31</v>
      </c>
      <c r="S190" s="4">
        <v>19</v>
      </c>
      <c r="T190" s="4">
        <v>9</v>
      </c>
      <c r="U190" s="1" t="s">
        <v>43</v>
      </c>
      <c r="V190" s="1" t="s">
        <v>46</v>
      </c>
      <c r="W190" s="5" t="s">
        <v>404</v>
      </c>
      <c r="X190" s="4">
        <v>37</v>
      </c>
    </row>
    <row r="191" spans="1:24" x14ac:dyDescent="0.3">
      <c r="A191" s="1" t="s">
        <v>399</v>
      </c>
      <c r="B191" s="1" t="s">
        <v>35</v>
      </c>
      <c r="C191" s="1" t="s">
        <v>79</v>
      </c>
      <c r="D191" s="1" t="s">
        <v>13</v>
      </c>
      <c r="E191" s="4">
        <v>17</v>
      </c>
      <c r="F191" s="4">
        <v>10</v>
      </c>
      <c r="G191" s="1" t="s">
        <v>43</v>
      </c>
      <c r="H191" s="1" t="s">
        <v>37</v>
      </c>
      <c r="I191" s="5" t="s">
        <v>400</v>
      </c>
      <c r="J191" s="4">
        <v>78</v>
      </c>
      <c r="O191" s="1" t="s">
        <v>405</v>
      </c>
      <c r="P191" s="1" t="s">
        <v>18</v>
      </c>
      <c r="Q191" s="1" t="s">
        <v>19</v>
      </c>
      <c r="R191" s="1" t="s">
        <v>31</v>
      </c>
      <c r="S191" s="4">
        <v>18</v>
      </c>
      <c r="T191" s="4">
        <v>12</v>
      </c>
      <c r="U191" s="1" t="s">
        <v>25</v>
      </c>
      <c r="V191" s="1" t="s">
        <v>37</v>
      </c>
      <c r="W191" s="5" t="s">
        <v>406</v>
      </c>
      <c r="X191" s="4">
        <v>70</v>
      </c>
    </row>
    <row r="192" spans="1:24" x14ac:dyDescent="0.3">
      <c r="A192" s="1" t="s">
        <v>401</v>
      </c>
      <c r="B192" s="1" t="s">
        <v>11</v>
      </c>
      <c r="C192" s="1" t="s">
        <v>79</v>
      </c>
      <c r="D192" s="1" t="s">
        <v>31</v>
      </c>
      <c r="E192" s="4">
        <v>15</v>
      </c>
      <c r="F192" s="4">
        <v>11</v>
      </c>
      <c r="G192" s="1" t="s">
        <v>43</v>
      </c>
      <c r="H192" s="1" t="s">
        <v>40</v>
      </c>
      <c r="I192" s="5" t="s">
        <v>402</v>
      </c>
      <c r="J192" s="4">
        <v>84</v>
      </c>
      <c r="O192" s="1" t="s">
        <v>407</v>
      </c>
      <c r="P192" s="1" t="s">
        <v>29</v>
      </c>
      <c r="Q192" s="1" t="s">
        <v>12</v>
      </c>
      <c r="R192" s="1" t="s">
        <v>31</v>
      </c>
      <c r="S192" s="4">
        <v>16</v>
      </c>
      <c r="T192" s="4">
        <v>10</v>
      </c>
      <c r="U192" s="1" t="s">
        <v>14</v>
      </c>
      <c r="V192" s="1" t="s">
        <v>40</v>
      </c>
      <c r="W192" s="5" t="s">
        <v>71</v>
      </c>
      <c r="X192" s="4">
        <v>100</v>
      </c>
    </row>
    <row r="193" spans="1:24" x14ac:dyDescent="0.3">
      <c r="A193" s="1" t="s">
        <v>403</v>
      </c>
      <c r="B193" s="1" t="s">
        <v>11</v>
      </c>
      <c r="C193" s="1" t="s">
        <v>12</v>
      </c>
      <c r="D193" s="1" t="s">
        <v>31</v>
      </c>
      <c r="E193" s="4">
        <v>19</v>
      </c>
      <c r="F193" s="4">
        <v>9</v>
      </c>
      <c r="G193" s="1" t="s">
        <v>43</v>
      </c>
      <c r="H193" s="1" t="s">
        <v>46</v>
      </c>
      <c r="I193" s="5" t="s">
        <v>404</v>
      </c>
      <c r="J193" s="4">
        <v>37</v>
      </c>
      <c r="O193" s="1" t="s">
        <v>408</v>
      </c>
      <c r="P193" s="1" t="s">
        <v>51</v>
      </c>
      <c r="Q193" s="1" t="s">
        <v>85</v>
      </c>
      <c r="R193" s="1" t="s">
        <v>13</v>
      </c>
      <c r="S193" s="4">
        <v>17</v>
      </c>
      <c r="T193" s="4">
        <v>11</v>
      </c>
      <c r="U193" s="1" t="s">
        <v>25</v>
      </c>
      <c r="V193" s="1" t="s">
        <v>46</v>
      </c>
      <c r="W193" s="5" t="s">
        <v>52</v>
      </c>
      <c r="X193" s="4">
        <v>42</v>
      </c>
    </row>
    <row r="194" spans="1:24" x14ac:dyDescent="0.3">
      <c r="A194" s="1" t="s">
        <v>405</v>
      </c>
      <c r="B194" s="1" t="s">
        <v>18</v>
      </c>
      <c r="C194" s="1" t="s">
        <v>19</v>
      </c>
      <c r="D194" s="1" t="s">
        <v>31</v>
      </c>
      <c r="E194" s="4">
        <v>18</v>
      </c>
      <c r="F194" s="4">
        <v>12</v>
      </c>
      <c r="G194" s="1" t="s">
        <v>25</v>
      </c>
      <c r="H194" s="1" t="s">
        <v>37</v>
      </c>
      <c r="I194" s="5" t="s">
        <v>406</v>
      </c>
      <c r="J194" s="4">
        <v>70</v>
      </c>
      <c r="O194" s="1" t="s">
        <v>409</v>
      </c>
      <c r="P194" s="1" t="s">
        <v>84</v>
      </c>
      <c r="Q194" s="1" t="s">
        <v>24</v>
      </c>
      <c r="R194" s="1" t="s">
        <v>13</v>
      </c>
      <c r="S194" s="4">
        <v>20</v>
      </c>
      <c r="T194" s="4">
        <v>9</v>
      </c>
      <c r="U194" s="1" t="s">
        <v>25</v>
      </c>
      <c r="V194" s="1" t="s">
        <v>46</v>
      </c>
      <c r="W194" s="5" t="s">
        <v>290</v>
      </c>
      <c r="X194" s="4">
        <v>68</v>
      </c>
    </row>
    <row r="195" spans="1:24" x14ac:dyDescent="0.3">
      <c r="A195" s="1" t="s">
        <v>407</v>
      </c>
      <c r="B195" s="1" t="s">
        <v>29</v>
      </c>
      <c r="C195" s="1" t="s">
        <v>12</v>
      </c>
      <c r="D195" s="1" t="s">
        <v>31</v>
      </c>
      <c r="E195" s="4">
        <v>16</v>
      </c>
      <c r="F195" s="4">
        <v>10</v>
      </c>
      <c r="G195" s="1" t="s">
        <v>14</v>
      </c>
      <c r="H195" s="1" t="s">
        <v>40</v>
      </c>
      <c r="I195" s="5" t="s">
        <v>71</v>
      </c>
      <c r="J195" s="4">
        <v>100</v>
      </c>
      <c r="O195" s="1" t="s">
        <v>410</v>
      </c>
      <c r="P195" s="1" t="s">
        <v>18</v>
      </c>
      <c r="Q195" s="1" t="s">
        <v>55</v>
      </c>
      <c r="R195" s="1" t="s">
        <v>31</v>
      </c>
      <c r="S195" s="4">
        <v>20</v>
      </c>
      <c r="T195" s="4">
        <v>10</v>
      </c>
      <c r="U195" s="1" t="s">
        <v>43</v>
      </c>
      <c r="V195" s="1" t="s">
        <v>40</v>
      </c>
      <c r="W195" s="5" t="s">
        <v>411</v>
      </c>
      <c r="X195" s="4">
        <v>59</v>
      </c>
    </row>
    <row r="196" spans="1:24" x14ac:dyDescent="0.3">
      <c r="A196" s="1" t="s">
        <v>408</v>
      </c>
      <c r="B196" s="1" t="s">
        <v>51</v>
      </c>
      <c r="C196" s="1" t="s">
        <v>85</v>
      </c>
      <c r="D196" s="1" t="s">
        <v>13</v>
      </c>
      <c r="E196" s="4">
        <v>17</v>
      </c>
      <c r="F196" s="4">
        <v>11</v>
      </c>
      <c r="G196" s="1" t="s">
        <v>25</v>
      </c>
      <c r="H196" s="1" t="s">
        <v>46</v>
      </c>
      <c r="I196" s="5" t="s">
        <v>52</v>
      </c>
      <c r="J196" s="4">
        <v>42</v>
      </c>
      <c r="O196" s="1" t="s">
        <v>412</v>
      </c>
      <c r="P196" s="1" t="s">
        <v>73</v>
      </c>
      <c r="Q196" s="1" t="s">
        <v>55</v>
      </c>
      <c r="R196" s="1" t="s">
        <v>13</v>
      </c>
      <c r="S196" s="4">
        <v>16</v>
      </c>
      <c r="T196" s="4">
        <v>12</v>
      </c>
      <c r="U196" s="1" t="s">
        <v>32</v>
      </c>
      <c r="V196" s="1" t="s">
        <v>46</v>
      </c>
      <c r="W196" s="5" t="s">
        <v>413</v>
      </c>
      <c r="X196" s="4">
        <v>85</v>
      </c>
    </row>
    <row r="197" spans="1:24" x14ac:dyDescent="0.3">
      <c r="A197" s="1" t="s">
        <v>409</v>
      </c>
      <c r="B197" s="1" t="s">
        <v>84</v>
      </c>
      <c r="C197" s="1" t="s">
        <v>24</v>
      </c>
      <c r="D197" s="1" t="s">
        <v>13</v>
      </c>
      <c r="E197" s="4">
        <v>20</v>
      </c>
      <c r="F197" s="4">
        <v>9</v>
      </c>
      <c r="G197" s="1" t="s">
        <v>25</v>
      </c>
      <c r="H197" s="1" t="s">
        <v>46</v>
      </c>
      <c r="I197" s="5" t="s">
        <v>290</v>
      </c>
      <c r="J197" s="4">
        <v>68</v>
      </c>
      <c r="O197" s="1" t="s">
        <v>414</v>
      </c>
      <c r="P197" s="1" t="s">
        <v>11</v>
      </c>
      <c r="Q197" s="1" t="s">
        <v>55</v>
      </c>
      <c r="R197" s="1" t="s">
        <v>13</v>
      </c>
      <c r="S197" s="4">
        <v>16</v>
      </c>
      <c r="T197" s="4">
        <v>12</v>
      </c>
      <c r="U197" s="1" t="s">
        <v>32</v>
      </c>
      <c r="V197" s="1" t="s">
        <v>37</v>
      </c>
      <c r="W197" s="5" t="s">
        <v>415</v>
      </c>
      <c r="X197" s="4">
        <v>47</v>
      </c>
    </row>
    <row r="198" spans="1:24" x14ac:dyDescent="0.3">
      <c r="A198" s="1" t="s">
        <v>410</v>
      </c>
      <c r="B198" s="1" t="s">
        <v>18</v>
      </c>
      <c r="C198" s="1" t="s">
        <v>55</v>
      </c>
      <c r="D198" s="1" t="s">
        <v>31</v>
      </c>
      <c r="E198" s="4">
        <v>20</v>
      </c>
      <c r="F198" s="4">
        <v>10</v>
      </c>
      <c r="G198" s="1" t="s">
        <v>43</v>
      </c>
      <c r="H198" s="1" t="s">
        <v>40</v>
      </c>
      <c r="I198" s="5" t="s">
        <v>411</v>
      </c>
      <c r="J198" s="4">
        <v>59</v>
      </c>
      <c r="O198" s="1" t="s">
        <v>416</v>
      </c>
      <c r="P198" s="1" t="s">
        <v>18</v>
      </c>
      <c r="Q198" s="1" t="s">
        <v>79</v>
      </c>
      <c r="R198" s="1" t="s">
        <v>31</v>
      </c>
      <c r="S198" s="4">
        <v>20</v>
      </c>
      <c r="T198" s="4">
        <v>9</v>
      </c>
      <c r="U198" s="1" t="s">
        <v>25</v>
      </c>
      <c r="V198" s="1" t="s">
        <v>37</v>
      </c>
      <c r="W198" s="5" t="s">
        <v>417</v>
      </c>
      <c r="X198" s="4">
        <v>53</v>
      </c>
    </row>
    <row r="199" spans="1:24" x14ac:dyDescent="0.3">
      <c r="A199" s="1" t="s">
        <v>412</v>
      </c>
      <c r="B199" s="1" t="s">
        <v>73</v>
      </c>
      <c r="C199" s="1" t="s">
        <v>55</v>
      </c>
      <c r="D199" s="1" t="s">
        <v>13</v>
      </c>
      <c r="E199" s="4">
        <v>16</v>
      </c>
      <c r="F199" s="4">
        <v>12</v>
      </c>
      <c r="G199" s="1" t="s">
        <v>32</v>
      </c>
      <c r="H199" s="1" t="s">
        <v>46</v>
      </c>
      <c r="I199" s="5" t="s">
        <v>413</v>
      </c>
      <c r="J199" s="4">
        <v>85</v>
      </c>
      <c r="O199" s="1" t="s">
        <v>418</v>
      </c>
      <c r="P199" s="1" t="s">
        <v>84</v>
      </c>
      <c r="Q199" s="1" t="s">
        <v>24</v>
      </c>
      <c r="R199" s="1" t="s">
        <v>13</v>
      </c>
      <c r="S199" s="4">
        <v>15</v>
      </c>
      <c r="T199" s="4">
        <v>9</v>
      </c>
      <c r="U199" s="1" t="s">
        <v>25</v>
      </c>
      <c r="V199" s="1" t="s">
        <v>20</v>
      </c>
      <c r="W199" s="5" t="s">
        <v>419</v>
      </c>
      <c r="X199" s="4">
        <v>63</v>
      </c>
    </row>
    <row r="200" spans="1:24" x14ac:dyDescent="0.3">
      <c r="A200" s="1" t="s">
        <v>414</v>
      </c>
      <c r="B200" s="1" t="s">
        <v>11</v>
      </c>
      <c r="C200" s="1" t="s">
        <v>55</v>
      </c>
      <c r="D200" s="1" t="s">
        <v>13</v>
      </c>
      <c r="E200" s="4">
        <v>16</v>
      </c>
      <c r="F200" s="4">
        <v>12</v>
      </c>
      <c r="G200" s="1" t="s">
        <v>32</v>
      </c>
      <c r="H200" s="1" t="s">
        <v>37</v>
      </c>
      <c r="I200" s="5" t="s">
        <v>415</v>
      </c>
      <c r="J200" s="4">
        <v>47</v>
      </c>
      <c r="O200" s="1" t="s">
        <v>420</v>
      </c>
      <c r="P200" s="1" t="s">
        <v>73</v>
      </c>
      <c r="Q200" s="1" t="s">
        <v>85</v>
      </c>
      <c r="R200" s="1" t="s">
        <v>13</v>
      </c>
      <c r="S200" s="4">
        <v>16</v>
      </c>
      <c r="T200" s="4">
        <v>11</v>
      </c>
      <c r="U200" s="1" t="s">
        <v>43</v>
      </c>
      <c r="V200" s="1" t="s">
        <v>46</v>
      </c>
      <c r="W200" s="5" t="s">
        <v>421</v>
      </c>
      <c r="X200" s="4">
        <v>55</v>
      </c>
    </row>
    <row r="201" spans="1:24" x14ac:dyDescent="0.3">
      <c r="A201" s="1" t="s">
        <v>416</v>
      </c>
      <c r="B201" s="1" t="s">
        <v>18</v>
      </c>
      <c r="C201" s="1" t="s">
        <v>79</v>
      </c>
      <c r="D201" s="1" t="s">
        <v>31</v>
      </c>
      <c r="E201" s="4">
        <v>20</v>
      </c>
      <c r="F201" s="4">
        <v>9</v>
      </c>
      <c r="G201" s="1" t="s">
        <v>25</v>
      </c>
      <c r="H201" s="1" t="s">
        <v>37</v>
      </c>
      <c r="I201" s="5" t="s">
        <v>417</v>
      </c>
      <c r="J201" s="4">
        <v>53</v>
      </c>
      <c r="O201" s="1" t="s">
        <v>422</v>
      </c>
      <c r="P201" s="1" t="s">
        <v>73</v>
      </c>
      <c r="Q201" s="1" t="s">
        <v>96</v>
      </c>
      <c r="R201" s="1" t="s">
        <v>13</v>
      </c>
      <c r="S201" s="4">
        <v>14</v>
      </c>
      <c r="T201" s="4">
        <v>10</v>
      </c>
      <c r="U201" s="1" t="s">
        <v>25</v>
      </c>
      <c r="V201" s="1" t="s">
        <v>15</v>
      </c>
      <c r="W201" s="5" t="s">
        <v>423</v>
      </c>
      <c r="X201" s="4">
        <v>99</v>
      </c>
    </row>
    <row r="202" spans="1:24" x14ac:dyDescent="0.3">
      <c r="A202" s="1" t="s">
        <v>418</v>
      </c>
      <c r="B202" s="1" t="s">
        <v>84</v>
      </c>
      <c r="C202" s="1" t="s">
        <v>24</v>
      </c>
      <c r="D202" s="1" t="s">
        <v>13</v>
      </c>
      <c r="E202" s="4">
        <v>15</v>
      </c>
      <c r="F202" s="4">
        <v>9</v>
      </c>
      <c r="G202" s="1" t="s">
        <v>25</v>
      </c>
      <c r="H202" s="1" t="s">
        <v>20</v>
      </c>
      <c r="I202" s="5" t="s">
        <v>419</v>
      </c>
      <c r="J202" s="4">
        <v>63</v>
      </c>
      <c r="O202" s="1" t="s">
        <v>424</v>
      </c>
      <c r="P202" s="1" t="s">
        <v>29</v>
      </c>
      <c r="Q202" s="1" t="s">
        <v>36</v>
      </c>
      <c r="R202" s="1" t="s">
        <v>31</v>
      </c>
      <c r="S202" s="4">
        <v>16</v>
      </c>
      <c r="T202" s="4">
        <v>12</v>
      </c>
      <c r="U202" s="1" t="s">
        <v>32</v>
      </c>
      <c r="V202" s="1" t="s">
        <v>37</v>
      </c>
      <c r="W202" s="5" t="s">
        <v>180</v>
      </c>
      <c r="X202" s="4">
        <v>89</v>
      </c>
    </row>
    <row r="203" spans="1:24" x14ac:dyDescent="0.3">
      <c r="A203" s="1" t="s">
        <v>420</v>
      </c>
      <c r="B203" s="1" t="s">
        <v>73</v>
      </c>
      <c r="C203" s="1" t="s">
        <v>85</v>
      </c>
      <c r="D203" s="1" t="s">
        <v>13</v>
      </c>
      <c r="E203" s="4">
        <v>16</v>
      </c>
      <c r="F203" s="4">
        <v>11</v>
      </c>
      <c r="G203" s="1" t="s">
        <v>43</v>
      </c>
      <c r="H203" s="1" t="s">
        <v>46</v>
      </c>
      <c r="I203" s="5" t="s">
        <v>421</v>
      </c>
      <c r="J203" s="4">
        <v>55</v>
      </c>
      <c r="O203" s="1" t="s">
        <v>425</v>
      </c>
      <c r="P203" s="1" t="s">
        <v>73</v>
      </c>
      <c r="Q203" s="1" t="s">
        <v>30</v>
      </c>
      <c r="R203" s="1" t="s">
        <v>31</v>
      </c>
      <c r="S203" s="4">
        <v>15</v>
      </c>
      <c r="T203" s="4">
        <v>9</v>
      </c>
      <c r="U203" s="1" t="s">
        <v>14</v>
      </c>
      <c r="V203" s="1" t="s">
        <v>76</v>
      </c>
      <c r="W203" s="5" t="s">
        <v>149</v>
      </c>
      <c r="X203" s="4">
        <v>54</v>
      </c>
    </row>
    <row r="204" spans="1:24" x14ac:dyDescent="0.3">
      <c r="A204" s="1" t="s">
        <v>422</v>
      </c>
      <c r="B204" s="1" t="s">
        <v>73</v>
      </c>
      <c r="C204" s="1" t="s">
        <v>96</v>
      </c>
      <c r="D204" s="1" t="s">
        <v>13</v>
      </c>
      <c r="E204" s="4">
        <v>14</v>
      </c>
      <c r="F204" s="4">
        <v>10</v>
      </c>
      <c r="G204" s="1" t="s">
        <v>25</v>
      </c>
      <c r="H204" s="1" t="s">
        <v>15</v>
      </c>
      <c r="I204" s="5" t="s">
        <v>423</v>
      </c>
      <c r="J204" s="4">
        <v>99</v>
      </c>
      <c r="O204" s="1" t="s">
        <v>426</v>
      </c>
      <c r="P204" s="1" t="s">
        <v>54</v>
      </c>
      <c r="Q204" s="1" t="s">
        <v>96</v>
      </c>
      <c r="R204" s="1" t="s">
        <v>31</v>
      </c>
      <c r="S204" s="4">
        <v>16</v>
      </c>
      <c r="T204" s="4">
        <v>12</v>
      </c>
      <c r="U204" s="1" t="s">
        <v>25</v>
      </c>
      <c r="V204" s="1" t="s">
        <v>20</v>
      </c>
      <c r="W204" s="5" t="s">
        <v>427</v>
      </c>
      <c r="X204" s="4">
        <v>82</v>
      </c>
    </row>
    <row r="205" spans="1:24" x14ac:dyDescent="0.3">
      <c r="A205" s="1" t="s">
        <v>424</v>
      </c>
      <c r="B205" s="1" t="s">
        <v>29</v>
      </c>
      <c r="C205" s="1" t="s">
        <v>36</v>
      </c>
      <c r="D205" s="1" t="s">
        <v>31</v>
      </c>
      <c r="E205" s="4">
        <v>16</v>
      </c>
      <c r="F205" s="4">
        <v>12</v>
      </c>
      <c r="G205" s="1" t="s">
        <v>32</v>
      </c>
      <c r="H205" s="1" t="s">
        <v>37</v>
      </c>
      <c r="I205" s="5" t="s">
        <v>180</v>
      </c>
      <c r="J205" s="4">
        <v>89</v>
      </c>
      <c r="O205" s="1" t="s">
        <v>428</v>
      </c>
      <c r="P205" s="1" t="s">
        <v>54</v>
      </c>
      <c r="Q205" s="1" t="s">
        <v>55</v>
      </c>
      <c r="R205" s="1" t="s">
        <v>13</v>
      </c>
      <c r="S205" s="4">
        <v>16</v>
      </c>
      <c r="T205" s="4">
        <v>11</v>
      </c>
      <c r="U205" s="1" t="s">
        <v>25</v>
      </c>
      <c r="V205" s="1" t="s">
        <v>15</v>
      </c>
      <c r="W205" s="5" t="s">
        <v>429</v>
      </c>
      <c r="X205" s="4">
        <v>86</v>
      </c>
    </row>
    <row r="206" spans="1:24" x14ac:dyDescent="0.3">
      <c r="A206" s="1" t="s">
        <v>425</v>
      </c>
      <c r="B206" s="1" t="s">
        <v>73</v>
      </c>
      <c r="C206" s="1" t="s">
        <v>30</v>
      </c>
      <c r="D206" s="1" t="s">
        <v>31</v>
      </c>
      <c r="E206" s="4">
        <v>15</v>
      </c>
      <c r="F206" s="4">
        <v>9</v>
      </c>
      <c r="G206" s="1" t="s">
        <v>14</v>
      </c>
      <c r="H206" s="1" t="s">
        <v>76</v>
      </c>
      <c r="I206" s="5" t="s">
        <v>149</v>
      </c>
      <c r="J206" s="4">
        <v>54</v>
      </c>
      <c r="O206" s="1" t="s">
        <v>430</v>
      </c>
      <c r="P206" s="1" t="s">
        <v>54</v>
      </c>
      <c r="Q206" s="1" t="s">
        <v>30</v>
      </c>
      <c r="R206" s="1" t="s">
        <v>13</v>
      </c>
      <c r="S206" s="4">
        <v>18</v>
      </c>
      <c r="T206" s="4">
        <v>11</v>
      </c>
      <c r="U206" s="1" t="s">
        <v>25</v>
      </c>
      <c r="V206" s="1" t="s">
        <v>26</v>
      </c>
      <c r="W206" s="5" t="s">
        <v>431</v>
      </c>
      <c r="X206" s="4">
        <v>91</v>
      </c>
    </row>
    <row r="207" spans="1:24" x14ac:dyDescent="0.3">
      <c r="A207" s="1" t="s">
        <v>426</v>
      </c>
      <c r="B207" s="1" t="s">
        <v>54</v>
      </c>
      <c r="C207" s="1" t="s">
        <v>96</v>
      </c>
      <c r="D207" s="1" t="s">
        <v>31</v>
      </c>
      <c r="E207" s="4">
        <v>16</v>
      </c>
      <c r="F207" s="4">
        <v>12</v>
      </c>
      <c r="G207" s="1" t="s">
        <v>25</v>
      </c>
      <c r="H207" s="1" t="s">
        <v>20</v>
      </c>
      <c r="I207" s="5" t="s">
        <v>427</v>
      </c>
      <c r="J207" s="4">
        <v>82</v>
      </c>
      <c r="O207" s="1" t="s">
        <v>432</v>
      </c>
      <c r="P207" s="1" t="s">
        <v>51</v>
      </c>
      <c r="Q207" s="1" t="s">
        <v>24</v>
      </c>
      <c r="R207" s="1" t="s">
        <v>31</v>
      </c>
      <c r="S207" s="4">
        <v>17</v>
      </c>
      <c r="T207" s="4">
        <v>11</v>
      </c>
      <c r="U207" s="1" t="s">
        <v>43</v>
      </c>
      <c r="V207" s="1" t="s">
        <v>15</v>
      </c>
      <c r="W207" s="5" t="s">
        <v>400</v>
      </c>
      <c r="X207" s="4">
        <v>53</v>
      </c>
    </row>
    <row r="208" spans="1:24" x14ac:dyDescent="0.3">
      <c r="A208" s="1" t="s">
        <v>428</v>
      </c>
      <c r="B208" s="1" t="s">
        <v>54</v>
      </c>
      <c r="C208" s="1" t="s">
        <v>55</v>
      </c>
      <c r="D208" s="1" t="s">
        <v>13</v>
      </c>
      <c r="E208" s="4">
        <v>16</v>
      </c>
      <c r="F208" s="4">
        <v>11</v>
      </c>
      <c r="G208" s="1" t="s">
        <v>25</v>
      </c>
      <c r="H208" s="1" t="s">
        <v>15</v>
      </c>
      <c r="I208" s="5" t="s">
        <v>429</v>
      </c>
      <c r="J208" s="4">
        <v>86</v>
      </c>
      <c r="O208" s="1" t="s">
        <v>433</v>
      </c>
      <c r="P208" s="1" t="s">
        <v>84</v>
      </c>
      <c r="Q208" s="1" t="s">
        <v>36</v>
      </c>
      <c r="R208" s="1" t="s">
        <v>13</v>
      </c>
      <c r="S208" s="4">
        <v>14</v>
      </c>
      <c r="T208" s="4">
        <v>9</v>
      </c>
      <c r="U208" s="1" t="s">
        <v>32</v>
      </c>
      <c r="V208" s="1" t="s">
        <v>15</v>
      </c>
      <c r="W208" s="5" t="s">
        <v>434</v>
      </c>
      <c r="X208" s="4">
        <v>47</v>
      </c>
    </row>
    <row r="209" spans="1:24" x14ac:dyDescent="0.3">
      <c r="A209" s="1" t="s">
        <v>430</v>
      </c>
      <c r="B209" s="1" t="s">
        <v>54</v>
      </c>
      <c r="C209" s="1" t="s">
        <v>30</v>
      </c>
      <c r="D209" s="1" t="s">
        <v>13</v>
      </c>
      <c r="E209" s="4">
        <v>18</v>
      </c>
      <c r="F209" s="4">
        <v>11</v>
      </c>
      <c r="G209" s="1" t="s">
        <v>25</v>
      </c>
      <c r="H209" s="1" t="s">
        <v>26</v>
      </c>
      <c r="I209" s="5" t="s">
        <v>431</v>
      </c>
      <c r="J209" s="4">
        <v>91</v>
      </c>
      <c r="O209" s="1" t="s">
        <v>435</v>
      </c>
      <c r="P209" s="1" t="s">
        <v>29</v>
      </c>
      <c r="Q209" s="1" t="s">
        <v>30</v>
      </c>
      <c r="R209" s="1" t="s">
        <v>31</v>
      </c>
      <c r="S209" s="4">
        <v>20</v>
      </c>
      <c r="T209" s="4">
        <v>12</v>
      </c>
      <c r="U209" s="1" t="s">
        <v>43</v>
      </c>
      <c r="V209" s="1" t="s">
        <v>26</v>
      </c>
      <c r="W209" s="5" t="s">
        <v>436</v>
      </c>
      <c r="X209" s="4">
        <v>36</v>
      </c>
    </row>
    <row r="210" spans="1:24" x14ac:dyDescent="0.3">
      <c r="A210" s="1" t="s">
        <v>432</v>
      </c>
      <c r="B210" s="1" t="s">
        <v>51</v>
      </c>
      <c r="C210" s="1" t="s">
        <v>24</v>
      </c>
      <c r="D210" s="1" t="s">
        <v>31</v>
      </c>
      <c r="E210" s="4">
        <v>17</v>
      </c>
      <c r="F210" s="4">
        <v>11</v>
      </c>
      <c r="G210" s="1" t="s">
        <v>43</v>
      </c>
      <c r="H210" s="1" t="s">
        <v>15</v>
      </c>
      <c r="I210" s="5" t="s">
        <v>400</v>
      </c>
      <c r="J210" s="4">
        <v>53</v>
      </c>
      <c r="O210" s="1" t="s">
        <v>437</v>
      </c>
      <c r="P210" s="1" t="s">
        <v>73</v>
      </c>
      <c r="Q210" s="1" t="s">
        <v>30</v>
      </c>
      <c r="R210" s="1" t="s">
        <v>13</v>
      </c>
      <c r="S210" s="4">
        <v>14</v>
      </c>
      <c r="T210" s="4">
        <v>11</v>
      </c>
      <c r="U210" s="1" t="s">
        <v>32</v>
      </c>
      <c r="V210" s="1" t="s">
        <v>76</v>
      </c>
      <c r="W210" s="5" t="s">
        <v>438</v>
      </c>
      <c r="X210" s="4">
        <v>62</v>
      </c>
    </row>
    <row r="211" spans="1:24" x14ac:dyDescent="0.3">
      <c r="A211" s="1" t="s">
        <v>433</v>
      </c>
      <c r="B211" s="1" t="s">
        <v>84</v>
      </c>
      <c r="C211" s="1" t="s">
        <v>36</v>
      </c>
      <c r="D211" s="1" t="s">
        <v>13</v>
      </c>
      <c r="E211" s="4">
        <v>14</v>
      </c>
      <c r="F211" s="4">
        <v>9</v>
      </c>
      <c r="G211" s="1" t="s">
        <v>32</v>
      </c>
      <c r="H211" s="1" t="s">
        <v>15</v>
      </c>
      <c r="I211" s="5" t="s">
        <v>434</v>
      </c>
      <c r="J211" s="4">
        <v>47</v>
      </c>
      <c r="O211" s="1" t="s">
        <v>439</v>
      </c>
      <c r="P211" s="1" t="s">
        <v>11</v>
      </c>
      <c r="Q211" s="1" t="s">
        <v>12</v>
      </c>
      <c r="R211" s="1" t="s">
        <v>13</v>
      </c>
      <c r="S211" s="4">
        <v>15</v>
      </c>
      <c r="T211" s="4">
        <v>9</v>
      </c>
      <c r="U211" s="1" t="s">
        <v>25</v>
      </c>
      <c r="V211" s="1" t="s">
        <v>15</v>
      </c>
      <c r="W211" s="5" t="s">
        <v>440</v>
      </c>
      <c r="X211" s="4">
        <v>90</v>
      </c>
    </row>
    <row r="212" spans="1:24" x14ac:dyDescent="0.3">
      <c r="A212" s="1" t="s">
        <v>435</v>
      </c>
      <c r="B212" s="1" t="s">
        <v>29</v>
      </c>
      <c r="C212" s="1" t="s">
        <v>30</v>
      </c>
      <c r="D212" s="1" t="s">
        <v>31</v>
      </c>
      <c r="E212" s="4">
        <v>20</v>
      </c>
      <c r="F212" s="4">
        <v>12</v>
      </c>
      <c r="G212" s="1" t="s">
        <v>43</v>
      </c>
      <c r="H212" s="1" t="s">
        <v>26</v>
      </c>
      <c r="I212" s="5" t="s">
        <v>436</v>
      </c>
      <c r="J212" s="4">
        <v>36</v>
      </c>
      <c r="O212" s="1" t="s">
        <v>441</v>
      </c>
      <c r="P212" s="1" t="s">
        <v>35</v>
      </c>
      <c r="Q212" s="1" t="s">
        <v>12</v>
      </c>
      <c r="R212" s="1" t="s">
        <v>13</v>
      </c>
      <c r="S212" s="4">
        <v>17</v>
      </c>
      <c r="T212" s="4">
        <v>10</v>
      </c>
      <c r="U212" s="1" t="s">
        <v>32</v>
      </c>
      <c r="V212" s="1" t="s">
        <v>15</v>
      </c>
      <c r="W212" s="5" t="s">
        <v>442</v>
      </c>
      <c r="X212" s="4">
        <v>91</v>
      </c>
    </row>
    <row r="213" spans="1:24" x14ac:dyDescent="0.3">
      <c r="A213" s="1" t="s">
        <v>437</v>
      </c>
      <c r="B213" s="1" t="s">
        <v>73</v>
      </c>
      <c r="C213" s="1" t="s">
        <v>30</v>
      </c>
      <c r="D213" s="1" t="s">
        <v>13</v>
      </c>
      <c r="E213" s="4">
        <v>14</v>
      </c>
      <c r="F213" s="4">
        <v>11</v>
      </c>
      <c r="G213" s="1" t="s">
        <v>32</v>
      </c>
      <c r="H213" s="1" t="s">
        <v>76</v>
      </c>
      <c r="I213" s="5" t="s">
        <v>438</v>
      </c>
      <c r="J213" s="4">
        <v>62</v>
      </c>
      <c r="O213" s="1" t="s">
        <v>443</v>
      </c>
      <c r="P213" s="1" t="s">
        <v>18</v>
      </c>
      <c r="Q213" s="1" t="s">
        <v>96</v>
      </c>
      <c r="R213" s="1" t="s">
        <v>13</v>
      </c>
      <c r="S213" s="4">
        <v>17</v>
      </c>
      <c r="T213" s="4">
        <v>9</v>
      </c>
      <c r="U213" s="1" t="s">
        <v>43</v>
      </c>
      <c r="V213" s="1" t="s">
        <v>37</v>
      </c>
      <c r="W213" s="5" t="s">
        <v>444</v>
      </c>
      <c r="X213" s="4">
        <v>60</v>
      </c>
    </row>
    <row r="214" spans="1:24" x14ac:dyDescent="0.3">
      <c r="A214" s="1" t="s">
        <v>439</v>
      </c>
      <c r="B214" s="1" t="s">
        <v>11</v>
      </c>
      <c r="C214" s="1" t="s">
        <v>12</v>
      </c>
      <c r="D214" s="1" t="s">
        <v>13</v>
      </c>
      <c r="E214" s="4">
        <v>15</v>
      </c>
      <c r="F214" s="4">
        <v>9</v>
      </c>
      <c r="G214" s="1" t="s">
        <v>25</v>
      </c>
      <c r="H214" s="1" t="s">
        <v>15</v>
      </c>
      <c r="I214" s="5" t="s">
        <v>440</v>
      </c>
      <c r="J214" s="4">
        <v>90</v>
      </c>
      <c r="O214" s="1" t="s">
        <v>445</v>
      </c>
      <c r="P214" s="1" t="s">
        <v>54</v>
      </c>
      <c r="Q214" s="1" t="s">
        <v>96</v>
      </c>
      <c r="R214" s="1" t="s">
        <v>13</v>
      </c>
      <c r="S214" s="4">
        <v>20</v>
      </c>
      <c r="T214" s="4">
        <v>10</v>
      </c>
      <c r="U214" s="1" t="s">
        <v>32</v>
      </c>
      <c r="V214" s="1" t="s">
        <v>46</v>
      </c>
      <c r="W214" s="5" t="s">
        <v>182</v>
      </c>
      <c r="X214" s="4">
        <v>85</v>
      </c>
    </row>
    <row r="215" spans="1:24" x14ac:dyDescent="0.3">
      <c r="A215" s="1" t="s">
        <v>441</v>
      </c>
      <c r="B215" s="1" t="s">
        <v>35</v>
      </c>
      <c r="C215" s="1" t="s">
        <v>12</v>
      </c>
      <c r="D215" s="1" t="s">
        <v>13</v>
      </c>
      <c r="E215" s="4">
        <v>17</v>
      </c>
      <c r="F215" s="4">
        <v>10</v>
      </c>
      <c r="G215" s="1" t="s">
        <v>32</v>
      </c>
      <c r="H215" s="1" t="s">
        <v>15</v>
      </c>
      <c r="I215" s="5" t="s">
        <v>442</v>
      </c>
      <c r="J215" s="4">
        <v>91</v>
      </c>
      <c r="O215" s="1" t="s">
        <v>446</v>
      </c>
      <c r="P215" s="1" t="s">
        <v>73</v>
      </c>
      <c r="Q215" s="1" t="s">
        <v>24</v>
      </c>
      <c r="R215" s="1" t="s">
        <v>13</v>
      </c>
      <c r="S215" s="4">
        <v>17</v>
      </c>
      <c r="T215" s="4">
        <v>10</v>
      </c>
      <c r="U215" s="1" t="s">
        <v>14</v>
      </c>
      <c r="V215" s="1" t="s">
        <v>20</v>
      </c>
      <c r="W215" s="5" t="s">
        <v>447</v>
      </c>
      <c r="X215" s="4">
        <v>58</v>
      </c>
    </row>
    <row r="216" spans="1:24" x14ac:dyDescent="0.3">
      <c r="A216" s="1" t="s">
        <v>443</v>
      </c>
      <c r="B216" s="1" t="s">
        <v>18</v>
      </c>
      <c r="C216" s="1" t="s">
        <v>96</v>
      </c>
      <c r="D216" s="1" t="s">
        <v>13</v>
      </c>
      <c r="E216" s="4">
        <v>17</v>
      </c>
      <c r="F216" s="4">
        <v>9</v>
      </c>
      <c r="G216" s="1" t="s">
        <v>43</v>
      </c>
      <c r="H216" s="1" t="s">
        <v>37</v>
      </c>
      <c r="I216" s="5" t="s">
        <v>444</v>
      </c>
      <c r="J216" s="4">
        <v>60</v>
      </c>
      <c r="O216" s="1" t="s">
        <v>448</v>
      </c>
      <c r="P216" s="1" t="s">
        <v>73</v>
      </c>
      <c r="Q216" s="1" t="s">
        <v>36</v>
      </c>
      <c r="R216" s="1" t="s">
        <v>31</v>
      </c>
      <c r="S216" s="4">
        <v>19</v>
      </c>
      <c r="T216" s="4">
        <v>12</v>
      </c>
      <c r="U216" s="1" t="s">
        <v>14</v>
      </c>
      <c r="V216" s="1" t="s">
        <v>37</v>
      </c>
      <c r="W216" s="5" t="s">
        <v>449</v>
      </c>
      <c r="X216" s="4">
        <v>65</v>
      </c>
    </row>
    <row r="217" spans="1:24" x14ac:dyDescent="0.3">
      <c r="A217" s="1" t="s">
        <v>445</v>
      </c>
      <c r="B217" s="1" t="s">
        <v>54</v>
      </c>
      <c r="C217" s="1" t="s">
        <v>96</v>
      </c>
      <c r="D217" s="1" t="s">
        <v>13</v>
      </c>
      <c r="E217" s="4">
        <v>20</v>
      </c>
      <c r="F217" s="4">
        <v>10</v>
      </c>
      <c r="G217" s="1" t="s">
        <v>32</v>
      </c>
      <c r="H217" s="1" t="s">
        <v>46</v>
      </c>
      <c r="I217" s="5" t="s">
        <v>182</v>
      </c>
      <c r="J217" s="4">
        <v>85</v>
      </c>
      <c r="O217" s="1" t="s">
        <v>450</v>
      </c>
      <c r="P217" s="1" t="s">
        <v>54</v>
      </c>
      <c r="Q217" s="1" t="s">
        <v>55</v>
      </c>
      <c r="R217" s="1" t="s">
        <v>31</v>
      </c>
      <c r="S217" s="4">
        <v>19</v>
      </c>
      <c r="T217" s="4">
        <v>12</v>
      </c>
      <c r="U217" s="1" t="s">
        <v>43</v>
      </c>
      <c r="V217" s="1" t="s">
        <v>20</v>
      </c>
      <c r="W217" s="5" t="s">
        <v>451</v>
      </c>
      <c r="X217" s="4">
        <v>58</v>
      </c>
    </row>
    <row r="218" spans="1:24" x14ac:dyDescent="0.3">
      <c r="A218" s="1" t="s">
        <v>446</v>
      </c>
      <c r="B218" s="1" t="s">
        <v>73</v>
      </c>
      <c r="C218" s="1" t="s">
        <v>24</v>
      </c>
      <c r="D218" s="1" t="s">
        <v>13</v>
      </c>
      <c r="E218" s="4">
        <v>17</v>
      </c>
      <c r="F218" s="4">
        <v>10</v>
      </c>
      <c r="G218" s="1" t="s">
        <v>14</v>
      </c>
      <c r="H218" s="1" t="s">
        <v>20</v>
      </c>
      <c r="I218" s="5" t="s">
        <v>447</v>
      </c>
      <c r="J218" s="4">
        <v>58</v>
      </c>
      <c r="O218" s="1" t="s">
        <v>452</v>
      </c>
      <c r="P218" s="1" t="s">
        <v>51</v>
      </c>
      <c r="Q218" s="1" t="s">
        <v>12</v>
      </c>
      <c r="R218" s="1" t="s">
        <v>13</v>
      </c>
      <c r="S218" s="4">
        <v>18</v>
      </c>
      <c r="T218" s="4">
        <v>9</v>
      </c>
      <c r="U218" s="1" t="s">
        <v>32</v>
      </c>
      <c r="V218" s="1" t="s">
        <v>76</v>
      </c>
      <c r="W218" s="5" t="s">
        <v>453</v>
      </c>
      <c r="X218" s="4">
        <v>35</v>
      </c>
    </row>
    <row r="219" spans="1:24" x14ac:dyDescent="0.3">
      <c r="A219" s="1" t="s">
        <v>448</v>
      </c>
      <c r="B219" s="1" t="s">
        <v>73</v>
      </c>
      <c r="C219" s="1" t="s">
        <v>36</v>
      </c>
      <c r="D219" s="1" t="s">
        <v>31</v>
      </c>
      <c r="E219" s="4">
        <v>19</v>
      </c>
      <c r="F219" s="4">
        <v>12</v>
      </c>
      <c r="G219" s="1" t="s">
        <v>14</v>
      </c>
      <c r="H219" s="1" t="s">
        <v>37</v>
      </c>
      <c r="I219" s="5" t="s">
        <v>449</v>
      </c>
      <c r="J219" s="4">
        <v>65</v>
      </c>
      <c r="O219" s="1" t="s">
        <v>454</v>
      </c>
      <c r="P219" s="1" t="s">
        <v>29</v>
      </c>
      <c r="Q219" s="1" t="s">
        <v>12</v>
      </c>
      <c r="R219" s="1" t="s">
        <v>31</v>
      </c>
      <c r="S219" s="4">
        <v>16</v>
      </c>
      <c r="T219" s="4">
        <v>11</v>
      </c>
      <c r="U219" s="1" t="s">
        <v>43</v>
      </c>
      <c r="V219" s="1" t="s">
        <v>61</v>
      </c>
      <c r="W219" s="5" t="s">
        <v>385</v>
      </c>
      <c r="X219" s="4">
        <v>40</v>
      </c>
    </row>
    <row r="220" spans="1:24" x14ac:dyDescent="0.3">
      <c r="A220" s="1" t="s">
        <v>450</v>
      </c>
      <c r="B220" s="1" t="s">
        <v>54</v>
      </c>
      <c r="C220" s="1" t="s">
        <v>55</v>
      </c>
      <c r="D220" s="1" t="s">
        <v>31</v>
      </c>
      <c r="E220" s="4">
        <v>19</v>
      </c>
      <c r="F220" s="4">
        <v>12</v>
      </c>
      <c r="G220" s="1" t="s">
        <v>43</v>
      </c>
      <c r="H220" s="1" t="s">
        <v>20</v>
      </c>
      <c r="I220" s="5" t="s">
        <v>451</v>
      </c>
      <c r="J220" s="4">
        <v>58</v>
      </c>
      <c r="O220" s="1" t="s">
        <v>455</v>
      </c>
      <c r="P220" s="1" t="s">
        <v>29</v>
      </c>
      <c r="Q220" s="1" t="s">
        <v>30</v>
      </c>
      <c r="R220" s="1" t="s">
        <v>13</v>
      </c>
      <c r="S220" s="4">
        <v>16</v>
      </c>
      <c r="T220" s="4">
        <v>9</v>
      </c>
      <c r="U220" s="1" t="s">
        <v>14</v>
      </c>
      <c r="V220" s="1" t="s">
        <v>61</v>
      </c>
      <c r="W220" s="5" t="s">
        <v>447</v>
      </c>
      <c r="X220" s="4">
        <v>60</v>
      </c>
    </row>
    <row r="221" spans="1:24" x14ac:dyDescent="0.3">
      <c r="A221" s="1" t="s">
        <v>452</v>
      </c>
      <c r="B221" s="1" t="s">
        <v>51</v>
      </c>
      <c r="C221" s="1" t="s">
        <v>12</v>
      </c>
      <c r="D221" s="1" t="s">
        <v>13</v>
      </c>
      <c r="E221" s="4">
        <v>18</v>
      </c>
      <c r="F221" s="4">
        <v>9</v>
      </c>
      <c r="G221" s="1" t="s">
        <v>32</v>
      </c>
      <c r="H221" s="1" t="s">
        <v>76</v>
      </c>
      <c r="I221" s="5" t="s">
        <v>453</v>
      </c>
      <c r="J221" s="4">
        <v>35</v>
      </c>
      <c r="O221" s="1" t="s">
        <v>456</v>
      </c>
      <c r="P221" s="1" t="s">
        <v>11</v>
      </c>
      <c r="Q221" s="1" t="s">
        <v>55</v>
      </c>
      <c r="R221" s="1" t="s">
        <v>13</v>
      </c>
      <c r="S221" s="4">
        <v>15</v>
      </c>
      <c r="T221" s="4">
        <v>9</v>
      </c>
      <c r="U221" s="1" t="s">
        <v>32</v>
      </c>
      <c r="V221" s="1" t="s">
        <v>61</v>
      </c>
      <c r="W221" s="5" t="s">
        <v>457</v>
      </c>
      <c r="X221" s="4">
        <v>97</v>
      </c>
    </row>
    <row r="222" spans="1:24" x14ac:dyDescent="0.3">
      <c r="A222" s="1" t="s">
        <v>454</v>
      </c>
      <c r="B222" s="1" t="s">
        <v>29</v>
      </c>
      <c r="C222" s="1" t="s">
        <v>12</v>
      </c>
      <c r="D222" s="1" t="s">
        <v>31</v>
      </c>
      <c r="E222" s="4">
        <v>16</v>
      </c>
      <c r="F222" s="4">
        <v>11</v>
      </c>
      <c r="G222" s="1" t="s">
        <v>43</v>
      </c>
      <c r="H222" s="1" t="s">
        <v>61</v>
      </c>
      <c r="I222" s="5" t="s">
        <v>385</v>
      </c>
      <c r="J222" s="4">
        <v>40</v>
      </c>
      <c r="O222" s="1" t="s">
        <v>458</v>
      </c>
      <c r="P222" s="1" t="s">
        <v>11</v>
      </c>
      <c r="Q222" s="1" t="s">
        <v>55</v>
      </c>
      <c r="R222" s="1" t="s">
        <v>13</v>
      </c>
      <c r="S222" s="4">
        <v>19</v>
      </c>
      <c r="T222" s="4">
        <v>11</v>
      </c>
      <c r="U222" s="1" t="s">
        <v>14</v>
      </c>
      <c r="V222" s="1" t="s">
        <v>46</v>
      </c>
      <c r="W222" s="5" t="s">
        <v>459</v>
      </c>
      <c r="X222" s="4">
        <v>81</v>
      </c>
    </row>
    <row r="223" spans="1:24" x14ac:dyDescent="0.3">
      <c r="A223" s="1" t="s">
        <v>455</v>
      </c>
      <c r="B223" s="1" t="s">
        <v>29</v>
      </c>
      <c r="C223" s="1" t="s">
        <v>30</v>
      </c>
      <c r="D223" s="1" t="s">
        <v>13</v>
      </c>
      <c r="E223" s="4">
        <v>16</v>
      </c>
      <c r="F223" s="4">
        <v>9</v>
      </c>
      <c r="G223" s="1" t="s">
        <v>14</v>
      </c>
      <c r="H223" s="1" t="s">
        <v>61</v>
      </c>
      <c r="I223" s="5" t="s">
        <v>447</v>
      </c>
      <c r="J223" s="4">
        <v>60</v>
      </c>
      <c r="O223" s="1" t="s">
        <v>460</v>
      </c>
      <c r="P223" s="1" t="s">
        <v>51</v>
      </c>
      <c r="Q223" s="1" t="s">
        <v>96</v>
      </c>
      <c r="R223" s="1" t="s">
        <v>31</v>
      </c>
      <c r="S223" s="4">
        <v>16</v>
      </c>
      <c r="T223" s="4">
        <v>12</v>
      </c>
      <c r="U223" s="1" t="s">
        <v>43</v>
      </c>
      <c r="V223" s="1" t="s">
        <v>15</v>
      </c>
      <c r="W223" s="5" t="s">
        <v>461</v>
      </c>
      <c r="X223" s="4">
        <v>65</v>
      </c>
    </row>
    <row r="224" spans="1:24" x14ac:dyDescent="0.3">
      <c r="A224" s="1" t="s">
        <v>456</v>
      </c>
      <c r="B224" s="1" t="s">
        <v>11</v>
      </c>
      <c r="C224" s="1" t="s">
        <v>55</v>
      </c>
      <c r="D224" s="1" t="s">
        <v>13</v>
      </c>
      <c r="E224" s="4">
        <v>15</v>
      </c>
      <c r="F224" s="4">
        <v>9</v>
      </c>
      <c r="G224" s="1" t="s">
        <v>32</v>
      </c>
      <c r="H224" s="1" t="s">
        <v>61</v>
      </c>
      <c r="I224" s="5" t="s">
        <v>457</v>
      </c>
      <c r="J224" s="4">
        <v>97</v>
      </c>
      <c r="O224" s="1" t="s">
        <v>462</v>
      </c>
      <c r="P224" s="1" t="s">
        <v>11</v>
      </c>
      <c r="Q224" s="1" t="s">
        <v>24</v>
      </c>
      <c r="R224" s="1" t="s">
        <v>31</v>
      </c>
      <c r="S224" s="4">
        <v>19</v>
      </c>
      <c r="T224" s="4">
        <v>12</v>
      </c>
      <c r="U224" s="1" t="s">
        <v>43</v>
      </c>
      <c r="V224" s="1" t="s">
        <v>37</v>
      </c>
      <c r="W224" s="5" t="s">
        <v>463</v>
      </c>
      <c r="X224" s="4">
        <v>45</v>
      </c>
    </row>
    <row r="225" spans="1:24" x14ac:dyDescent="0.3">
      <c r="A225" s="1" t="s">
        <v>458</v>
      </c>
      <c r="B225" s="1" t="s">
        <v>11</v>
      </c>
      <c r="C225" s="1" t="s">
        <v>55</v>
      </c>
      <c r="D225" s="1" t="s">
        <v>13</v>
      </c>
      <c r="E225" s="4">
        <v>19</v>
      </c>
      <c r="F225" s="4">
        <v>11</v>
      </c>
      <c r="G225" s="1" t="s">
        <v>14</v>
      </c>
      <c r="H225" s="1" t="s">
        <v>46</v>
      </c>
      <c r="I225" s="5" t="s">
        <v>459</v>
      </c>
      <c r="J225" s="4">
        <v>81</v>
      </c>
      <c r="O225" s="1" t="s">
        <v>464</v>
      </c>
      <c r="P225" s="1" t="s">
        <v>11</v>
      </c>
      <c r="Q225" s="1" t="s">
        <v>36</v>
      </c>
      <c r="R225" s="1" t="s">
        <v>13</v>
      </c>
      <c r="S225" s="4">
        <v>16</v>
      </c>
      <c r="T225" s="4">
        <v>11</v>
      </c>
      <c r="U225" s="1" t="s">
        <v>25</v>
      </c>
      <c r="V225" s="1" t="s">
        <v>40</v>
      </c>
      <c r="W225" s="5" t="s">
        <v>465</v>
      </c>
      <c r="X225" s="4">
        <v>79</v>
      </c>
    </row>
    <row r="226" spans="1:24" x14ac:dyDescent="0.3">
      <c r="A226" s="1" t="s">
        <v>460</v>
      </c>
      <c r="B226" s="1" t="s">
        <v>51</v>
      </c>
      <c r="C226" s="1" t="s">
        <v>96</v>
      </c>
      <c r="D226" s="1" t="s">
        <v>31</v>
      </c>
      <c r="E226" s="4">
        <v>16</v>
      </c>
      <c r="F226" s="4">
        <v>12</v>
      </c>
      <c r="G226" s="1" t="s">
        <v>43</v>
      </c>
      <c r="H226" s="1" t="s">
        <v>15</v>
      </c>
      <c r="I226" s="5" t="s">
        <v>461</v>
      </c>
      <c r="J226" s="4">
        <v>65</v>
      </c>
      <c r="O226" s="1" t="s">
        <v>466</v>
      </c>
      <c r="P226" s="1" t="s">
        <v>11</v>
      </c>
      <c r="Q226" s="1" t="s">
        <v>55</v>
      </c>
      <c r="R226" s="1" t="s">
        <v>31</v>
      </c>
      <c r="S226" s="4">
        <v>20</v>
      </c>
      <c r="T226" s="4">
        <v>11</v>
      </c>
      <c r="U226" s="1" t="s">
        <v>32</v>
      </c>
      <c r="V226" s="1" t="s">
        <v>40</v>
      </c>
      <c r="W226" s="5" t="s">
        <v>467</v>
      </c>
      <c r="X226" s="4">
        <v>46</v>
      </c>
    </row>
    <row r="227" spans="1:24" x14ac:dyDescent="0.3">
      <c r="A227" s="1" t="s">
        <v>462</v>
      </c>
      <c r="B227" s="1" t="s">
        <v>11</v>
      </c>
      <c r="C227" s="1" t="s">
        <v>24</v>
      </c>
      <c r="D227" s="1" t="s">
        <v>31</v>
      </c>
      <c r="E227" s="4">
        <v>19</v>
      </c>
      <c r="F227" s="4">
        <v>12</v>
      </c>
      <c r="G227" s="1" t="s">
        <v>43</v>
      </c>
      <c r="H227" s="1" t="s">
        <v>37</v>
      </c>
      <c r="I227" s="5" t="s">
        <v>463</v>
      </c>
      <c r="J227" s="4">
        <v>45</v>
      </c>
      <c r="O227" s="1" t="s">
        <v>468</v>
      </c>
      <c r="P227" s="1" t="s">
        <v>73</v>
      </c>
      <c r="Q227" s="1" t="s">
        <v>12</v>
      </c>
      <c r="R227" s="1" t="s">
        <v>13</v>
      </c>
      <c r="S227" s="4">
        <v>17</v>
      </c>
      <c r="T227" s="4">
        <v>10</v>
      </c>
      <c r="U227" s="1" t="s">
        <v>43</v>
      </c>
      <c r="V227" s="1" t="s">
        <v>15</v>
      </c>
      <c r="W227" s="5" t="s">
        <v>469</v>
      </c>
      <c r="X227" s="4">
        <v>75</v>
      </c>
    </row>
    <row r="228" spans="1:24" x14ac:dyDescent="0.3">
      <c r="A228" s="1" t="s">
        <v>464</v>
      </c>
      <c r="B228" s="1" t="s">
        <v>11</v>
      </c>
      <c r="C228" s="1" t="s">
        <v>36</v>
      </c>
      <c r="D228" s="1" t="s">
        <v>13</v>
      </c>
      <c r="E228" s="4">
        <v>16</v>
      </c>
      <c r="F228" s="4">
        <v>11</v>
      </c>
      <c r="G228" s="1" t="s">
        <v>25</v>
      </c>
      <c r="H228" s="1" t="s">
        <v>40</v>
      </c>
      <c r="I228" s="5" t="s">
        <v>465</v>
      </c>
      <c r="J228" s="4">
        <v>79</v>
      </c>
      <c r="O228" s="1" t="s">
        <v>470</v>
      </c>
      <c r="P228" s="1" t="s">
        <v>35</v>
      </c>
      <c r="Q228" s="1" t="s">
        <v>96</v>
      </c>
      <c r="R228" s="1" t="s">
        <v>31</v>
      </c>
      <c r="S228" s="4">
        <v>16</v>
      </c>
      <c r="T228" s="4">
        <v>11</v>
      </c>
      <c r="U228" s="1" t="s">
        <v>32</v>
      </c>
      <c r="V228" s="1" t="s">
        <v>61</v>
      </c>
      <c r="W228" s="5" t="s">
        <v>471</v>
      </c>
      <c r="X228" s="4">
        <v>65</v>
      </c>
    </row>
    <row r="229" spans="1:24" x14ac:dyDescent="0.3">
      <c r="A229" s="1" t="s">
        <v>466</v>
      </c>
      <c r="B229" s="1" t="s">
        <v>11</v>
      </c>
      <c r="C229" s="1" t="s">
        <v>55</v>
      </c>
      <c r="D229" s="1" t="s">
        <v>31</v>
      </c>
      <c r="E229" s="4">
        <v>20</v>
      </c>
      <c r="F229" s="4">
        <v>11</v>
      </c>
      <c r="G229" s="1" t="s">
        <v>32</v>
      </c>
      <c r="H229" s="1" t="s">
        <v>40</v>
      </c>
      <c r="I229" s="5" t="s">
        <v>467</v>
      </c>
      <c r="J229" s="4">
        <v>46</v>
      </c>
      <c r="O229" s="1" t="s">
        <v>472</v>
      </c>
      <c r="P229" s="1" t="s">
        <v>84</v>
      </c>
      <c r="Q229" s="1" t="s">
        <v>79</v>
      </c>
      <c r="R229" s="1" t="s">
        <v>31</v>
      </c>
      <c r="S229" s="4">
        <v>15</v>
      </c>
      <c r="T229" s="4">
        <v>11</v>
      </c>
      <c r="U229" s="1" t="s">
        <v>14</v>
      </c>
      <c r="V229" s="1" t="s">
        <v>40</v>
      </c>
      <c r="W229" s="5" t="s">
        <v>317</v>
      </c>
      <c r="X229" s="4">
        <v>72</v>
      </c>
    </row>
    <row r="230" spans="1:24" x14ac:dyDescent="0.3">
      <c r="A230" s="1" t="s">
        <v>468</v>
      </c>
      <c r="B230" s="1" t="s">
        <v>73</v>
      </c>
      <c r="C230" s="1" t="s">
        <v>12</v>
      </c>
      <c r="D230" s="1" t="s">
        <v>13</v>
      </c>
      <c r="E230" s="4">
        <v>17</v>
      </c>
      <c r="F230" s="4">
        <v>10</v>
      </c>
      <c r="G230" s="1" t="s">
        <v>43</v>
      </c>
      <c r="H230" s="1" t="s">
        <v>15</v>
      </c>
      <c r="I230" s="5" t="s">
        <v>469</v>
      </c>
      <c r="J230" s="4">
        <v>75</v>
      </c>
      <c r="O230" s="1" t="s">
        <v>473</v>
      </c>
      <c r="P230" s="1" t="s">
        <v>18</v>
      </c>
      <c r="Q230" s="1" t="s">
        <v>19</v>
      </c>
      <c r="R230" s="1" t="s">
        <v>31</v>
      </c>
      <c r="S230" s="4">
        <v>16</v>
      </c>
      <c r="T230" s="4">
        <v>11</v>
      </c>
      <c r="U230" s="1" t="s">
        <v>14</v>
      </c>
      <c r="V230" s="1" t="s">
        <v>61</v>
      </c>
      <c r="W230" s="5" t="s">
        <v>474</v>
      </c>
      <c r="X230" s="4">
        <v>75</v>
      </c>
    </row>
    <row r="231" spans="1:24" x14ac:dyDescent="0.3">
      <c r="A231" s="1" t="s">
        <v>470</v>
      </c>
      <c r="B231" s="1" t="s">
        <v>35</v>
      </c>
      <c r="C231" s="1" t="s">
        <v>96</v>
      </c>
      <c r="D231" s="1" t="s">
        <v>31</v>
      </c>
      <c r="E231" s="4">
        <v>16</v>
      </c>
      <c r="F231" s="4">
        <v>11</v>
      </c>
      <c r="G231" s="1" t="s">
        <v>32</v>
      </c>
      <c r="H231" s="1" t="s">
        <v>61</v>
      </c>
      <c r="I231" s="5" t="s">
        <v>471</v>
      </c>
      <c r="J231" s="4">
        <v>65</v>
      </c>
      <c r="O231" s="1" t="s">
        <v>475</v>
      </c>
      <c r="P231" s="1" t="s">
        <v>35</v>
      </c>
      <c r="Q231" s="1" t="s">
        <v>79</v>
      </c>
      <c r="R231" s="1" t="s">
        <v>13</v>
      </c>
      <c r="S231" s="4">
        <v>17</v>
      </c>
      <c r="T231" s="4">
        <v>9</v>
      </c>
      <c r="U231" s="1" t="s">
        <v>32</v>
      </c>
      <c r="V231" s="1" t="s">
        <v>15</v>
      </c>
      <c r="W231" s="5" t="s">
        <v>248</v>
      </c>
      <c r="X231" s="4">
        <v>50</v>
      </c>
    </row>
    <row r="232" spans="1:24" x14ac:dyDescent="0.3">
      <c r="A232" s="1" t="s">
        <v>472</v>
      </c>
      <c r="B232" s="1" t="s">
        <v>84</v>
      </c>
      <c r="C232" s="1" t="s">
        <v>79</v>
      </c>
      <c r="D232" s="1" t="s">
        <v>31</v>
      </c>
      <c r="E232" s="4">
        <v>15</v>
      </c>
      <c r="F232" s="4">
        <v>11</v>
      </c>
      <c r="G232" s="1" t="s">
        <v>14</v>
      </c>
      <c r="H232" s="1" t="s">
        <v>40</v>
      </c>
      <c r="I232" s="5" t="s">
        <v>317</v>
      </c>
      <c r="J232" s="4">
        <v>72</v>
      </c>
      <c r="O232" s="1" t="s">
        <v>476</v>
      </c>
      <c r="P232" s="1" t="s">
        <v>29</v>
      </c>
      <c r="Q232" s="1" t="s">
        <v>55</v>
      </c>
      <c r="R232" s="1" t="s">
        <v>13</v>
      </c>
      <c r="S232" s="4">
        <v>19</v>
      </c>
      <c r="T232" s="4">
        <v>10</v>
      </c>
      <c r="U232" s="1" t="s">
        <v>43</v>
      </c>
      <c r="V232" s="1" t="s">
        <v>26</v>
      </c>
      <c r="W232" s="5" t="s">
        <v>477</v>
      </c>
      <c r="X232" s="4">
        <v>88</v>
      </c>
    </row>
    <row r="233" spans="1:24" x14ac:dyDescent="0.3">
      <c r="A233" s="1" t="s">
        <v>473</v>
      </c>
      <c r="B233" s="1" t="s">
        <v>18</v>
      </c>
      <c r="C233" s="1" t="s">
        <v>19</v>
      </c>
      <c r="D233" s="1" t="s">
        <v>31</v>
      </c>
      <c r="E233" s="4">
        <v>16</v>
      </c>
      <c r="F233" s="4">
        <v>11</v>
      </c>
      <c r="G233" s="1" t="s">
        <v>14</v>
      </c>
      <c r="H233" s="1" t="s">
        <v>61</v>
      </c>
      <c r="I233" s="5" t="s">
        <v>474</v>
      </c>
      <c r="J233" s="4">
        <v>75</v>
      </c>
      <c r="O233" s="1" t="s">
        <v>478</v>
      </c>
      <c r="P233" s="1" t="s">
        <v>11</v>
      </c>
      <c r="Q233" s="1" t="s">
        <v>36</v>
      </c>
      <c r="R233" s="1" t="s">
        <v>13</v>
      </c>
      <c r="S233" s="4">
        <v>17</v>
      </c>
      <c r="T233" s="4">
        <v>12</v>
      </c>
      <c r="U233" s="1" t="s">
        <v>14</v>
      </c>
      <c r="V233" s="1" t="s">
        <v>37</v>
      </c>
      <c r="W233" s="5" t="s">
        <v>479</v>
      </c>
      <c r="X233" s="4">
        <v>63</v>
      </c>
    </row>
    <row r="234" spans="1:24" x14ac:dyDescent="0.3">
      <c r="A234" s="1" t="s">
        <v>475</v>
      </c>
      <c r="B234" s="1" t="s">
        <v>35</v>
      </c>
      <c r="C234" s="1" t="s">
        <v>79</v>
      </c>
      <c r="D234" s="1" t="s">
        <v>13</v>
      </c>
      <c r="E234" s="4">
        <v>17</v>
      </c>
      <c r="F234" s="4">
        <v>9</v>
      </c>
      <c r="G234" s="1" t="s">
        <v>32</v>
      </c>
      <c r="H234" s="1" t="s">
        <v>15</v>
      </c>
      <c r="I234" s="5" t="s">
        <v>248</v>
      </c>
      <c r="J234" s="4">
        <v>50</v>
      </c>
      <c r="O234" s="1" t="s">
        <v>480</v>
      </c>
      <c r="P234" s="1" t="s">
        <v>35</v>
      </c>
      <c r="Q234" s="1" t="s">
        <v>12</v>
      </c>
      <c r="R234" s="1" t="s">
        <v>31</v>
      </c>
      <c r="S234" s="4">
        <v>18</v>
      </c>
      <c r="T234" s="4">
        <v>10</v>
      </c>
      <c r="U234" s="1" t="s">
        <v>14</v>
      </c>
      <c r="V234" s="1" t="s">
        <v>37</v>
      </c>
      <c r="W234" s="5" t="s">
        <v>481</v>
      </c>
      <c r="X234" s="4">
        <v>36</v>
      </c>
    </row>
    <row r="235" spans="1:24" x14ac:dyDescent="0.3">
      <c r="A235" s="1" t="s">
        <v>476</v>
      </c>
      <c r="B235" s="1" t="s">
        <v>29</v>
      </c>
      <c r="C235" s="1" t="s">
        <v>55</v>
      </c>
      <c r="D235" s="1" t="s">
        <v>13</v>
      </c>
      <c r="E235" s="4">
        <v>19</v>
      </c>
      <c r="F235" s="4">
        <v>10</v>
      </c>
      <c r="G235" s="1" t="s">
        <v>43</v>
      </c>
      <c r="H235" s="1" t="s">
        <v>26</v>
      </c>
      <c r="I235" s="5" t="s">
        <v>477</v>
      </c>
      <c r="J235" s="4">
        <v>88</v>
      </c>
      <c r="O235" s="1" t="s">
        <v>482</v>
      </c>
      <c r="P235" s="1" t="s">
        <v>35</v>
      </c>
      <c r="Q235" s="1" t="s">
        <v>24</v>
      </c>
      <c r="R235" s="1" t="s">
        <v>13</v>
      </c>
      <c r="S235" s="4">
        <v>18</v>
      </c>
      <c r="T235" s="4">
        <v>11</v>
      </c>
      <c r="U235" s="1" t="s">
        <v>14</v>
      </c>
      <c r="V235" s="1" t="s">
        <v>61</v>
      </c>
      <c r="W235" s="5" t="s">
        <v>483</v>
      </c>
      <c r="X235" s="4">
        <v>86</v>
      </c>
    </row>
    <row r="236" spans="1:24" x14ac:dyDescent="0.3">
      <c r="A236" s="1" t="s">
        <v>478</v>
      </c>
      <c r="B236" s="1" t="s">
        <v>11</v>
      </c>
      <c r="C236" s="1" t="s">
        <v>36</v>
      </c>
      <c r="D236" s="1" t="s">
        <v>13</v>
      </c>
      <c r="E236" s="4">
        <v>17</v>
      </c>
      <c r="F236" s="4">
        <v>12</v>
      </c>
      <c r="G236" s="1" t="s">
        <v>14</v>
      </c>
      <c r="H236" s="1" t="s">
        <v>37</v>
      </c>
      <c r="I236" s="5" t="s">
        <v>479</v>
      </c>
      <c r="J236" s="4">
        <v>63</v>
      </c>
      <c r="O236" s="1" t="s">
        <v>484</v>
      </c>
      <c r="P236" s="1" t="s">
        <v>29</v>
      </c>
      <c r="Q236" s="1" t="s">
        <v>79</v>
      </c>
      <c r="R236" s="1" t="s">
        <v>31</v>
      </c>
      <c r="S236" s="4">
        <v>14</v>
      </c>
      <c r="T236" s="4">
        <v>11</v>
      </c>
      <c r="U236" s="1" t="s">
        <v>32</v>
      </c>
      <c r="V236" s="1" t="s">
        <v>40</v>
      </c>
      <c r="W236" s="5" t="s">
        <v>184</v>
      </c>
      <c r="X236" s="4">
        <v>42</v>
      </c>
    </row>
    <row r="237" spans="1:24" x14ac:dyDescent="0.3">
      <c r="A237" s="1" t="s">
        <v>480</v>
      </c>
      <c r="B237" s="1" t="s">
        <v>35</v>
      </c>
      <c r="C237" s="1" t="s">
        <v>12</v>
      </c>
      <c r="D237" s="1" t="s">
        <v>31</v>
      </c>
      <c r="E237" s="4">
        <v>18</v>
      </c>
      <c r="F237" s="4">
        <v>10</v>
      </c>
      <c r="G237" s="1" t="s">
        <v>14</v>
      </c>
      <c r="H237" s="1" t="s">
        <v>37</v>
      </c>
      <c r="I237" s="5" t="s">
        <v>481</v>
      </c>
      <c r="J237" s="4">
        <v>36</v>
      </c>
      <c r="O237" s="1" t="s">
        <v>485</v>
      </c>
      <c r="P237" s="1" t="s">
        <v>18</v>
      </c>
      <c r="Q237" s="1" t="s">
        <v>12</v>
      </c>
      <c r="R237" s="1" t="s">
        <v>31</v>
      </c>
      <c r="S237" s="4">
        <v>16</v>
      </c>
      <c r="T237" s="4">
        <v>12</v>
      </c>
      <c r="U237" s="1" t="s">
        <v>14</v>
      </c>
      <c r="V237" s="1" t="s">
        <v>76</v>
      </c>
      <c r="W237" s="5" t="s">
        <v>486</v>
      </c>
      <c r="X237" s="4">
        <v>70</v>
      </c>
    </row>
    <row r="238" spans="1:24" x14ac:dyDescent="0.3">
      <c r="A238" s="1" t="s">
        <v>482</v>
      </c>
      <c r="B238" s="1" t="s">
        <v>35</v>
      </c>
      <c r="C238" s="1" t="s">
        <v>24</v>
      </c>
      <c r="D238" s="1" t="s">
        <v>13</v>
      </c>
      <c r="E238" s="4">
        <v>18</v>
      </c>
      <c r="F238" s="4">
        <v>11</v>
      </c>
      <c r="G238" s="1" t="s">
        <v>14</v>
      </c>
      <c r="H238" s="1" t="s">
        <v>61</v>
      </c>
      <c r="I238" s="5" t="s">
        <v>483</v>
      </c>
      <c r="J238" s="4">
        <v>86</v>
      </c>
      <c r="O238" s="1" t="s">
        <v>487</v>
      </c>
      <c r="P238" s="1" t="s">
        <v>18</v>
      </c>
      <c r="Q238" s="1" t="s">
        <v>79</v>
      </c>
      <c r="R238" s="1" t="s">
        <v>13</v>
      </c>
      <c r="S238" s="4">
        <v>16</v>
      </c>
      <c r="T238" s="4">
        <v>11</v>
      </c>
      <c r="U238" s="1" t="s">
        <v>43</v>
      </c>
      <c r="V238" s="1" t="s">
        <v>61</v>
      </c>
      <c r="W238" s="5" t="s">
        <v>488</v>
      </c>
      <c r="X238" s="4">
        <v>86</v>
      </c>
    </row>
    <row r="239" spans="1:24" x14ac:dyDescent="0.3">
      <c r="A239" s="1" t="s">
        <v>484</v>
      </c>
      <c r="B239" s="1" t="s">
        <v>29</v>
      </c>
      <c r="C239" s="1" t="s">
        <v>79</v>
      </c>
      <c r="D239" s="1" t="s">
        <v>31</v>
      </c>
      <c r="E239" s="4">
        <v>14</v>
      </c>
      <c r="F239" s="4">
        <v>11</v>
      </c>
      <c r="G239" s="1" t="s">
        <v>32</v>
      </c>
      <c r="H239" s="1" t="s">
        <v>40</v>
      </c>
      <c r="I239" s="5" t="s">
        <v>184</v>
      </c>
      <c r="J239" s="4">
        <v>42</v>
      </c>
      <c r="O239" s="1" t="s">
        <v>489</v>
      </c>
      <c r="P239" s="1" t="s">
        <v>68</v>
      </c>
      <c r="Q239" s="1" t="s">
        <v>58</v>
      </c>
      <c r="R239" s="1" t="s">
        <v>31</v>
      </c>
      <c r="S239" s="4">
        <v>20</v>
      </c>
      <c r="T239" s="4">
        <v>10</v>
      </c>
      <c r="U239" s="1" t="s">
        <v>32</v>
      </c>
      <c r="V239" s="1" t="s">
        <v>20</v>
      </c>
      <c r="W239" s="5" t="s">
        <v>370</v>
      </c>
      <c r="X239" s="4">
        <v>93</v>
      </c>
    </row>
    <row r="240" spans="1:24" x14ac:dyDescent="0.3">
      <c r="A240" s="1" t="s">
        <v>485</v>
      </c>
      <c r="B240" s="1" t="s">
        <v>18</v>
      </c>
      <c r="C240" s="1" t="s">
        <v>12</v>
      </c>
      <c r="D240" s="1" t="s">
        <v>31</v>
      </c>
      <c r="E240" s="4">
        <v>16</v>
      </c>
      <c r="F240" s="4">
        <v>12</v>
      </c>
      <c r="G240" s="1" t="s">
        <v>14</v>
      </c>
      <c r="H240" s="1" t="s">
        <v>76</v>
      </c>
      <c r="I240" s="5" t="s">
        <v>486</v>
      </c>
      <c r="J240" s="4">
        <v>70</v>
      </c>
      <c r="O240" s="1" t="s">
        <v>490</v>
      </c>
      <c r="P240" s="1" t="s">
        <v>73</v>
      </c>
      <c r="Q240" s="1" t="s">
        <v>96</v>
      </c>
      <c r="R240" s="1" t="s">
        <v>13</v>
      </c>
      <c r="S240" s="4">
        <v>17</v>
      </c>
      <c r="T240" s="4">
        <v>10</v>
      </c>
      <c r="U240" s="1" t="s">
        <v>32</v>
      </c>
      <c r="V240" s="1" t="s">
        <v>61</v>
      </c>
      <c r="W240" s="5" t="s">
        <v>491</v>
      </c>
      <c r="X240" s="4">
        <v>60</v>
      </c>
    </row>
    <row r="241" spans="1:24" x14ac:dyDescent="0.3">
      <c r="A241" s="1" t="s">
        <v>487</v>
      </c>
      <c r="B241" s="1" t="s">
        <v>18</v>
      </c>
      <c r="C241" s="1" t="s">
        <v>79</v>
      </c>
      <c r="D241" s="1" t="s">
        <v>13</v>
      </c>
      <c r="E241" s="4">
        <v>16</v>
      </c>
      <c r="F241" s="4">
        <v>11</v>
      </c>
      <c r="G241" s="1" t="s">
        <v>43</v>
      </c>
      <c r="H241" s="1" t="s">
        <v>61</v>
      </c>
      <c r="I241" s="5" t="s">
        <v>488</v>
      </c>
      <c r="J241" s="4">
        <v>86</v>
      </c>
      <c r="O241" s="1" t="s">
        <v>492</v>
      </c>
      <c r="P241" s="1" t="s">
        <v>18</v>
      </c>
      <c r="Q241" s="1" t="s">
        <v>85</v>
      </c>
      <c r="R241" s="1" t="s">
        <v>31</v>
      </c>
      <c r="S241" s="4">
        <v>19</v>
      </c>
      <c r="T241" s="4">
        <v>11</v>
      </c>
      <c r="U241" s="1" t="s">
        <v>43</v>
      </c>
      <c r="V241" s="1" t="s">
        <v>15</v>
      </c>
      <c r="W241" s="5" t="s">
        <v>394</v>
      </c>
      <c r="X241" s="4">
        <v>50</v>
      </c>
    </row>
    <row r="242" spans="1:24" x14ac:dyDescent="0.3">
      <c r="A242" s="1" t="s">
        <v>489</v>
      </c>
      <c r="B242" s="1" t="s">
        <v>68</v>
      </c>
      <c r="C242" s="1" t="s">
        <v>58</v>
      </c>
      <c r="D242" s="1" t="s">
        <v>31</v>
      </c>
      <c r="E242" s="4">
        <v>20</v>
      </c>
      <c r="F242" s="4">
        <v>10</v>
      </c>
      <c r="G242" s="1" t="s">
        <v>32</v>
      </c>
      <c r="H242" s="1" t="s">
        <v>20</v>
      </c>
      <c r="I242" s="5" t="s">
        <v>370</v>
      </c>
      <c r="J242" s="4">
        <v>93</v>
      </c>
      <c r="O242" s="1" t="s">
        <v>493</v>
      </c>
      <c r="P242" s="1" t="s">
        <v>51</v>
      </c>
      <c r="Q242" s="1" t="s">
        <v>96</v>
      </c>
      <c r="R242" s="1" t="s">
        <v>31</v>
      </c>
      <c r="S242" s="4">
        <v>14</v>
      </c>
      <c r="T242" s="4">
        <v>12</v>
      </c>
      <c r="U242" s="1" t="s">
        <v>14</v>
      </c>
      <c r="V242" s="1" t="s">
        <v>26</v>
      </c>
      <c r="W242" s="5" t="s">
        <v>494</v>
      </c>
      <c r="X242" s="4">
        <v>47</v>
      </c>
    </row>
    <row r="243" spans="1:24" x14ac:dyDescent="0.3">
      <c r="A243" s="1" t="s">
        <v>490</v>
      </c>
      <c r="B243" s="1" t="s">
        <v>73</v>
      </c>
      <c r="C243" s="1" t="s">
        <v>96</v>
      </c>
      <c r="D243" s="1" t="s">
        <v>13</v>
      </c>
      <c r="E243" s="4">
        <v>17</v>
      </c>
      <c r="F243" s="4">
        <v>10</v>
      </c>
      <c r="G243" s="1" t="s">
        <v>32</v>
      </c>
      <c r="H243" s="1" t="s">
        <v>61</v>
      </c>
      <c r="I243" s="5" t="s">
        <v>491</v>
      </c>
      <c r="J243" s="4">
        <v>60</v>
      </c>
      <c r="O243" s="1" t="s">
        <v>495</v>
      </c>
      <c r="P243" s="1" t="s">
        <v>35</v>
      </c>
      <c r="Q243" s="1" t="s">
        <v>12</v>
      </c>
      <c r="R243" s="1" t="s">
        <v>13</v>
      </c>
      <c r="S243" s="4">
        <v>15</v>
      </c>
      <c r="T243" s="4">
        <v>12</v>
      </c>
      <c r="U243" s="1" t="s">
        <v>43</v>
      </c>
      <c r="V243" s="1" t="s">
        <v>20</v>
      </c>
      <c r="W243" s="5" t="s">
        <v>496</v>
      </c>
      <c r="X243" s="4">
        <v>49</v>
      </c>
    </row>
    <row r="244" spans="1:24" x14ac:dyDescent="0.3">
      <c r="A244" s="1" t="s">
        <v>492</v>
      </c>
      <c r="B244" s="1" t="s">
        <v>18</v>
      </c>
      <c r="C244" s="1" t="s">
        <v>85</v>
      </c>
      <c r="D244" s="1" t="s">
        <v>31</v>
      </c>
      <c r="E244" s="4">
        <v>19</v>
      </c>
      <c r="F244" s="4">
        <v>11</v>
      </c>
      <c r="G244" s="1" t="s">
        <v>43</v>
      </c>
      <c r="H244" s="1" t="s">
        <v>15</v>
      </c>
      <c r="I244" s="5" t="s">
        <v>394</v>
      </c>
      <c r="J244" s="4">
        <v>50</v>
      </c>
      <c r="O244" s="1" t="s">
        <v>497</v>
      </c>
      <c r="P244" s="1" t="s">
        <v>51</v>
      </c>
      <c r="Q244" s="1" t="s">
        <v>96</v>
      </c>
      <c r="R244" s="1" t="s">
        <v>13</v>
      </c>
      <c r="S244" s="4">
        <v>16</v>
      </c>
      <c r="T244" s="4">
        <v>9</v>
      </c>
      <c r="U244" s="1" t="s">
        <v>25</v>
      </c>
      <c r="V244" s="1" t="s">
        <v>26</v>
      </c>
      <c r="W244" s="5" t="s">
        <v>498</v>
      </c>
      <c r="X244" s="4">
        <v>42</v>
      </c>
    </row>
    <row r="245" spans="1:24" x14ac:dyDescent="0.3">
      <c r="A245" s="1" t="s">
        <v>493</v>
      </c>
      <c r="B245" s="1" t="s">
        <v>51</v>
      </c>
      <c r="C245" s="1" t="s">
        <v>96</v>
      </c>
      <c r="D245" s="1" t="s">
        <v>31</v>
      </c>
      <c r="E245" s="4">
        <v>14</v>
      </c>
      <c r="F245" s="4">
        <v>12</v>
      </c>
      <c r="G245" s="1" t="s">
        <v>14</v>
      </c>
      <c r="H245" s="1" t="s">
        <v>26</v>
      </c>
      <c r="I245" s="5" t="s">
        <v>494</v>
      </c>
      <c r="J245" s="4">
        <v>47</v>
      </c>
      <c r="O245" s="1" t="s">
        <v>499</v>
      </c>
      <c r="P245" s="1" t="s">
        <v>54</v>
      </c>
      <c r="Q245" s="1" t="s">
        <v>19</v>
      </c>
      <c r="R245" s="1" t="s">
        <v>31</v>
      </c>
      <c r="S245" s="4">
        <v>20</v>
      </c>
      <c r="T245" s="4">
        <v>9</v>
      </c>
      <c r="U245" s="1" t="s">
        <v>32</v>
      </c>
      <c r="V245" s="1" t="s">
        <v>46</v>
      </c>
      <c r="W245" s="5" t="s">
        <v>500</v>
      </c>
      <c r="X245" s="4">
        <v>42</v>
      </c>
    </row>
    <row r="246" spans="1:24" x14ac:dyDescent="0.3">
      <c r="A246" s="1" t="s">
        <v>495</v>
      </c>
      <c r="B246" s="1" t="s">
        <v>35</v>
      </c>
      <c r="C246" s="1" t="s">
        <v>12</v>
      </c>
      <c r="D246" s="1" t="s">
        <v>13</v>
      </c>
      <c r="E246" s="4">
        <v>15</v>
      </c>
      <c r="F246" s="4">
        <v>12</v>
      </c>
      <c r="G246" s="1" t="s">
        <v>43</v>
      </c>
      <c r="H246" s="1" t="s">
        <v>20</v>
      </c>
      <c r="I246" s="5" t="s">
        <v>496</v>
      </c>
      <c r="J246" s="4">
        <v>49</v>
      </c>
      <c r="O246" s="1" t="s">
        <v>501</v>
      </c>
      <c r="P246" s="1" t="s">
        <v>84</v>
      </c>
      <c r="Q246" s="1" t="s">
        <v>19</v>
      </c>
      <c r="R246" s="1" t="s">
        <v>13</v>
      </c>
      <c r="S246" s="4">
        <v>18</v>
      </c>
      <c r="T246" s="4">
        <v>10</v>
      </c>
      <c r="U246" s="1" t="s">
        <v>14</v>
      </c>
      <c r="V246" s="1" t="s">
        <v>61</v>
      </c>
      <c r="W246" s="5" t="s">
        <v>502</v>
      </c>
      <c r="X246" s="4">
        <v>76</v>
      </c>
    </row>
    <row r="247" spans="1:24" x14ac:dyDescent="0.3">
      <c r="A247" s="1" t="s">
        <v>497</v>
      </c>
      <c r="B247" s="1" t="s">
        <v>51</v>
      </c>
      <c r="C247" s="1" t="s">
        <v>96</v>
      </c>
      <c r="D247" s="1" t="s">
        <v>13</v>
      </c>
      <c r="E247" s="4">
        <v>16</v>
      </c>
      <c r="F247" s="4">
        <v>9</v>
      </c>
      <c r="G247" s="1" t="s">
        <v>25</v>
      </c>
      <c r="H247" s="1" t="s">
        <v>26</v>
      </c>
      <c r="I247" s="5" t="s">
        <v>498</v>
      </c>
      <c r="J247" s="4">
        <v>42</v>
      </c>
      <c r="O247" s="1" t="s">
        <v>503</v>
      </c>
      <c r="P247" s="1" t="s">
        <v>84</v>
      </c>
      <c r="Q247" s="1" t="s">
        <v>19</v>
      </c>
      <c r="R247" s="1" t="s">
        <v>31</v>
      </c>
      <c r="S247" s="4">
        <v>15</v>
      </c>
      <c r="T247" s="4">
        <v>10</v>
      </c>
      <c r="U247" s="1" t="s">
        <v>43</v>
      </c>
      <c r="V247" s="1" t="s">
        <v>61</v>
      </c>
      <c r="W247" s="5" t="s">
        <v>504</v>
      </c>
      <c r="X247" s="4">
        <v>44</v>
      </c>
    </row>
    <row r="248" spans="1:24" x14ac:dyDescent="0.3">
      <c r="A248" s="1" t="s">
        <v>499</v>
      </c>
      <c r="B248" s="1" t="s">
        <v>54</v>
      </c>
      <c r="C248" s="1" t="s">
        <v>19</v>
      </c>
      <c r="D248" s="1" t="s">
        <v>31</v>
      </c>
      <c r="E248" s="4">
        <v>20</v>
      </c>
      <c r="F248" s="4">
        <v>9</v>
      </c>
      <c r="G248" s="1" t="s">
        <v>32</v>
      </c>
      <c r="H248" s="1" t="s">
        <v>46</v>
      </c>
      <c r="I248" s="5" t="s">
        <v>500</v>
      </c>
      <c r="J248" s="4">
        <v>42</v>
      </c>
      <c r="O248" s="1" t="s">
        <v>505</v>
      </c>
      <c r="P248" s="1" t="s">
        <v>11</v>
      </c>
      <c r="Q248" s="1" t="s">
        <v>12</v>
      </c>
      <c r="R248" s="1" t="s">
        <v>31</v>
      </c>
      <c r="S248" s="4">
        <v>19</v>
      </c>
      <c r="T248" s="4">
        <v>10</v>
      </c>
      <c r="U248" s="1" t="s">
        <v>14</v>
      </c>
      <c r="V248" s="1" t="s">
        <v>40</v>
      </c>
      <c r="W248" s="5" t="s">
        <v>506</v>
      </c>
      <c r="X248" s="4">
        <v>77</v>
      </c>
    </row>
    <row r="249" spans="1:24" x14ac:dyDescent="0.3">
      <c r="A249" s="1" t="s">
        <v>501</v>
      </c>
      <c r="B249" s="1" t="s">
        <v>84</v>
      </c>
      <c r="C249" s="1" t="s">
        <v>19</v>
      </c>
      <c r="D249" s="1" t="s">
        <v>13</v>
      </c>
      <c r="E249" s="4">
        <v>18</v>
      </c>
      <c r="F249" s="4">
        <v>10</v>
      </c>
      <c r="G249" s="1" t="s">
        <v>14</v>
      </c>
      <c r="H249" s="1" t="s">
        <v>61</v>
      </c>
      <c r="I249" s="5" t="s">
        <v>502</v>
      </c>
      <c r="J249" s="4">
        <v>76</v>
      </c>
      <c r="O249" s="1" t="s">
        <v>507</v>
      </c>
      <c r="P249" s="1" t="s">
        <v>54</v>
      </c>
      <c r="Q249" s="1" t="s">
        <v>12</v>
      </c>
      <c r="R249" s="1" t="s">
        <v>31</v>
      </c>
      <c r="S249" s="4">
        <v>16</v>
      </c>
      <c r="T249" s="4">
        <v>12</v>
      </c>
      <c r="U249" s="1" t="s">
        <v>43</v>
      </c>
      <c r="V249" s="1" t="s">
        <v>61</v>
      </c>
      <c r="W249" s="5" t="s">
        <v>483</v>
      </c>
      <c r="X249" s="4">
        <v>45</v>
      </c>
    </row>
    <row r="250" spans="1:24" x14ac:dyDescent="0.3">
      <c r="A250" s="1" t="s">
        <v>503</v>
      </c>
      <c r="B250" s="1" t="s">
        <v>84</v>
      </c>
      <c r="C250" s="1" t="s">
        <v>19</v>
      </c>
      <c r="D250" s="1" t="s">
        <v>31</v>
      </c>
      <c r="E250" s="4">
        <v>15</v>
      </c>
      <c r="F250" s="4">
        <v>10</v>
      </c>
      <c r="G250" s="1" t="s">
        <v>43</v>
      </c>
      <c r="H250" s="1" t="s">
        <v>61</v>
      </c>
      <c r="I250" s="5" t="s">
        <v>504</v>
      </c>
      <c r="J250" s="4">
        <v>44</v>
      </c>
      <c r="O250" s="1" t="s">
        <v>508</v>
      </c>
      <c r="P250" s="1" t="s">
        <v>73</v>
      </c>
      <c r="Q250" s="1" t="s">
        <v>55</v>
      </c>
      <c r="R250" s="1" t="s">
        <v>13</v>
      </c>
      <c r="S250" s="4">
        <v>15</v>
      </c>
      <c r="T250" s="4">
        <v>11</v>
      </c>
      <c r="U250" s="1" t="s">
        <v>43</v>
      </c>
      <c r="V250" s="1" t="s">
        <v>46</v>
      </c>
      <c r="W250" s="5" t="s">
        <v>509</v>
      </c>
      <c r="X250" s="4">
        <v>54</v>
      </c>
    </row>
    <row r="251" spans="1:24" x14ac:dyDescent="0.3">
      <c r="A251" s="1" t="s">
        <v>505</v>
      </c>
      <c r="B251" s="1" t="s">
        <v>11</v>
      </c>
      <c r="C251" s="1" t="s">
        <v>12</v>
      </c>
      <c r="D251" s="1" t="s">
        <v>31</v>
      </c>
      <c r="E251" s="4">
        <v>19</v>
      </c>
      <c r="F251" s="4">
        <v>10</v>
      </c>
      <c r="G251" s="1" t="s">
        <v>14</v>
      </c>
      <c r="H251" s="1" t="s">
        <v>40</v>
      </c>
      <c r="I251" s="5" t="s">
        <v>506</v>
      </c>
      <c r="J251" s="4">
        <v>77</v>
      </c>
      <c r="O251" s="1" t="s">
        <v>510</v>
      </c>
      <c r="P251" s="1" t="s">
        <v>54</v>
      </c>
      <c r="Q251" s="1" t="s">
        <v>79</v>
      </c>
      <c r="R251" s="1" t="s">
        <v>31</v>
      </c>
      <c r="S251" s="4">
        <v>15</v>
      </c>
      <c r="T251" s="4">
        <v>9</v>
      </c>
      <c r="U251" s="1" t="s">
        <v>14</v>
      </c>
      <c r="V251" s="1" t="s">
        <v>40</v>
      </c>
      <c r="W251" s="5" t="s">
        <v>479</v>
      </c>
      <c r="X251" s="4">
        <v>66</v>
      </c>
    </row>
    <row r="252" spans="1:24" x14ac:dyDescent="0.3">
      <c r="A252" s="1" t="s">
        <v>507</v>
      </c>
      <c r="B252" s="1" t="s">
        <v>54</v>
      </c>
      <c r="C252" s="1" t="s">
        <v>12</v>
      </c>
      <c r="D252" s="1" t="s">
        <v>31</v>
      </c>
      <c r="E252" s="4">
        <v>16</v>
      </c>
      <c r="F252" s="4">
        <v>12</v>
      </c>
      <c r="G252" s="1" t="s">
        <v>43</v>
      </c>
      <c r="H252" s="1" t="s">
        <v>61</v>
      </c>
      <c r="I252" s="5" t="s">
        <v>483</v>
      </c>
      <c r="J252" s="4">
        <v>45</v>
      </c>
      <c r="O252" s="1" t="s">
        <v>511</v>
      </c>
      <c r="P252" s="1" t="s">
        <v>35</v>
      </c>
      <c r="Q252" s="1" t="s">
        <v>19</v>
      </c>
      <c r="R252" s="1" t="s">
        <v>31</v>
      </c>
      <c r="S252" s="4">
        <v>15</v>
      </c>
      <c r="T252" s="4">
        <v>9</v>
      </c>
      <c r="U252" s="1" t="s">
        <v>25</v>
      </c>
      <c r="V252" s="1" t="s">
        <v>15</v>
      </c>
      <c r="W252" s="5" t="s">
        <v>512</v>
      </c>
      <c r="X252" s="4">
        <v>95</v>
      </c>
    </row>
    <row r="253" spans="1:24" x14ac:dyDescent="0.3">
      <c r="A253" s="1" t="s">
        <v>508</v>
      </c>
      <c r="B253" s="1" t="s">
        <v>73</v>
      </c>
      <c r="C253" s="1" t="s">
        <v>55</v>
      </c>
      <c r="D253" s="1" t="s">
        <v>13</v>
      </c>
      <c r="E253" s="4">
        <v>15</v>
      </c>
      <c r="F253" s="4">
        <v>11</v>
      </c>
      <c r="G253" s="1" t="s">
        <v>43</v>
      </c>
      <c r="H253" s="1" t="s">
        <v>46</v>
      </c>
      <c r="I253" s="5" t="s">
        <v>509</v>
      </c>
      <c r="J253" s="4">
        <v>54</v>
      </c>
      <c r="O253" s="1" t="s">
        <v>513</v>
      </c>
      <c r="P253" s="1" t="s">
        <v>11</v>
      </c>
      <c r="Q253" s="1" t="s">
        <v>19</v>
      </c>
      <c r="R253" s="1" t="s">
        <v>31</v>
      </c>
      <c r="S253" s="4">
        <v>14</v>
      </c>
      <c r="T253" s="4">
        <v>12</v>
      </c>
      <c r="U253" s="1" t="s">
        <v>32</v>
      </c>
      <c r="V253" s="1" t="s">
        <v>15</v>
      </c>
      <c r="W253" s="5" t="s">
        <v>381</v>
      </c>
      <c r="X253" s="4">
        <v>65</v>
      </c>
    </row>
    <row r="254" spans="1:24" x14ac:dyDescent="0.3">
      <c r="A254" s="1" t="s">
        <v>510</v>
      </c>
      <c r="B254" s="1" t="s">
        <v>54</v>
      </c>
      <c r="C254" s="1" t="s">
        <v>79</v>
      </c>
      <c r="D254" s="1" t="s">
        <v>31</v>
      </c>
      <c r="E254" s="4">
        <v>15</v>
      </c>
      <c r="F254" s="4">
        <v>9</v>
      </c>
      <c r="G254" s="1" t="s">
        <v>14</v>
      </c>
      <c r="H254" s="1" t="s">
        <v>40</v>
      </c>
      <c r="I254" s="5" t="s">
        <v>479</v>
      </c>
      <c r="J254" s="4">
        <v>66</v>
      </c>
      <c r="O254" s="1" t="s">
        <v>514</v>
      </c>
      <c r="P254" s="1" t="s">
        <v>11</v>
      </c>
      <c r="Q254" s="1" t="s">
        <v>12</v>
      </c>
      <c r="R254" s="1" t="s">
        <v>31</v>
      </c>
      <c r="S254" s="4">
        <v>15</v>
      </c>
      <c r="T254" s="4">
        <v>11</v>
      </c>
      <c r="U254" s="1" t="s">
        <v>25</v>
      </c>
      <c r="V254" s="1" t="s">
        <v>20</v>
      </c>
      <c r="W254" s="5" t="s">
        <v>515</v>
      </c>
      <c r="X254" s="4">
        <v>61</v>
      </c>
    </row>
    <row r="255" spans="1:24" x14ac:dyDescent="0.3">
      <c r="A255" s="1" t="s">
        <v>511</v>
      </c>
      <c r="B255" s="1" t="s">
        <v>35</v>
      </c>
      <c r="C255" s="1" t="s">
        <v>19</v>
      </c>
      <c r="D255" s="1" t="s">
        <v>31</v>
      </c>
      <c r="E255" s="4">
        <v>15</v>
      </c>
      <c r="F255" s="4">
        <v>9</v>
      </c>
      <c r="G255" s="1" t="s">
        <v>25</v>
      </c>
      <c r="H255" s="1" t="s">
        <v>15</v>
      </c>
      <c r="I255" s="5" t="s">
        <v>512</v>
      </c>
      <c r="J255" s="4">
        <v>95</v>
      </c>
      <c r="O255" s="1" t="s">
        <v>516</v>
      </c>
      <c r="P255" s="1" t="s">
        <v>18</v>
      </c>
      <c r="Q255" s="1" t="s">
        <v>96</v>
      </c>
      <c r="R255" s="1" t="s">
        <v>31</v>
      </c>
      <c r="S255" s="4">
        <v>14</v>
      </c>
      <c r="T255" s="4">
        <v>11</v>
      </c>
      <c r="U255" s="1" t="s">
        <v>32</v>
      </c>
      <c r="V255" s="1" t="s">
        <v>46</v>
      </c>
      <c r="W255" s="5" t="s">
        <v>517</v>
      </c>
      <c r="X255" s="4">
        <v>86</v>
      </c>
    </row>
    <row r="256" spans="1:24" x14ac:dyDescent="0.3">
      <c r="A256" s="1" t="s">
        <v>513</v>
      </c>
      <c r="B256" s="1" t="s">
        <v>11</v>
      </c>
      <c r="C256" s="1" t="s">
        <v>19</v>
      </c>
      <c r="D256" s="1" t="s">
        <v>31</v>
      </c>
      <c r="E256" s="4">
        <v>14</v>
      </c>
      <c r="F256" s="4">
        <v>12</v>
      </c>
      <c r="G256" s="1" t="s">
        <v>32</v>
      </c>
      <c r="H256" s="1" t="s">
        <v>15</v>
      </c>
      <c r="I256" s="5" t="s">
        <v>381</v>
      </c>
      <c r="J256" s="4">
        <v>65</v>
      </c>
      <c r="O256" s="1" t="s">
        <v>518</v>
      </c>
      <c r="P256" s="1" t="s">
        <v>51</v>
      </c>
      <c r="Q256" s="1" t="s">
        <v>96</v>
      </c>
      <c r="R256" s="1" t="s">
        <v>31</v>
      </c>
      <c r="S256" s="4">
        <v>17</v>
      </c>
      <c r="T256" s="4">
        <v>11</v>
      </c>
      <c r="U256" s="1" t="s">
        <v>25</v>
      </c>
      <c r="V256" s="1" t="s">
        <v>61</v>
      </c>
      <c r="W256" s="5" t="s">
        <v>519</v>
      </c>
      <c r="X256" s="4">
        <v>52</v>
      </c>
    </row>
    <row r="257" spans="1:24" x14ac:dyDescent="0.3">
      <c r="A257" s="1" t="s">
        <v>514</v>
      </c>
      <c r="B257" s="1" t="s">
        <v>11</v>
      </c>
      <c r="C257" s="1" t="s">
        <v>12</v>
      </c>
      <c r="D257" s="1" t="s">
        <v>31</v>
      </c>
      <c r="E257" s="4">
        <v>15</v>
      </c>
      <c r="F257" s="4">
        <v>11</v>
      </c>
      <c r="G257" s="1" t="s">
        <v>25</v>
      </c>
      <c r="H257" s="1" t="s">
        <v>20</v>
      </c>
      <c r="I257" s="5" t="s">
        <v>515</v>
      </c>
      <c r="J257" s="4">
        <v>61</v>
      </c>
      <c r="O257" s="1" t="s">
        <v>520</v>
      </c>
      <c r="P257" s="1" t="s">
        <v>68</v>
      </c>
      <c r="Q257" s="1" t="s">
        <v>12</v>
      </c>
      <c r="R257" s="1" t="s">
        <v>31</v>
      </c>
      <c r="S257" s="4">
        <v>20</v>
      </c>
      <c r="T257" s="4">
        <v>10</v>
      </c>
      <c r="U257" s="1" t="s">
        <v>32</v>
      </c>
      <c r="V257" s="1" t="s">
        <v>26</v>
      </c>
      <c r="W257" s="5" t="s">
        <v>521</v>
      </c>
      <c r="X257" s="4">
        <v>42</v>
      </c>
    </row>
    <row r="258" spans="1:24" x14ac:dyDescent="0.3">
      <c r="A258" s="1" t="s">
        <v>516</v>
      </c>
      <c r="B258" s="1" t="s">
        <v>18</v>
      </c>
      <c r="C258" s="1" t="s">
        <v>96</v>
      </c>
      <c r="D258" s="1" t="s">
        <v>31</v>
      </c>
      <c r="E258" s="4">
        <v>14</v>
      </c>
      <c r="F258" s="4">
        <v>11</v>
      </c>
      <c r="G258" s="1" t="s">
        <v>32</v>
      </c>
      <c r="H258" s="1" t="s">
        <v>46</v>
      </c>
      <c r="I258" s="5" t="s">
        <v>517</v>
      </c>
      <c r="J258" s="4">
        <v>86</v>
      </c>
      <c r="O258" s="1" t="s">
        <v>522</v>
      </c>
      <c r="P258" s="1" t="s">
        <v>54</v>
      </c>
      <c r="Q258" s="1" t="s">
        <v>79</v>
      </c>
      <c r="R258" s="1" t="s">
        <v>31</v>
      </c>
      <c r="S258" s="4">
        <v>18</v>
      </c>
      <c r="T258" s="4">
        <v>10</v>
      </c>
      <c r="U258" s="1" t="s">
        <v>14</v>
      </c>
      <c r="V258" s="1" t="s">
        <v>61</v>
      </c>
      <c r="W258" s="5" t="s">
        <v>523</v>
      </c>
      <c r="X258" s="4">
        <v>82</v>
      </c>
    </row>
    <row r="259" spans="1:24" x14ac:dyDescent="0.3">
      <c r="A259" s="1" t="s">
        <v>518</v>
      </c>
      <c r="B259" s="1" t="s">
        <v>51</v>
      </c>
      <c r="C259" s="1" t="s">
        <v>96</v>
      </c>
      <c r="D259" s="1" t="s">
        <v>31</v>
      </c>
      <c r="E259" s="4">
        <v>17</v>
      </c>
      <c r="F259" s="4">
        <v>11</v>
      </c>
      <c r="G259" s="1" t="s">
        <v>25</v>
      </c>
      <c r="H259" s="1" t="s">
        <v>61</v>
      </c>
      <c r="I259" s="5" t="s">
        <v>519</v>
      </c>
      <c r="J259" s="4">
        <v>52</v>
      </c>
      <c r="O259" s="1" t="s">
        <v>524</v>
      </c>
      <c r="P259" s="1" t="s">
        <v>35</v>
      </c>
      <c r="Q259" s="1" t="s">
        <v>85</v>
      </c>
      <c r="R259" s="1" t="s">
        <v>13</v>
      </c>
      <c r="S259" s="4">
        <v>20</v>
      </c>
      <c r="T259" s="4">
        <v>10</v>
      </c>
      <c r="U259" s="1" t="s">
        <v>14</v>
      </c>
      <c r="V259" s="1" t="s">
        <v>40</v>
      </c>
      <c r="W259" s="5" t="s">
        <v>525</v>
      </c>
      <c r="X259" s="4">
        <v>92</v>
      </c>
    </row>
    <row r="260" spans="1:24" x14ac:dyDescent="0.3">
      <c r="A260" s="1" t="s">
        <v>520</v>
      </c>
      <c r="B260" s="1" t="s">
        <v>68</v>
      </c>
      <c r="C260" s="1" t="s">
        <v>12</v>
      </c>
      <c r="D260" s="1" t="s">
        <v>31</v>
      </c>
      <c r="E260" s="4">
        <v>20</v>
      </c>
      <c r="F260" s="4">
        <v>10</v>
      </c>
      <c r="G260" s="1" t="s">
        <v>32</v>
      </c>
      <c r="H260" s="1" t="s">
        <v>26</v>
      </c>
      <c r="I260" s="5" t="s">
        <v>521</v>
      </c>
      <c r="J260" s="4">
        <v>42</v>
      </c>
      <c r="O260" s="1" t="s">
        <v>526</v>
      </c>
      <c r="P260" s="1" t="s">
        <v>18</v>
      </c>
      <c r="Q260" s="1" t="s">
        <v>12</v>
      </c>
      <c r="R260" s="1" t="s">
        <v>31</v>
      </c>
      <c r="S260" s="4">
        <v>18</v>
      </c>
      <c r="T260" s="4">
        <v>9</v>
      </c>
      <c r="U260" s="1" t="s">
        <v>14</v>
      </c>
      <c r="V260" s="1" t="s">
        <v>15</v>
      </c>
      <c r="W260" s="5" t="s">
        <v>346</v>
      </c>
      <c r="X260" s="4">
        <v>59</v>
      </c>
    </row>
    <row r="261" spans="1:24" x14ac:dyDescent="0.3">
      <c r="A261" s="1" t="s">
        <v>522</v>
      </c>
      <c r="B261" s="1" t="s">
        <v>54</v>
      </c>
      <c r="C261" s="1" t="s">
        <v>79</v>
      </c>
      <c r="D261" s="1" t="s">
        <v>31</v>
      </c>
      <c r="E261" s="4">
        <v>18</v>
      </c>
      <c r="F261" s="4">
        <v>10</v>
      </c>
      <c r="G261" s="1" t="s">
        <v>14</v>
      </c>
      <c r="H261" s="1" t="s">
        <v>61</v>
      </c>
      <c r="I261" s="5" t="s">
        <v>523</v>
      </c>
      <c r="J261" s="4">
        <v>82</v>
      </c>
      <c r="O261" s="1" t="s">
        <v>527</v>
      </c>
      <c r="P261" s="1" t="s">
        <v>11</v>
      </c>
      <c r="Q261" s="1" t="s">
        <v>85</v>
      </c>
      <c r="R261" s="1" t="s">
        <v>13</v>
      </c>
      <c r="S261" s="4">
        <v>20</v>
      </c>
      <c r="T261" s="4">
        <v>12</v>
      </c>
      <c r="U261" s="1" t="s">
        <v>25</v>
      </c>
      <c r="V261" s="1" t="s">
        <v>46</v>
      </c>
      <c r="W261" s="5" t="s">
        <v>451</v>
      </c>
      <c r="X261" s="4">
        <v>86</v>
      </c>
    </row>
    <row r="262" spans="1:24" x14ac:dyDescent="0.3">
      <c r="A262" s="1" t="s">
        <v>524</v>
      </c>
      <c r="B262" s="1" t="s">
        <v>35</v>
      </c>
      <c r="C262" s="1" t="s">
        <v>85</v>
      </c>
      <c r="D262" s="1" t="s">
        <v>13</v>
      </c>
      <c r="E262" s="4">
        <v>20</v>
      </c>
      <c r="F262" s="4">
        <v>10</v>
      </c>
      <c r="G262" s="1" t="s">
        <v>14</v>
      </c>
      <c r="H262" s="1" t="s">
        <v>40</v>
      </c>
      <c r="I262" s="5" t="s">
        <v>525</v>
      </c>
      <c r="J262" s="4">
        <v>92</v>
      </c>
      <c r="O262" s="1" t="s">
        <v>528</v>
      </c>
      <c r="P262" s="1" t="s">
        <v>51</v>
      </c>
      <c r="Q262" s="1" t="s">
        <v>19</v>
      </c>
      <c r="R262" s="1" t="s">
        <v>13</v>
      </c>
      <c r="S262" s="4">
        <v>19</v>
      </c>
      <c r="T262" s="4">
        <v>9</v>
      </c>
      <c r="U262" s="1" t="s">
        <v>43</v>
      </c>
      <c r="V262" s="1" t="s">
        <v>46</v>
      </c>
      <c r="W262" s="5" t="s">
        <v>222</v>
      </c>
      <c r="X262" s="4">
        <v>46</v>
      </c>
    </row>
    <row r="263" spans="1:24" x14ac:dyDescent="0.3">
      <c r="A263" s="1" t="s">
        <v>526</v>
      </c>
      <c r="B263" s="1" t="s">
        <v>18</v>
      </c>
      <c r="C263" s="1" t="s">
        <v>12</v>
      </c>
      <c r="D263" s="1" t="s">
        <v>31</v>
      </c>
      <c r="E263" s="4">
        <v>18</v>
      </c>
      <c r="F263" s="4">
        <v>9</v>
      </c>
      <c r="G263" s="1" t="s">
        <v>14</v>
      </c>
      <c r="H263" s="1" t="s">
        <v>15</v>
      </c>
      <c r="I263" s="5" t="s">
        <v>346</v>
      </c>
      <c r="J263" s="4">
        <v>59</v>
      </c>
      <c r="O263" s="1" t="s">
        <v>529</v>
      </c>
      <c r="P263" s="1" t="s">
        <v>84</v>
      </c>
      <c r="Q263" s="1" t="s">
        <v>24</v>
      </c>
      <c r="R263" s="1" t="s">
        <v>31</v>
      </c>
      <c r="S263" s="4">
        <v>20</v>
      </c>
      <c r="T263" s="4">
        <v>12</v>
      </c>
      <c r="U263" s="1" t="s">
        <v>25</v>
      </c>
      <c r="V263" s="1" t="s">
        <v>76</v>
      </c>
      <c r="W263" s="5" t="s">
        <v>186</v>
      </c>
      <c r="X263" s="4">
        <v>51</v>
      </c>
    </row>
    <row r="264" spans="1:24" x14ac:dyDescent="0.3">
      <c r="A264" s="1" t="s">
        <v>527</v>
      </c>
      <c r="B264" s="1" t="s">
        <v>11</v>
      </c>
      <c r="C264" s="1" t="s">
        <v>85</v>
      </c>
      <c r="D264" s="1" t="s">
        <v>13</v>
      </c>
      <c r="E264" s="4">
        <v>20</v>
      </c>
      <c r="F264" s="4">
        <v>12</v>
      </c>
      <c r="G264" s="1" t="s">
        <v>25</v>
      </c>
      <c r="H264" s="1" t="s">
        <v>46</v>
      </c>
      <c r="I264" s="5" t="s">
        <v>451</v>
      </c>
      <c r="J264" s="4">
        <v>86</v>
      </c>
      <c r="O264" s="1" t="s">
        <v>530</v>
      </c>
      <c r="P264" s="1" t="s">
        <v>54</v>
      </c>
      <c r="Q264" s="1" t="s">
        <v>58</v>
      </c>
      <c r="R264" s="1" t="s">
        <v>13</v>
      </c>
      <c r="S264" s="4">
        <v>17</v>
      </c>
      <c r="T264" s="4">
        <v>10</v>
      </c>
      <c r="U264" s="1" t="s">
        <v>32</v>
      </c>
      <c r="V264" s="1" t="s">
        <v>15</v>
      </c>
      <c r="W264" s="5" t="s">
        <v>64</v>
      </c>
      <c r="X264" s="4">
        <v>46</v>
      </c>
    </row>
    <row r="265" spans="1:24" x14ac:dyDescent="0.3">
      <c r="A265" s="1" t="s">
        <v>528</v>
      </c>
      <c r="B265" s="1" t="s">
        <v>51</v>
      </c>
      <c r="C265" s="1" t="s">
        <v>19</v>
      </c>
      <c r="D265" s="1" t="s">
        <v>13</v>
      </c>
      <c r="E265" s="4">
        <v>19</v>
      </c>
      <c r="F265" s="4">
        <v>9</v>
      </c>
      <c r="G265" s="1" t="s">
        <v>43</v>
      </c>
      <c r="H265" s="1" t="s">
        <v>46</v>
      </c>
      <c r="I265" s="5" t="s">
        <v>222</v>
      </c>
      <c r="J265" s="4">
        <v>46</v>
      </c>
      <c r="O265" s="1" t="s">
        <v>531</v>
      </c>
      <c r="P265" s="1" t="s">
        <v>23</v>
      </c>
      <c r="Q265" s="1" t="s">
        <v>36</v>
      </c>
      <c r="R265" s="1" t="s">
        <v>13</v>
      </c>
      <c r="S265" s="4">
        <v>20</v>
      </c>
      <c r="T265" s="4">
        <v>11</v>
      </c>
      <c r="U265" s="1" t="s">
        <v>43</v>
      </c>
      <c r="V265" s="1" t="s">
        <v>20</v>
      </c>
      <c r="W265" s="5" t="s">
        <v>178</v>
      </c>
      <c r="X265" s="4">
        <v>44</v>
      </c>
    </row>
    <row r="266" spans="1:24" x14ac:dyDescent="0.3">
      <c r="A266" s="1" t="s">
        <v>529</v>
      </c>
      <c r="B266" s="1" t="s">
        <v>84</v>
      </c>
      <c r="C266" s="1" t="s">
        <v>24</v>
      </c>
      <c r="D266" s="1" t="s">
        <v>31</v>
      </c>
      <c r="E266" s="4">
        <v>20</v>
      </c>
      <c r="F266" s="4">
        <v>12</v>
      </c>
      <c r="G266" s="1" t="s">
        <v>25</v>
      </c>
      <c r="H266" s="1" t="s">
        <v>76</v>
      </c>
      <c r="I266" s="5" t="s">
        <v>186</v>
      </c>
      <c r="J266" s="4">
        <v>51</v>
      </c>
      <c r="O266" s="1" t="s">
        <v>532</v>
      </c>
      <c r="P266" s="1" t="s">
        <v>51</v>
      </c>
      <c r="Q266" s="1" t="s">
        <v>19</v>
      </c>
      <c r="R266" s="1" t="s">
        <v>31</v>
      </c>
      <c r="S266" s="4">
        <v>14</v>
      </c>
      <c r="T266" s="4">
        <v>11</v>
      </c>
      <c r="U266" s="1" t="s">
        <v>43</v>
      </c>
      <c r="V266" s="1" t="s">
        <v>20</v>
      </c>
      <c r="W266" s="5" t="s">
        <v>533</v>
      </c>
      <c r="X266" s="4">
        <v>93</v>
      </c>
    </row>
    <row r="267" spans="1:24" x14ac:dyDescent="0.3">
      <c r="A267" s="1" t="s">
        <v>530</v>
      </c>
      <c r="B267" s="1" t="s">
        <v>54</v>
      </c>
      <c r="C267" s="1" t="s">
        <v>58</v>
      </c>
      <c r="D267" s="1" t="s">
        <v>13</v>
      </c>
      <c r="E267" s="4">
        <v>17</v>
      </c>
      <c r="F267" s="4">
        <v>10</v>
      </c>
      <c r="G267" s="1" t="s">
        <v>32</v>
      </c>
      <c r="H267" s="1" t="s">
        <v>15</v>
      </c>
      <c r="I267" s="5" t="s">
        <v>64</v>
      </c>
      <c r="J267" s="4">
        <v>46</v>
      </c>
      <c r="O267" s="1" t="s">
        <v>534</v>
      </c>
      <c r="P267" s="1" t="s">
        <v>23</v>
      </c>
      <c r="Q267" s="1" t="s">
        <v>19</v>
      </c>
      <c r="R267" s="1" t="s">
        <v>13</v>
      </c>
      <c r="S267" s="4">
        <v>20</v>
      </c>
      <c r="T267" s="4">
        <v>11</v>
      </c>
      <c r="U267" s="1" t="s">
        <v>32</v>
      </c>
      <c r="V267" s="1" t="s">
        <v>76</v>
      </c>
      <c r="W267" s="5" t="s">
        <v>358</v>
      </c>
      <c r="X267" s="4">
        <v>41</v>
      </c>
    </row>
    <row r="268" spans="1:24" x14ac:dyDescent="0.3">
      <c r="A268" s="1" t="s">
        <v>531</v>
      </c>
      <c r="B268" s="1" t="s">
        <v>23</v>
      </c>
      <c r="C268" s="1" t="s">
        <v>36</v>
      </c>
      <c r="D268" s="1" t="s">
        <v>13</v>
      </c>
      <c r="E268" s="4">
        <v>20</v>
      </c>
      <c r="F268" s="4">
        <v>11</v>
      </c>
      <c r="G268" s="1" t="s">
        <v>43</v>
      </c>
      <c r="H268" s="1" t="s">
        <v>20</v>
      </c>
      <c r="I268" s="5" t="s">
        <v>178</v>
      </c>
      <c r="J268" s="4">
        <v>44</v>
      </c>
      <c r="O268" s="1" t="s">
        <v>535</v>
      </c>
      <c r="P268" s="1" t="s">
        <v>84</v>
      </c>
      <c r="Q268" s="1" t="s">
        <v>58</v>
      </c>
      <c r="R268" s="1" t="s">
        <v>13</v>
      </c>
      <c r="S268" s="4">
        <v>20</v>
      </c>
      <c r="T268" s="4">
        <v>9</v>
      </c>
      <c r="U268" s="1" t="s">
        <v>25</v>
      </c>
      <c r="V268" s="1" t="s">
        <v>46</v>
      </c>
      <c r="W268" s="5" t="s">
        <v>536</v>
      </c>
      <c r="X268" s="4">
        <v>58</v>
      </c>
    </row>
    <row r="269" spans="1:24" x14ac:dyDescent="0.3">
      <c r="A269" s="1" t="s">
        <v>532</v>
      </c>
      <c r="B269" s="1" t="s">
        <v>51</v>
      </c>
      <c r="C269" s="1" t="s">
        <v>19</v>
      </c>
      <c r="D269" s="1" t="s">
        <v>31</v>
      </c>
      <c r="E269" s="4">
        <v>14</v>
      </c>
      <c r="F269" s="4">
        <v>11</v>
      </c>
      <c r="G269" s="1" t="s">
        <v>43</v>
      </c>
      <c r="H269" s="1" t="s">
        <v>20</v>
      </c>
      <c r="I269" s="5" t="s">
        <v>533</v>
      </c>
      <c r="J269" s="4">
        <v>93</v>
      </c>
      <c r="O269" s="1" t="s">
        <v>537</v>
      </c>
      <c r="P269" s="1" t="s">
        <v>68</v>
      </c>
      <c r="Q269" s="1" t="s">
        <v>36</v>
      </c>
      <c r="R269" s="1" t="s">
        <v>31</v>
      </c>
      <c r="S269" s="4">
        <v>16</v>
      </c>
      <c r="T269" s="4">
        <v>12</v>
      </c>
      <c r="U269" s="1" t="s">
        <v>25</v>
      </c>
      <c r="V269" s="1" t="s">
        <v>26</v>
      </c>
      <c r="W269" s="5" t="s">
        <v>538</v>
      </c>
      <c r="X269" s="4">
        <v>42</v>
      </c>
    </row>
    <row r="270" spans="1:24" x14ac:dyDescent="0.3">
      <c r="A270" s="1" t="s">
        <v>534</v>
      </c>
      <c r="B270" s="1" t="s">
        <v>23</v>
      </c>
      <c r="C270" s="1" t="s">
        <v>19</v>
      </c>
      <c r="D270" s="1" t="s">
        <v>13</v>
      </c>
      <c r="E270" s="4">
        <v>20</v>
      </c>
      <c r="F270" s="4">
        <v>11</v>
      </c>
      <c r="G270" s="1" t="s">
        <v>32</v>
      </c>
      <c r="H270" s="1" t="s">
        <v>76</v>
      </c>
      <c r="I270" s="5" t="s">
        <v>358</v>
      </c>
      <c r="J270" s="4">
        <v>41</v>
      </c>
      <c r="O270" s="1" t="s">
        <v>539</v>
      </c>
      <c r="P270" s="1" t="s">
        <v>73</v>
      </c>
      <c r="Q270" s="1" t="s">
        <v>36</v>
      </c>
      <c r="R270" s="1" t="s">
        <v>31</v>
      </c>
      <c r="S270" s="4">
        <v>14</v>
      </c>
      <c r="T270" s="4">
        <v>12</v>
      </c>
      <c r="U270" s="1" t="s">
        <v>43</v>
      </c>
      <c r="V270" s="1" t="s">
        <v>61</v>
      </c>
      <c r="W270" s="5" t="s">
        <v>387</v>
      </c>
      <c r="X270" s="4">
        <v>37</v>
      </c>
    </row>
    <row r="271" spans="1:24" x14ac:dyDescent="0.3">
      <c r="A271" s="1" t="s">
        <v>535</v>
      </c>
      <c r="B271" s="1" t="s">
        <v>84</v>
      </c>
      <c r="C271" s="1" t="s">
        <v>58</v>
      </c>
      <c r="D271" s="1" t="s">
        <v>13</v>
      </c>
      <c r="E271" s="4">
        <v>20</v>
      </c>
      <c r="F271" s="4">
        <v>9</v>
      </c>
      <c r="G271" s="1" t="s">
        <v>25</v>
      </c>
      <c r="H271" s="1" t="s">
        <v>46</v>
      </c>
      <c r="I271" s="5" t="s">
        <v>536</v>
      </c>
      <c r="J271" s="4">
        <v>58</v>
      </c>
      <c r="O271" s="1" t="s">
        <v>540</v>
      </c>
      <c r="P271" s="1" t="s">
        <v>51</v>
      </c>
      <c r="Q271" s="1" t="s">
        <v>85</v>
      </c>
      <c r="R271" s="1" t="s">
        <v>13</v>
      </c>
      <c r="S271" s="4">
        <v>18</v>
      </c>
      <c r="T271" s="4">
        <v>10</v>
      </c>
      <c r="U271" s="1" t="s">
        <v>14</v>
      </c>
      <c r="V271" s="1" t="s">
        <v>46</v>
      </c>
      <c r="W271" s="5" t="s">
        <v>541</v>
      </c>
      <c r="X271" s="4">
        <v>63</v>
      </c>
    </row>
    <row r="272" spans="1:24" x14ac:dyDescent="0.3">
      <c r="A272" s="1" t="s">
        <v>537</v>
      </c>
      <c r="B272" s="1" t="s">
        <v>68</v>
      </c>
      <c r="C272" s="1" t="s">
        <v>36</v>
      </c>
      <c r="D272" s="1" t="s">
        <v>31</v>
      </c>
      <c r="E272" s="4">
        <v>16</v>
      </c>
      <c r="F272" s="4">
        <v>12</v>
      </c>
      <c r="G272" s="1" t="s">
        <v>25</v>
      </c>
      <c r="H272" s="1" t="s">
        <v>26</v>
      </c>
      <c r="I272" s="5" t="s">
        <v>538</v>
      </c>
      <c r="J272" s="4">
        <v>42</v>
      </c>
      <c r="O272" s="1" t="s">
        <v>542</v>
      </c>
      <c r="P272" s="1" t="s">
        <v>84</v>
      </c>
      <c r="Q272" s="1" t="s">
        <v>55</v>
      </c>
      <c r="R272" s="1" t="s">
        <v>31</v>
      </c>
      <c r="S272" s="4">
        <v>18</v>
      </c>
      <c r="T272" s="4">
        <v>12</v>
      </c>
      <c r="U272" s="1" t="s">
        <v>32</v>
      </c>
      <c r="V272" s="1" t="s">
        <v>40</v>
      </c>
      <c r="W272" s="5" t="s">
        <v>543</v>
      </c>
      <c r="X272" s="4">
        <v>51</v>
      </c>
    </row>
    <row r="273" spans="1:24" x14ac:dyDescent="0.3">
      <c r="A273" s="1" t="s">
        <v>539</v>
      </c>
      <c r="B273" s="1" t="s">
        <v>73</v>
      </c>
      <c r="C273" s="1" t="s">
        <v>36</v>
      </c>
      <c r="D273" s="1" t="s">
        <v>31</v>
      </c>
      <c r="E273" s="4">
        <v>14</v>
      </c>
      <c r="F273" s="4">
        <v>12</v>
      </c>
      <c r="G273" s="1" t="s">
        <v>43</v>
      </c>
      <c r="H273" s="1" t="s">
        <v>61</v>
      </c>
      <c r="I273" s="5" t="s">
        <v>387</v>
      </c>
      <c r="J273" s="4">
        <v>37</v>
      </c>
      <c r="O273" s="1" t="s">
        <v>544</v>
      </c>
      <c r="P273" s="1" t="s">
        <v>68</v>
      </c>
      <c r="Q273" s="1" t="s">
        <v>19</v>
      </c>
      <c r="R273" s="1" t="s">
        <v>31</v>
      </c>
      <c r="S273" s="4">
        <v>16</v>
      </c>
      <c r="T273" s="4">
        <v>9</v>
      </c>
      <c r="U273" s="1" t="s">
        <v>14</v>
      </c>
      <c r="V273" s="1" t="s">
        <v>40</v>
      </c>
      <c r="W273" s="5" t="s">
        <v>545</v>
      </c>
      <c r="X273" s="4">
        <v>37</v>
      </c>
    </row>
    <row r="274" spans="1:24" x14ac:dyDescent="0.3">
      <c r="A274" s="1" t="s">
        <v>540</v>
      </c>
      <c r="B274" s="1" t="s">
        <v>51</v>
      </c>
      <c r="C274" s="1" t="s">
        <v>85</v>
      </c>
      <c r="D274" s="1" t="s">
        <v>13</v>
      </c>
      <c r="E274" s="4">
        <v>18</v>
      </c>
      <c r="F274" s="4">
        <v>10</v>
      </c>
      <c r="G274" s="1" t="s">
        <v>14</v>
      </c>
      <c r="H274" s="1" t="s">
        <v>46</v>
      </c>
      <c r="I274" s="5" t="s">
        <v>541</v>
      </c>
      <c r="J274" s="4">
        <v>63</v>
      </c>
      <c r="O274" s="1" t="s">
        <v>546</v>
      </c>
      <c r="P274" s="1" t="s">
        <v>51</v>
      </c>
      <c r="Q274" s="1" t="s">
        <v>36</v>
      </c>
      <c r="R274" s="1" t="s">
        <v>31</v>
      </c>
      <c r="S274" s="4">
        <v>14</v>
      </c>
      <c r="T274" s="4">
        <v>9</v>
      </c>
      <c r="U274" s="1" t="s">
        <v>14</v>
      </c>
      <c r="V274" s="1" t="s">
        <v>46</v>
      </c>
      <c r="W274" s="5" t="s">
        <v>547</v>
      </c>
      <c r="X274" s="4">
        <v>81</v>
      </c>
    </row>
    <row r="275" spans="1:24" x14ac:dyDescent="0.3">
      <c r="A275" s="1" t="s">
        <v>542</v>
      </c>
      <c r="B275" s="1" t="s">
        <v>84</v>
      </c>
      <c r="C275" s="1" t="s">
        <v>55</v>
      </c>
      <c r="D275" s="1" t="s">
        <v>31</v>
      </c>
      <c r="E275" s="4">
        <v>18</v>
      </c>
      <c r="F275" s="4">
        <v>12</v>
      </c>
      <c r="G275" s="1" t="s">
        <v>32</v>
      </c>
      <c r="H275" s="1" t="s">
        <v>40</v>
      </c>
      <c r="I275" s="5" t="s">
        <v>543</v>
      </c>
      <c r="J275" s="4">
        <v>51</v>
      </c>
      <c r="O275" s="1" t="s">
        <v>548</v>
      </c>
      <c r="P275" s="1" t="s">
        <v>51</v>
      </c>
      <c r="Q275" s="1" t="s">
        <v>24</v>
      </c>
      <c r="R275" s="1" t="s">
        <v>31</v>
      </c>
      <c r="S275" s="4">
        <v>15</v>
      </c>
      <c r="T275" s="4">
        <v>11</v>
      </c>
      <c r="U275" s="1" t="s">
        <v>32</v>
      </c>
      <c r="V275" s="1" t="s">
        <v>40</v>
      </c>
      <c r="W275" s="5" t="s">
        <v>549</v>
      </c>
      <c r="X275" s="4">
        <v>90</v>
      </c>
    </row>
    <row r="276" spans="1:24" x14ac:dyDescent="0.3">
      <c r="A276" s="1" t="s">
        <v>544</v>
      </c>
      <c r="B276" s="1" t="s">
        <v>68</v>
      </c>
      <c r="C276" s="1" t="s">
        <v>19</v>
      </c>
      <c r="D276" s="1" t="s">
        <v>31</v>
      </c>
      <c r="E276" s="4">
        <v>16</v>
      </c>
      <c r="F276" s="4">
        <v>9</v>
      </c>
      <c r="G276" s="1" t="s">
        <v>14</v>
      </c>
      <c r="H276" s="1" t="s">
        <v>40</v>
      </c>
      <c r="I276" s="5" t="s">
        <v>545</v>
      </c>
      <c r="J276" s="4">
        <v>37</v>
      </c>
      <c r="O276" s="1" t="s">
        <v>550</v>
      </c>
      <c r="P276" s="1" t="s">
        <v>73</v>
      </c>
      <c r="Q276" s="1" t="s">
        <v>19</v>
      </c>
      <c r="R276" s="1" t="s">
        <v>13</v>
      </c>
      <c r="S276" s="4">
        <v>14</v>
      </c>
      <c r="T276" s="4">
        <v>11</v>
      </c>
      <c r="U276" s="1" t="s">
        <v>32</v>
      </c>
      <c r="V276" s="1" t="s">
        <v>26</v>
      </c>
      <c r="W276" s="5" t="s">
        <v>551</v>
      </c>
      <c r="X276" s="4">
        <v>90</v>
      </c>
    </row>
    <row r="277" spans="1:24" x14ac:dyDescent="0.3">
      <c r="A277" s="1" t="s">
        <v>546</v>
      </c>
      <c r="B277" s="1" t="s">
        <v>51</v>
      </c>
      <c r="C277" s="1" t="s">
        <v>36</v>
      </c>
      <c r="D277" s="1" t="s">
        <v>31</v>
      </c>
      <c r="E277" s="4">
        <v>14</v>
      </c>
      <c r="F277" s="4">
        <v>9</v>
      </c>
      <c r="G277" s="1" t="s">
        <v>14</v>
      </c>
      <c r="H277" s="1" t="s">
        <v>46</v>
      </c>
      <c r="I277" s="5" t="s">
        <v>547</v>
      </c>
      <c r="J277" s="4">
        <v>81</v>
      </c>
      <c r="O277" s="1" t="s">
        <v>552</v>
      </c>
      <c r="P277" s="1" t="s">
        <v>35</v>
      </c>
      <c r="Q277" s="1" t="s">
        <v>30</v>
      </c>
      <c r="R277" s="1" t="s">
        <v>13</v>
      </c>
      <c r="S277" s="4">
        <v>19</v>
      </c>
      <c r="T277" s="4">
        <v>11</v>
      </c>
      <c r="U277" s="1" t="s">
        <v>14</v>
      </c>
      <c r="V277" s="1" t="s">
        <v>76</v>
      </c>
      <c r="W277" s="5" t="s">
        <v>553</v>
      </c>
      <c r="X277" s="4">
        <v>81</v>
      </c>
    </row>
    <row r="278" spans="1:24" x14ac:dyDescent="0.3">
      <c r="A278" s="1" t="s">
        <v>548</v>
      </c>
      <c r="B278" s="1" t="s">
        <v>51</v>
      </c>
      <c r="C278" s="1" t="s">
        <v>24</v>
      </c>
      <c r="D278" s="1" t="s">
        <v>31</v>
      </c>
      <c r="E278" s="4">
        <v>15</v>
      </c>
      <c r="F278" s="4">
        <v>11</v>
      </c>
      <c r="G278" s="1" t="s">
        <v>32</v>
      </c>
      <c r="H278" s="1" t="s">
        <v>40</v>
      </c>
      <c r="I278" s="5" t="s">
        <v>549</v>
      </c>
      <c r="J278" s="4">
        <v>90</v>
      </c>
      <c r="O278" s="1" t="s">
        <v>554</v>
      </c>
      <c r="P278" s="1" t="s">
        <v>29</v>
      </c>
      <c r="Q278" s="1" t="s">
        <v>79</v>
      </c>
      <c r="R278" s="1" t="s">
        <v>13</v>
      </c>
      <c r="S278" s="4">
        <v>15</v>
      </c>
      <c r="T278" s="4">
        <v>9</v>
      </c>
      <c r="U278" s="1" t="s">
        <v>32</v>
      </c>
      <c r="V278" s="1" t="s">
        <v>76</v>
      </c>
      <c r="W278" s="5" t="s">
        <v>184</v>
      </c>
      <c r="X278" s="4">
        <v>53</v>
      </c>
    </row>
    <row r="279" spans="1:24" x14ac:dyDescent="0.3">
      <c r="A279" s="1" t="s">
        <v>550</v>
      </c>
      <c r="B279" s="1" t="s">
        <v>73</v>
      </c>
      <c r="C279" s="1" t="s">
        <v>19</v>
      </c>
      <c r="D279" s="1" t="s">
        <v>13</v>
      </c>
      <c r="E279" s="4">
        <v>14</v>
      </c>
      <c r="F279" s="4">
        <v>11</v>
      </c>
      <c r="G279" s="1" t="s">
        <v>32</v>
      </c>
      <c r="H279" s="1" t="s">
        <v>26</v>
      </c>
      <c r="I279" s="5" t="s">
        <v>551</v>
      </c>
      <c r="J279" s="4">
        <v>90</v>
      </c>
      <c r="O279" s="1" t="s">
        <v>555</v>
      </c>
      <c r="P279" s="1" t="s">
        <v>73</v>
      </c>
      <c r="Q279" s="1" t="s">
        <v>55</v>
      </c>
      <c r="R279" s="1" t="s">
        <v>31</v>
      </c>
      <c r="S279" s="4">
        <v>16</v>
      </c>
      <c r="T279" s="4">
        <v>9</v>
      </c>
      <c r="U279" s="1" t="s">
        <v>14</v>
      </c>
      <c r="V279" s="1" t="s">
        <v>76</v>
      </c>
      <c r="W279" s="5" t="s">
        <v>556</v>
      </c>
      <c r="X279" s="4">
        <v>93</v>
      </c>
    </row>
    <row r="280" spans="1:24" x14ac:dyDescent="0.3">
      <c r="A280" s="1" t="s">
        <v>552</v>
      </c>
      <c r="B280" s="1" t="s">
        <v>35</v>
      </c>
      <c r="C280" s="1" t="s">
        <v>30</v>
      </c>
      <c r="D280" s="1" t="s">
        <v>13</v>
      </c>
      <c r="E280" s="4">
        <v>19</v>
      </c>
      <c r="F280" s="4">
        <v>11</v>
      </c>
      <c r="G280" s="1" t="s">
        <v>14</v>
      </c>
      <c r="H280" s="1" t="s">
        <v>76</v>
      </c>
      <c r="I280" s="5" t="s">
        <v>553</v>
      </c>
      <c r="J280" s="4">
        <v>81</v>
      </c>
      <c r="O280" s="1" t="s">
        <v>557</v>
      </c>
      <c r="P280" s="1" t="s">
        <v>23</v>
      </c>
      <c r="Q280" s="1" t="s">
        <v>96</v>
      </c>
      <c r="R280" s="1" t="s">
        <v>13</v>
      </c>
      <c r="S280" s="4">
        <v>18</v>
      </c>
      <c r="T280" s="4">
        <v>11</v>
      </c>
      <c r="U280" s="1" t="s">
        <v>25</v>
      </c>
      <c r="V280" s="1" t="s">
        <v>76</v>
      </c>
      <c r="W280" s="5" t="s">
        <v>182</v>
      </c>
      <c r="X280" s="4">
        <v>77</v>
      </c>
    </row>
    <row r="281" spans="1:24" x14ac:dyDescent="0.3">
      <c r="A281" s="1" t="s">
        <v>554</v>
      </c>
      <c r="B281" s="1" t="s">
        <v>29</v>
      </c>
      <c r="C281" s="1" t="s">
        <v>79</v>
      </c>
      <c r="D281" s="1" t="s">
        <v>13</v>
      </c>
      <c r="E281" s="4">
        <v>15</v>
      </c>
      <c r="F281" s="4">
        <v>9</v>
      </c>
      <c r="G281" s="1" t="s">
        <v>32</v>
      </c>
      <c r="H281" s="1" t="s">
        <v>76</v>
      </c>
      <c r="I281" s="5" t="s">
        <v>184</v>
      </c>
      <c r="J281" s="4">
        <v>53</v>
      </c>
      <c r="O281" s="1" t="s">
        <v>558</v>
      </c>
      <c r="P281" s="1" t="s">
        <v>54</v>
      </c>
      <c r="Q281" s="1" t="s">
        <v>30</v>
      </c>
      <c r="R281" s="1" t="s">
        <v>31</v>
      </c>
      <c r="S281" s="4">
        <v>19</v>
      </c>
      <c r="T281" s="4">
        <v>10</v>
      </c>
      <c r="U281" s="1" t="s">
        <v>43</v>
      </c>
      <c r="V281" s="1" t="s">
        <v>76</v>
      </c>
      <c r="W281" s="5" t="s">
        <v>559</v>
      </c>
      <c r="X281" s="4">
        <v>40</v>
      </c>
    </row>
    <row r="282" spans="1:24" x14ac:dyDescent="0.3">
      <c r="A282" s="1" t="s">
        <v>555</v>
      </c>
      <c r="B282" s="1" t="s">
        <v>73</v>
      </c>
      <c r="C282" s="1" t="s">
        <v>55</v>
      </c>
      <c r="D282" s="1" t="s">
        <v>31</v>
      </c>
      <c r="E282" s="4">
        <v>16</v>
      </c>
      <c r="F282" s="4">
        <v>9</v>
      </c>
      <c r="G282" s="1" t="s">
        <v>14</v>
      </c>
      <c r="H282" s="1" t="s">
        <v>76</v>
      </c>
      <c r="I282" s="5" t="s">
        <v>556</v>
      </c>
      <c r="J282" s="4">
        <v>93</v>
      </c>
      <c r="O282" s="1" t="s">
        <v>560</v>
      </c>
      <c r="P282" s="1" t="s">
        <v>68</v>
      </c>
      <c r="Q282" s="1" t="s">
        <v>85</v>
      </c>
      <c r="R282" s="1" t="s">
        <v>31</v>
      </c>
      <c r="S282" s="4">
        <v>15</v>
      </c>
      <c r="T282" s="4">
        <v>10</v>
      </c>
      <c r="U282" s="1" t="s">
        <v>43</v>
      </c>
      <c r="V282" s="1" t="s">
        <v>26</v>
      </c>
      <c r="W282" s="5" t="s">
        <v>561</v>
      </c>
      <c r="X282" s="4">
        <v>63</v>
      </c>
    </row>
    <row r="283" spans="1:24" x14ac:dyDescent="0.3">
      <c r="A283" s="1" t="s">
        <v>557</v>
      </c>
      <c r="B283" s="1" t="s">
        <v>23</v>
      </c>
      <c r="C283" s="1" t="s">
        <v>96</v>
      </c>
      <c r="D283" s="1" t="s">
        <v>13</v>
      </c>
      <c r="E283" s="4">
        <v>18</v>
      </c>
      <c r="F283" s="4">
        <v>11</v>
      </c>
      <c r="G283" s="1" t="s">
        <v>25</v>
      </c>
      <c r="H283" s="1" t="s">
        <v>76</v>
      </c>
      <c r="I283" s="5" t="s">
        <v>182</v>
      </c>
      <c r="J283" s="4">
        <v>77</v>
      </c>
      <c r="O283" s="1" t="s">
        <v>562</v>
      </c>
      <c r="P283" s="1" t="s">
        <v>29</v>
      </c>
      <c r="Q283" s="1" t="s">
        <v>79</v>
      </c>
      <c r="R283" s="1" t="s">
        <v>31</v>
      </c>
      <c r="S283" s="4">
        <v>15</v>
      </c>
      <c r="T283" s="4">
        <v>12</v>
      </c>
      <c r="U283" s="1" t="s">
        <v>32</v>
      </c>
      <c r="V283" s="1" t="s">
        <v>46</v>
      </c>
      <c r="W283" s="5" t="s">
        <v>121</v>
      </c>
      <c r="X283" s="4">
        <v>53</v>
      </c>
    </row>
    <row r="284" spans="1:24" x14ac:dyDescent="0.3">
      <c r="A284" s="1" t="s">
        <v>558</v>
      </c>
      <c r="B284" s="1" t="s">
        <v>54</v>
      </c>
      <c r="C284" s="1" t="s">
        <v>30</v>
      </c>
      <c r="D284" s="1" t="s">
        <v>31</v>
      </c>
      <c r="E284" s="4">
        <v>19</v>
      </c>
      <c r="F284" s="4">
        <v>10</v>
      </c>
      <c r="G284" s="1" t="s">
        <v>43</v>
      </c>
      <c r="H284" s="1" t="s">
        <v>76</v>
      </c>
      <c r="I284" s="5" t="s">
        <v>559</v>
      </c>
      <c r="J284" s="4">
        <v>40</v>
      </c>
      <c r="O284" s="1" t="s">
        <v>563</v>
      </c>
      <c r="P284" s="1" t="s">
        <v>35</v>
      </c>
      <c r="Q284" s="1" t="s">
        <v>55</v>
      </c>
      <c r="R284" s="1" t="s">
        <v>31</v>
      </c>
      <c r="S284" s="4">
        <v>19</v>
      </c>
      <c r="T284" s="4">
        <v>10</v>
      </c>
      <c r="U284" s="1" t="s">
        <v>43</v>
      </c>
      <c r="V284" s="1" t="s">
        <v>46</v>
      </c>
      <c r="W284" s="5" t="s">
        <v>564</v>
      </c>
      <c r="X284" s="4">
        <v>72</v>
      </c>
    </row>
    <row r="285" spans="1:24" x14ac:dyDescent="0.3">
      <c r="A285" s="1" t="s">
        <v>560</v>
      </c>
      <c r="B285" s="1" t="s">
        <v>68</v>
      </c>
      <c r="C285" s="1" t="s">
        <v>85</v>
      </c>
      <c r="D285" s="1" t="s">
        <v>31</v>
      </c>
      <c r="E285" s="4">
        <v>15</v>
      </c>
      <c r="F285" s="4">
        <v>10</v>
      </c>
      <c r="G285" s="1" t="s">
        <v>43</v>
      </c>
      <c r="H285" s="1" t="s">
        <v>26</v>
      </c>
      <c r="I285" s="5" t="s">
        <v>561</v>
      </c>
      <c r="J285" s="4">
        <v>63</v>
      </c>
      <c r="O285" s="1" t="s">
        <v>565</v>
      </c>
      <c r="P285" s="1" t="s">
        <v>54</v>
      </c>
      <c r="Q285" s="1" t="s">
        <v>79</v>
      </c>
      <c r="R285" s="1" t="s">
        <v>31</v>
      </c>
      <c r="S285" s="4">
        <v>20</v>
      </c>
      <c r="T285" s="4">
        <v>9</v>
      </c>
      <c r="U285" s="1" t="s">
        <v>43</v>
      </c>
      <c r="V285" s="1" t="s">
        <v>20</v>
      </c>
      <c r="W285" s="5" t="s">
        <v>566</v>
      </c>
      <c r="X285" s="4">
        <v>67</v>
      </c>
    </row>
    <row r="286" spans="1:24" x14ac:dyDescent="0.3">
      <c r="A286" s="1" t="s">
        <v>562</v>
      </c>
      <c r="B286" s="1" t="s">
        <v>29</v>
      </c>
      <c r="C286" s="1" t="s">
        <v>79</v>
      </c>
      <c r="D286" s="1" t="s">
        <v>31</v>
      </c>
      <c r="E286" s="4">
        <v>15</v>
      </c>
      <c r="F286" s="4">
        <v>12</v>
      </c>
      <c r="G286" s="1" t="s">
        <v>32</v>
      </c>
      <c r="H286" s="1" t="s">
        <v>46</v>
      </c>
      <c r="I286" s="5" t="s">
        <v>121</v>
      </c>
      <c r="J286" s="4">
        <v>53</v>
      </c>
      <c r="O286" s="1" t="s">
        <v>567</v>
      </c>
      <c r="P286" s="1" t="s">
        <v>54</v>
      </c>
      <c r="Q286" s="1" t="s">
        <v>12</v>
      </c>
      <c r="R286" s="1" t="s">
        <v>31</v>
      </c>
      <c r="S286" s="4">
        <v>18</v>
      </c>
      <c r="T286" s="4">
        <v>12</v>
      </c>
      <c r="U286" s="1" t="s">
        <v>25</v>
      </c>
      <c r="V286" s="1" t="s">
        <v>26</v>
      </c>
      <c r="W286" s="5" t="s">
        <v>568</v>
      </c>
      <c r="X286" s="4">
        <v>96</v>
      </c>
    </row>
    <row r="287" spans="1:24" x14ac:dyDescent="0.3">
      <c r="A287" s="1" t="s">
        <v>563</v>
      </c>
      <c r="B287" s="1" t="s">
        <v>35</v>
      </c>
      <c r="C287" s="1" t="s">
        <v>55</v>
      </c>
      <c r="D287" s="1" t="s">
        <v>31</v>
      </c>
      <c r="E287" s="4">
        <v>19</v>
      </c>
      <c r="F287" s="4">
        <v>10</v>
      </c>
      <c r="G287" s="1" t="s">
        <v>43</v>
      </c>
      <c r="H287" s="1" t="s">
        <v>46</v>
      </c>
      <c r="I287" s="5" t="s">
        <v>564</v>
      </c>
      <c r="J287" s="4">
        <v>72</v>
      </c>
      <c r="O287" s="1" t="s">
        <v>569</v>
      </c>
      <c r="P287" s="1" t="s">
        <v>54</v>
      </c>
      <c r="Q287" s="1" t="s">
        <v>12</v>
      </c>
      <c r="R287" s="1" t="s">
        <v>31</v>
      </c>
      <c r="S287" s="4">
        <v>17</v>
      </c>
      <c r="T287" s="4">
        <v>9</v>
      </c>
      <c r="U287" s="1" t="s">
        <v>25</v>
      </c>
      <c r="V287" s="1" t="s">
        <v>37</v>
      </c>
      <c r="W287" s="5" t="s">
        <v>570</v>
      </c>
      <c r="X287" s="4">
        <v>100</v>
      </c>
    </row>
    <row r="288" spans="1:24" x14ac:dyDescent="0.3">
      <c r="A288" s="1" t="s">
        <v>565</v>
      </c>
      <c r="B288" s="1" t="s">
        <v>54</v>
      </c>
      <c r="C288" s="1" t="s">
        <v>79</v>
      </c>
      <c r="D288" s="1" t="s">
        <v>31</v>
      </c>
      <c r="E288" s="4">
        <v>20</v>
      </c>
      <c r="F288" s="4">
        <v>9</v>
      </c>
      <c r="G288" s="1" t="s">
        <v>43</v>
      </c>
      <c r="H288" s="1" t="s">
        <v>20</v>
      </c>
      <c r="I288" s="5" t="s">
        <v>566</v>
      </c>
      <c r="J288" s="4">
        <v>67</v>
      </c>
      <c r="O288" s="1" t="s">
        <v>571</v>
      </c>
      <c r="P288" s="1" t="s">
        <v>68</v>
      </c>
      <c r="Q288" s="1" t="s">
        <v>12</v>
      </c>
      <c r="R288" s="1" t="s">
        <v>13</v>
      </c>
      <c r="S288" s="4">
        <v>16</v>
      </c>
      <c r="T288" s="4">
        <v>10</v>
      </c>
      <c r="U288" s="1" t="s">
        <v>25</v>
      </c>
      <c r="V288" s="1" t="s">
        <v>26</v>
      </c>
      <c r="W288" s="5" t="s">
        <v>434</v>
      </c>
      <c r="X288" s="4">
        <v>63</v>
      </c>
    </row>
    <row r="289" spans="1:24" x14ac:dyDescent="0.3">
      <c r="A289" s="1" t="s">
        <v>567</v>
      </c>
      <c r="B289" s="1" t="s">
        <v>54</v>
      </c>
      <c r="C289" s="1" t="s">
        <v>12</v>
      </c>
      <c r="D289" s="1" t="s">
        <v>31</v>
      </c>
      <c r="E289" s="4">
        <v>18</v>
      </c>
      <c r="F289" s="4">
        <v>12</v>
      </c>
      <c r="G289" s="1" t="s">
        <v>25</v>
      </c>
      <c r="H289" s="1" t="s">
        <v>26</v>
      </c>
      <c r="I289" s="5" t="s">
        <v>568</v>
      </c>
      <c r="J289" s="4">
        <v>96</v>
      </c>
      <c r="O289" s="1" t="s">
        <v>572</v>
      </c>
      <c r="P289" s="1" t="s">
        <v>23</v>
      </c>
      <c r="Q289" s="1" t="s">
        <v>19</v>
      </c>
      <c r="R289" s="1" t="s">
        <v>31</v>
      </c>
      <c r="S289" s="4">
        <v>19</v>
      </c>
      <c r="T289" s="4">
        <v>10</v>
      </c>
      <c r="U289" s="1" t="s">
        <v>32</v>
      </c>
      <c r="V289" s="1" t="s">
        <v>20</v>
      </c>
      <c r="W289" s="5" t="s">
        <v>400</v>
      </c>
      <c r="X289" s="4">
        <v>53</v>
      </c>
    </row>
    <row r="290" spans="1:24" x14ac:dyDescent="0.3">
      <c r="A290" s="1" t="s">
        <v>569</v>
      </c>
      <c r="B290" s="1" t="s">
        <v>54</v>
      </c>
      <c r="C290" s="1" t="s">
        <v>12</v>
      </c>
      <c r="D290" s="1" t="s">
        <v>31</v>
      </c>
      <c r="E290" s="4">
        <v>17</v>
      </c>
      <c r="F290" s="4">
        <v>9</v>
      </c>
      <c r="G290" s="1" t="s">
        <v>25</v>
      </c>
      <c r="H290" s="1" t="s">
        <v>37</v>
      </c>
      <c r="I290" s="5" t="s">
        <v>570</v>
      </c>
      <c r="J290" s="4">
        <v>100</v>
      </c>
      <c r="O290" s="1" t="s">
        <v>573</v>
      </c>
      <c r="P290" s="1" t="s">
        <v>54</v>
      </c>
      <c r="Q290" s="1" t="s">
        <v>24</v>
      </c>
      <c r="R290" s="1" t="s">
        <v>13</v>
      </c>
      <c r="S290" s="4">
        <v>19</v>
      </c>
      <c r="T290" s="4">
        <v>9</v>
      </c>
      <c r="U290" s="1" t="s">
        <v>43</v>
      </c>
      <c r="V290" s="1" t="s">
        <v>46</v>
      </c>
      <c r="W290" s="5" t="s">
        <v>574</v>
      </c>
      <c r="X290" s="4">
        <v>94</v>
      </c>
    </row>
    <row r="291" spans="1:24" x14ac:dyDescent="0.3">
      <c r="A291" s="1" t="s">
        <v>571</v>
      </c>
      <c r="B291" s="1" t="s">
        <v>68</v>
      </c>
      <c r="C291" s="1" t="s">
        <v>12</v>
      </c>
      <c r="D291" s="1" t="s">
        <v>13</v>
      </c>
      <c r="E291" s="4">
        <v>16</v>
      </c>
      <c r="F291" s="4">
        <v>10</v>
      </c>
      <c r="G291" s="1" t="s">
        <v>25</v>
      </c>
      <c r="H291" s="1" t="s">
        <v>26</v>
      </c>
      <c r="I291" s="5" t="s">
        <v>434</v>
      </c>
      <c r="J291" s="4">
        <v>63</v>
      </c>
      <c r="O291" s="1" t="s">
        <v>575</v>
      </c>
      <c r="P291" s="1" t="s">
        <v>35</v>
      </c>
      <c r="Q291" s="1" t="s">
        <v>30</v>
      </c>
      <c r="R291" s="1" t="s">
        <v>31</v>
      </c>
      <c r="S291" s="4">
        <v>14</v>
      </c>
      <c r="T291" s="4">
        <v>10</v>
      </c>
      <c r="U291" s="1" t="s">
        <v>32</v>
      </c>
      <c r="V291" s="1" t="s">
        <v>40</v>
      </c>
      <c r="W291" s="5" t="s">
        <v>576</v>
      </c>
      <c r="X291" s="4">
        <v>50</v>
      </c>
    </row>
    <row r="292" spans="1:24" x14ac:dyDescent="0.3">
      <c r="A292" s="1" t="s">
        <v>572</v>
      </c>
      <c r="B292" s="1" t="s">
        <v>23</v>
      </c>
      <c r="C292" s="1" t="s">
        <v>19</v>
      </c>
      <c r="D292" s="1" t="s">
        <v>31</v>
      </c>
      <c r="E292" s="4">
        <v>19</v>
      </c>
      <c r="F292" s="4">
        <v>10</v>
      </c>
      <c r="G292" s="1" t="s">
        <v>32</v>
      </c>
      <c r="H292" s="1" t="s">
        <v>20</v>
      </c>
      <c r="I292" s="5" t="s">
        <v>400</v>
      </c>
      <c r="J292" s="4">
        <v>53</v>
      </c>
      <c r="O292" s="1" t="s">
        <v>577</v>
      </c>
      <c r="P292" s="1" t="s">
        <v>84</v>
      </c>
      <c r="Q292" s="1" t="s">
        <v>79</v>
      </c>
      <c r="R292" s="1" t="s">
        <v>31</v>
      </c>
      <c r="S292" s="4">
        <v>15</v>
      </c>
      <c r="T292" s="4">
        <v>11</v>
      </c>
      <c r="U292" s="1" t="s">
        <v>25</v>
      </c>
      <c r="V292" s="1" t="s">
        <v>40</v>
      </c>
      <c r="W292" s="5" t="s">
        <v>578</v>
      </c>
      <c r="X292" s="4">
        <v>72</v>
      </c>
    </row>
    <row r="293" spans="1:24" x14ac:dyDescent="0.3">
      <c r="A293" s="1" t="s">
        <v>573</v>
      </c>
      <c r="B293" s="1" t="s">
        <v>54</v>
      </c>
      <c r="C293" s="1" t="s">
        <v>24</v>
      </c>
      <c r="D293" s="1" t="s">
        <v>13</v>
      </c>
      <c r="E293" s="4">
        <v>19</v>
      </c>
      <c r="F293" s="4">
        <v>9</v>
      </c>
      <c r="G293" s="1" t="s">
        <v>43</v>
      </c>
      <c r="H293" s="1" t="s">
        <v>46</v>
      </c>
      <c r="I293" s="5" t="s">
        <v>574</v>
      </c>
      <c r="J293" s="4">
        <v>94</v>
      </c>
      <c r="O293" s="1" t="s">
        <v>579</v>
      </c>
      <c r="P293" s="1" t="s">
        <v>51</v>
      </c>
      <c r="Q293" s="1" t="s">
        <v>55</v>
      </c>
      <c r="R293" s="1" t="s">
        <v>31</v>
      </c>
      <c r="S293" s="4">
        <v>20</v>
      </c>
      <c r="T293" s="4">
        <v>9</v>
      </c>
      <c r="U293" s="1" t="s">
        <v>25</v>
      </c>
      <c r="V293" s="1" t="s">
        <v>26</v>
      </c>
      <c r="W293" s="5" t="s">
        <v>212</v>
      </c>
      <c r="X293" s="4">
        <v>35</v>
      </c>
    </row>
    <row r="294" spans="1:24" x14ac:dyDescent="0.3">
      <c r="A294" s="1" t="s">
        <v>575</v>
      </c>
      <c r="B294" s="1" t="s">
        <v>35</v>
      </c>
      <c r="C294" s="1" t="s">
        <v>30</v>
      </c>
      <c r="D294" s="1" t="s">
        <v>31</v>
      </c>
      <c r="E294" s="4">
        <v>14</v>
      </c>
      <c r="F294" s="4">
        <v>10</v>
      </c>
      <c r="G294" s="1" t="s">
        <v>32</v>
      </c>
      <c r="H294" s="1" t="s">
        <v>40</v>
      </c>
      <c r="I294" s="5" t="s">
        <v>576</v>
      </c>
      <c r="J294" s="4">
        <v>50</v>
      </c>
      <c r="O294" s="1" t="s">
        <v>580</v>
      </c>
      <c r="P294" s="1" t="s">
        <v>29</v>
      </c>
      <c r="Q294" s="1" t="s">
        <v>36</v>
      </c>
      <c r="R294" s="1" t="s">
        <v>13</v>
      </c>
      <c r="S294" s="4">
        <v>17</v>
      </c>
      <c r="T294" s="4">
        <v>10</v>
      </c>
      <c r="U294" s="1" t="s">
        <v>32</v>
      </c>
      <c r="V294" s="1" t="s">
        <v>15</v>
      </c>
      <c r="W294" s="5" t="s">
        <v>581</v>
      </c>
      <c r="X294" s="4">
        <v>37</v>
      </c>
    </row>
    <row r="295" spans="1:24" x14ac:dyDescent="0.3">
      <c r="A295" s="1" t="s">
        <v>577</v>
      </c>
      <c r="B295" s="1" t="s">
        <v>84</v>
      </c>
      <c r="C295" s="1" t="s">
        <v>79</v>
      </c>
      <c r="D295" s="1" t="s">
        <v>31</v>
      </c>
      <c r="E295" s="4">
        <v>15</v>
      </c>
      <c r="F295" s="4">
        <v>11</v>
      </c>
      <c r="G295" s="1" t="s">
        <v>25</v>
      </c>
      <c r="H295" s="1" t="s">
        <v>40</v>
      </c>
      <c r="I295" s="5" t="s">
        <v>578</v>
      </c>
      <c r="J295" s="4">
        <v>72</v>
      </c>
      <c r="O295" s="1" t="s">
        <v>582</v>
      </c>
      <c r="P295" s="1" t="s">
        <v>51</v>
      </c>
      <c r="Q295" s="1" t="s">
        <v>55</v>
      </c>
      <c r="R295" s="1" t="s">
        <v>31</v>
      </c>
      <c r="S295" s="4">
        <v>14</v>
      </c>
      <c r="T295" s="4">
        <v>11</v>
      </c>
      <c r="U295" s="1" t="s">
        <v>25</v>
      </c>
      <c r="V295" s="1" t="s">
        <v>37</v>
      </c>
      <c r="W295" s="5" t="s">
        <v>583</v>
      </c>
      <c r="X295" s="4">
        <v>47</v>
      </c>
    </row>
    <row r="296" spans="1:24" x14ac:dyDescent="0.3">
      <c r="A296" s="1" t="s">
        <v>579</v>
      </c>
      <c r="B296" s="1" t="s">
        <v>51</v>
      </c>
      <c r="C296" s="1" t="s">
        <v>55</v>
      </c>
      <c r="D296" s="1" t="s">
        <v>31</v>
      </c>
      <c r="E296" s="4">
        <v>20</v>
      </c>
      <c r="F296" s="4">
        <v>9</v>
      </c>
      <c r="G296" s="1" t="s">
        <v>25</v>
      </c>
      <c r="H296" s="1" t="s">
        <v>26</v>
      </c>
      <c r="I296" s="5" t="s">
        <v>212</v>
      </c>
      <c r="J296" s="4">
        <v>35</v>
      </c>
      <c r="O296" s="1" t="s">
        <v>584</v>
      </c>
      <c r="P296" s="1" t="s">
        <v>68</v>
      </c>
      <c r="Q296" s="1" t="s">
        <v>55</v>
      </c>
      <c r="R296" s="1" t="s">
        <v>31</v>
      </c>
      <c r="S296" s="4">
        <v>16</v>
      </c>
      <c r="T296" s="4">
        <v>9</v>
      </c>
      <c r="U296" s="1" t="s">
        <v>14</v>
      </c>
      <c r="V296" s="1" t="s">
        <v>61</v>
      </c>
      <c r="W296" s="5" t="s">
        <v>585</v>
      </c>
      <c r="X296" s="4">
        <v>59</v>
      </c>
    </row>
    <row r="297" spans="1:24" x14ac:dyDescent="0.3">
      <c r="A297" s="1" t="s">
        <v>580</v>
      </c>
      <c r="B297" s="1" t="s">
        <v>29</v>
      </c>
      <c r="C297" s="1" t="s">
        <v>36</v>
      </c>
      <c r="D297" s="1" t="s">
        <v>13</v>
      </c>
      <c r="E297" s="4">
        <v>17</v>
      </c>
      <c r="F297" s="4">
        <v>10</v>
      </c>
      <c r="G297" s="1" t="s">
        <v>32</v>
      </c>
      <c r="H297" s="1" t="s">
        <v>15</v>
      </c>
      <c r="I297" s="5" t="s">
        <v>581</v>
      </c>
      <c r="J297" s="4">
        <v>37</v>
      </c>
      <c r="O297" s="1" t="s">
        <v>586</v>
      </c>
      <c r="P297" s="1" t="s">
        <v>11</v>
      </c>
      <c r="Q297" s="1" t="s">
        <v>24</v>
      </c>
      <c r="R297" s="1" t="s">
        <v>31</v>
      </c>
      <c r="S297" s="4">
        <v>17</v>
      </c>
      <c r="T297" s="4">
        <v>11</v>
      </c>
      <c r="U297" s="1" t="s">
        <v>43</v>
      </c>
      <c r="V297" s="1" t="s">
        <v>61</v>
      </c>
      <c r="W297" s="5" t="s">
        <v>587</v>
      </c>
      <c r="X297" s="4">
        <v>73</v>
      </c>
    </row>
    <row r="298" spans="1:24" x14ac:dyDescent="0.3">
      <c r="A298" s="1" t="s">
        <v>582</v>
      </c>
      <c r="B298" s="1" t="s">
        <v>51</v>
      </c>
      <c r="C298" s="1" t="s">
        <v>55</v>
      </c>
      <c r="D298" s="1" t="s">
        <v>31</v>
      </c>
      <c r="E298" s="4">
        <v>14</v>
      </c>
      <c r="F298" s="4">
        <v>11</v>
      </c>
      <c r="G298" s="1" t="s">
        <v>25</v>
      </c>
      <c r="H298" s="1" t="s">
        <v>37</v>
      </c>
      <c r="I298" s="5" t="s">
        <v>583</v>
      </c>
      <c r="J298" s="4">
        <v>47</v>
      </c>
      <c r="O298" s="1" t="s">
        <v>588</v>
      </c>
      <c r="P298" s="1" t="s">
        <v>68</v>
      </c>
      <c r="Q298" s="1" t="s">
        <v>85</v>
      </c>
      <c r="R298" s="1" t="s">
        <v>31</v>
      </c>
      <c r="S298" s="4">
        <v>17</v>
      </c>
      <c r="T298" s="4">
        <v>9</v>
      </c>
      <c r="U298" s="1" t="s">
        <v>25</v>
      </c>
      <c r="V298" s="1" t="s">
        <v>61</v>
      </c>
      <c r="W298" s="5" t="s">
        <v>589</v>
      </c>
      <c r="X298" s="4">
        <v>45</v>
      </c>
    </row>
    <row r="299" spans="1:24" x14ac:dyDescent="0.3">
      <c r="A299" s="1" t="s">
        <v>584</v>
      </c>
      <c r="B299" s="1" t="s">
        <v>68</v>
      </c>
      <c r="C299" s="1" t="s">
        <v>55</v>
      </c>
      <c r="D299" s="1" t="s">
        <v>31</v>
      </c>
      <c r="E299" s="4">
        <v>16</v>
      </c>
      <c r="F299" s="4">
        <v>9</v>
      </c>
      <c r="G299" s="1" t="s">
        <v>14</v>
      </c>
      <c r="H299" s="1" t="s">
        <v>61</v>
      </c>
      <c r="I299" s="5" t="s">
        <v>585</v>
      </c>
      <c r="J299" s="4">
        <v>59</v>
      </c>
      <c r="O299" s="1" t="s">
        <v>590</v>
      </c>
      <c r="P299" s="1" t="s">
        <v>35</v>
      </c>
      <c r="Q299" s="1" t="s">
        <v>12</v>
      </c>
      <c r="R299" s="1" t="s">
        <v>13</v>
      </c>
      <c r="S299" s="4">
        <v>14</v>
      </c>
      <c r="T299" s="4">
        <v>11</v>
      </c>
      <c r="U299" s="1" t="s">
        <v>25</v>
      </c>
      <c r="V299" s="1" t="s">
        <v>20</v>
      </c>
      <c r="W299" s="5" t="s">
        <v>591</v>
      </c>
      <c r="X299" s="4">
        <v>64</v>
      </c>
    </row>
    <row r="300" spans="1:24" x14ac:dyDescent="0.3">
      <c r="A300" s="1" t="s">
        <v>586</v>
      </c>
      <c r="B300" s="1" t="s">
        <v>11</v>
      </c>
      <c r="C300" s="1" t="s">
        <v>24</v>
      </c>
      <c r="D300" s="1" t="s">
        <v>31</v>
      </c>
      <c r="E300" s="4">
        <v>17</v>
      </c>
      <c r="F300" s="4">
        <v>11</v>
      </c>
      <c r="G300" s="1" t="s">
        <v>43</v>
      </c>
      <c r="H300" s="1" t="s">
        <v>61</v>
      </c>
      <c r="I300" s="5" t="s">
        <v>587</v>
      </c>
      <c r="J300" s="4">
        <v>73</v>
      </c>
      <c r="O300" s="1" t="s">
        <v>592</v>
      </c>
      <c r="P300" s="1" t="s">
        <v>51</v>
      </c>
      <c r="Q300" s="1" t="s">
        <v>19</v>
      </c>
      <c r="R300" s="1" t="s">
        <v>31</v>
      </c>
      <c r="S300" s="4">
        <v>18</v>
      </c>
      <c r="T300" s="4">
        <v>10</v>
      </c>
      <c r="U300" s="1" t="s">
        <v>43</v>
      </c>
      <c r="V300" s="1" t="s">
        <v>76</v>
      </c>
      <c r="W300" s="5" t="s">
        <v>593</v>
      </c>
      <c r="X300" s="4">
        <v>98</v>
      </c>
    </row>
    <row r="301" spans="1:24" x14ac:dyDescent="0.3">
      <c r="A301" s="1" t="s">
        <v>588</v>
      </c>
      <c r="B301" s="1" t="s">
        <v>68</v>
      </c>
      <c r="C301" s="1" t="s">
        <v>85</v>
      </c>
      <c r="D301" s="1" t="s">
        <v>31</v>
      </c>
      <c r="E301" s="4">
        <v>17</v>
      </c>
      <c r="F301" s="4">
        <v>9</v>
      </c>
      <c r="G301" s="1" t="s">
        <v>25</v>
      </c>
      <c r="H301" s="1" t="s">
        <v>61</v>
      </c>
      <c r="I301" s="5" t="s">
        <v>589</v>
      </c>
      <c r="J301" s="4">
        <v>45</v>
      </c>
      <c r="O301" s="1" t="s">
        <v>594</v>
      </c>
      <c r="P301" s="1" t="s">
        <v>54</v>
      </c>
      <c r="Q301" s="1" t="s">
        <v>55</v>
      </c>
      <c r="R301" s="1" t="s">
        <v>13</v>
      </c>
      <c r="S301" s="4">
        <v>20</v>
      </c>
      <c r="T301" s="4">
        <v>11</v>
      </c>
      <c r="U301" s="1" t="s">
        <v>43</v>
      </c>
      <c r="V301" s="1" t="s">
        <v>40</v>
      </c>
      <c r="W301" s="5" t="s">
        <v>595</v>
      </c>
      <c r="X301" s="4">
        <v>84</v>
      </c>
    </row>
    <row r="302" spans="1:24" x14ac:dyDescent="0.3">
      <c r="A302" s="1" t="s">
        <v>590</v>
      </c>
      <c r="B302" s="1" t="s">
        <v>35</v>
      </c>
      <c r="C302" s="1" t="s">
        <v>12</v>
      </c>
      <c r="D302" s="1" t="s">
        <v>13</v>
      </c>
      <c r="E302" s="4">
        <v>14</v>
      </c>
      <c r="F302" s="4">
        <v>11</v>
      </c>
      <c r="G302" s="1" t="s">
        <v>25</v>
      </c>
      <c r="H302" s="1" t="s">
        <v>20</v>
      </c>
      <c r="I302" s="5" t="s">
        <v>591</v>
      </c>
      <c r="J302" s="4">
        <v>64</v>
      </c>
      <c r="O302" s="1" t="s">
        <v>596</v>
      </c>
      <c r="P302" s="1" t="s">
        <v>11</v>
      </c>
      <c r="Q302" s="1" t="s">
        <v>30</v>
      </c>
      <c r="R302" s="1" t="s">
        <v>13</v>
      </c>
      <c r="S302" s="4">
        <v>14</v>
      </c>
      <c r="T302" s="4">
        <v>9</v>
      </c>
      <c r="U302" s="1" t="s">
        <v>25</v>
      </c>
      <c r="V302" s="1" t="s">
        <v>76</v>
      </c>
      <c r="W302" s="5" t="s">
        <v>447</v>
      </c>
      <c r="X302" s="4">
        <v>62</v>
      </c>
    </row>
    <row r="303" spans="1:24" x14ac:dyDescent="0.3">
      <c r="A303" s="1" t="s">
        <v>592</v>
      </c>
      <c r="B303" s="1" t="s">
        <v>51</v>
      </c>
      <c r="C303" s="1" t="s">
        <v>19</v>
      </c>
      <c r="D303" s="1" t="s">
        <v>31</v>
      </c>
      <c r="E303" s="4">
        <v>18</v>
      </c>
      <c r="F303" s="4">
        <v>10</v>
      </c>
      <c r="G303" s="1" t="s">
        <v>43</v>
      </c>
      <c r="H303" s="1" t="s">
        <v>76</v>
      </c>
      <c r="I303" s="5" t="s">
        <v>593</v>
      </c>
      <c r="J303" s="4">
        <v>98</v>
      </c>
      <c r="O303" s="1" t="s">
        <v>597</v>
      </c>
      <c r="P303" s="1" t="s">
        <v>18</v>
      </c>
      <c r="Q303" s="1" t="s">
        <v>85</v>
      </c>
      <c r="R303" s="1" t="s">
        <v>31</v>
      </c>
      <c r="S303" s="4">
        <v>18</v>
      </c>
      <c r="T303" s="4">
        <v>11</v>
      </c>
      <c r="U303" s="1" t="s">
        <v>43</v>
      </c>
      <c r="V303" s="1" t="s">
        <v>40</v>
      </c>
      <c r="W303" s="5" t="s">
        <v>598</v>
      </c>
      <c r="X303" s="4">
        <v>55</v>
      </c>
    </row>
    <row r="304" spans="1:24" x14ac:dyDescent="0.3">
      <c r="A304" s="1" t="s">
        <v>594</v>
      </c>
      <c r="B304" s="1" t="s">
        <v>54</v>
      </c>
      <c r="C304" s="1" t="s">
        <v>55</v>
      </c>
      <c r="D304" s="1" t="s">
        <v>13</v>
      </c>
      <c r="E304" s="4">
        <v>20</v>
      </c>
      <c r="F304" s="4">
        <v>11</v>
      </c>
      <c r="G304" s="1" t="s">
        <v>43</v>
      </c>
      <c r="H304" s="1" t="s">
        <v>40</v>
      </c>
      <c r="I304" s="5" t="s">
        <v>595</v>
      </c>
      <c r="J304" s="4">
        <v>84</v>
      </c>
      <c r="O304" s="1" t="s">
        <v>599</v>
      </c>
      <c r="P304" s="1" t="s">
        <v>84</v>
      </c>
      <c r="Q304" s="1" t="s">
        <v>30</v>
      </c>
      <c r="R304" s="1" t="s">
        <v>13</v>
      </c>
      <c r="S304" s="4">
        <v>17</v>
      </c>
      <c r="T304" s="4">
        <v>11</v>
      </c>
      <c r="U304" s="1" t="s">
        <v>43</v>
      </c>
      <c r="V304" s="1" t="s">
        <v>15</v>
      </c>
      <c r="W304" s="5" t="s">
        <v>600</v>
      </c>
      <c r="X304" s="4">
        <v>73</v>
      </c>
    </row>
    <row r="305" spans="1:24" x14ac:dyDescent="0.3">
      <c r="A305" s="1" t="s">
        <v>596</v>
      </c>
      <c r="B305" s="1" t="s">
        <v>11</v>
      </c>
      <c r="C305" s="1" t="s">
        <v>30</v>
      </c>
      <c r="D305" s="1" t="s">
        <v>13</v>
      </c>
      <c r="E305" s="4">
        <v>14</v>
      </c>
      <c r="F305" s="4">
        <v>9</v>
      </c>
      <c r="G305" s="1" t="s">
        <v>25</v>
      </c>
      <c r="H305" s="1" t="s">
        <v>76</v>
      </c>
      <c r="I305" s="5" t="s">
        <v>447</v>
      </c>
      <c r="J305" s="4">
        <v>62</v>
      </c>
      <c r="O305" s="1" t="s">
        <v>601</v>
      </c>
      <c r="P305" s="1" t="s">
        <v>73</v>
      </c>
      <c r="Q305" s="1" t="s">
        <v>55</v>
      </c>
      <c r="R305" s="1" t="s">
        <v>31</v>
      </c>
      <c r="S305" s="4">
        <v>17</v>
      </c>
      <c r="T305" s="4">
        <v>11</v>
      </c>
      <c r="U305" s="1" t="s">
        <v>43</v>
      </c>
      <c r="V305" s="1" t="s">
        <v>61</v>
      </c>
      <c r="W305" s="5" t="s">
        <v>502</v>
      </c>
      <c r="X305" s="4">
        <v>76</v>
      </c>
    </row>
    <row r="306" spans="1:24" x14ac:dyDescent="0.3">
      <c r="A306" s="1" t="s">
        <v>597</v>
      </c>
      <c r="B306" s="1" t="s">
        <v>18</v>
      </c>
      <c r="C306" s="1" t="s">
        <v>85</v>
      </c>
      <c r="D306" s="1" t="s">
        <v>31</v>
      </c>
      <c r="E306" s="4">
        <v>18</v>
      </c>
      <c r="F306" s="4">
        <v>11</v>
      </c>
      <c r="G306" s="1" t="s">
        <v>43</v>
      </c>
      <c r="H306" s="1" t="s">
        <v>40</v>
      </c>
      <c r="I306" s="5" t="s">
        <v>598</v>
      </c>
      <c r="J306" s="4">
        <v>55</v>
      </c>
      <c r="O306" s="1" t="s">
        <v>602</v>
      </c>
      <c r="P306" s="1" t="s">
        <v>23</v>
      </c>
      <c r="Q306" s="1" t="s">
        <v>19</v>
      </c>
      <c r="R306" s="1" t="s">
        <v>13</v>
      </c>
      <c r="S306" s="4">
        <v>15</v>
      </c>
      <c r="T306" s="4">
        <v>12</v>
      </c>
      <c r="U306" s="1" t="s">
        <v>14</v>
      </c>
      <c r="V306" s="1" t="s">
        <v>61</v>
      </c>
      <c r="W306" s="5" t="s">
        <v>603</v>
      </c>
      <c r="X306" s="4">
        <v>54</v>
      </c>
    </row>
    <row r="307" spans="1:24" x14ac:dyDescent="0.3">
      <c r="A307" s="1" t="s">
        <v>599</v>
      </c>
      <c r="B307" s="1" t="s">
        <v>84</v>
      </c>
      <c r="C307" s="1" t="s">
        <v>30</v>
      </c>
      <c r="D307" s="1" t="s">
        <v>13</v>
      </c>
      <c r="E307" s="4">
        <v>17</v>
      </c>
      <c r="F307" s="4">
        <v>11</v>
      </c>
      <c r="G307" s="1" t="s">
        <v>43</v>
      </c>
      <c r="H307" s="1" t="s">
        <v>15</v>
      </c>
      <c r="I307" s="5" t="s">
        <v>600</v>
      </c>
      <c r="J307" s="4">
        <v>73</v>
      </c>
      <c r="O307" s="1" t="s">
        <v>604</v>
      </c>
      <c r="P307" s="1" t="s">
        <v>51</v>
      </c>
      <c r="Q307" s="1" t="s">
        <v>85</v>
      </c>
      <c r="R307" s="1" t="s">
        <v>31</v>
      </c>
      <c r="S307" s="4">
        <v>20</v>
      </c>
      <c r="T307" s="4">
        <v>12</v>
      </c>
      <c r="U307" s="1" t="s">
        <v>25</v>
      </c>
      <c r="V307" s="1" t="s">
        <v>26</v>
      </c>
      <c r="W307" s="5" t="s">
        <v>299</v>
      </c>
      <c r="X307" s="4">
        <v>69</v>
      </c>
    </row>
    <row r="308" spans="1:24" x14ac:dyDescent="0.3">
      <c r="A308" s="1" t="s">
        <v>601</v>
      </c>
      <c r="B308" s="1" t="s">
        <v>73</v>
      </c>
      <c r="C308" s="1" t="s">
        <v>55</v>
      </c>
      <c r="D308" s="1" t="s">
        <v>31</v>
      </c>
      <c r="E308" s="4">
        <v>17</v>
      </c>
      <c r="F308" s="4">
        <v>11</v>
      </c>
      <c r="G308" s="1" t="s">
        <v>43</v>
      </c>
      <c r="H308" s="1" t="s">
        <v>61</v>
      </c>
      <c r="I308" s="5" t="s">
        <v>502</v>
      </c>
      <c r="J308" s="4">
        <v>76</v>
      </c>
      <c r="O308" s="1" t="s">
        <v>605</v>
      </c>
      <c r="P308" s="1" t="s">
        <v>54</v>
      </c>
      <c r="Q308" s="1" t="s">
        <v>19</v>
      </c>
      <c r="R308" s="1" t="s">
        <v>31</v>
      </c>
      <c r="S308" s="4">
        <v>20</v>
      </c>
      <c r="T308" s="4">
        <v>10</v>
      </c>
      <c r="U308" s="1" t="s">
        <v>43</v>
      </c>
      <c r="V308" s="1" t="s">
        <v>37</v>
      </c>
      <c r="W308" s="5" t="s">
        <v>606</v>
      </c>
      <c r="X308" s="4">
        <v>99</v>
      </c>
    </row>
    <row r="309" spans="1:24" x14ac:dyDescent="0.3">
      <c r="A309" s="1" t="s">
        <v>602</v>
      </c>
      <c r="B309" s="1" t="s">
        <v>23</v>
      </c>
      <c r="C309" s="1" t="s">
        <v>19</v>
      </c>
      <c r="D309" s="1" t="s">
        <v>13</v>
      </c>
      <c r="E309" s="4">
        <v>15</v>
      </c>
      <c r="F309" s="4">
        <v>12</v>
      </c>
      <c r="G309" s="1" t="s">
        <v>14</v>
      </c>
      <c r="H309" s="1" t="s">
        <v>61</v>
      </c>
      <c r="I309" s="5" t="s">
        <v>603</v>
      </c>
      <c r="J309" s="4">
        <v>54</v>
      </c>
      <c r="O309" s="1" t="s">
        <v>607</v>
      </c>
      <c r="P309" s="1" t="s">
        <v>68</v>
      </c>
      <c r="Q309" s="1" t="s">
        <v>55</v>
      </c>
      <c r="R309" s="1" t="s">
        <v>13</v>
      </c>
      <c r="S309" s="4">
        <v>19</v>
      </c>
      <c r="T309" s="4">
        <v>11</v>
      </c>
      <c r="U309" s="1" t="s">
        <v>25</v>
      </c>
      <c r="V309" s="1" t="s">
        <v>20</v>
      </c>
      <c r="W309" s="5" t="s">
        <v>608</v>
      </c>
      <c r="X309" s="4">
        <v>43</v>
      </c>
    </row>
    <row r="310" spans="1:24" x14ac:dyDescent="0.3">
      <c r="A310" s="1" t="s">
        <v>604</v>
      </c>
      <c r="B310" s="1" t="s">
        <v>51</v>
      </c>
      <c r="C310" s="1" t="s">
        <v>85</v>
      </c>
      <c r="D310" s="1" t="s">
        <v>31</v>
      </c>
      <c r="E310" s="4">
        <v>20</v>
      </c>
      <c r="F310" s="4">
        <v>12</v>
      </c>
      <c r="G310" s="1" t="s">
        <v>25</v>
      </c>
      <c r="H310" s="1" t="s">
        <v>26</v>
      </c>
      <c r="I310" s="5" t="s">
        <v>299</v>
      </c>
      <c r="J310" s="4">
        <v>69</v>
      </c>
      <c r="O310" s="1" t="s">
        <v>609</v>
      </c>
      <c r="P310" s="1" t="s">
        <v>68</v>
      </c>
      <c r="Q310" s="1" t="s">
        <v>58</v>
      </c>
      <c r="R310" s="1" t="s">
        <v>13</v>
      </c>
      <c r="S310" s="4">
        <v>14</v>
      </c>
      <c r="T310" s="4">
        <v>10</v>
      </c>
      <c r="U310" s="1" t="s">
        <v>25</v>
      </c>
      <c r="V310" s="1" t="s">
        <v>37</v>
      </c>
      <c r="W310" s="5" t="s">
        <v>610</v>
      </c>
      <c r="X310" s="4">
        <v>90</v>
      </c>
    </row>
    <row r="311" spans="1:24" x14ac:dyDescent="0.3">
      <c r="A311" s="1" t="s">
        <v>605</v>
      </c>
      <c r="B311" s="1" t="s">
        <v>54</v>
      </c>
      <c r="C311" s="1" t="s">
        <v>19</v>
      </c>
      <c r="D311" s="1" t="s">
        <v>31</v>
      </c>
      <c r="E311" s="4">
        <v>20</v>
      </c>
      <c r="F311" s="4">
        <v>10</v>
      </c>
      <c r="G311" s="1" t="s">
        <v>43</v>
      </c>
      <c r="H311" s="1" t="s">
        <v>37</v>
      </c>
      <c r="I311" s="5" t="s">
        <v>606</v>
      </c>
      <c r="J311" s="4">
        <v>99</v>
      </c>
      <c r="O311" s="1" t="s">
        <v>611</v>
      </c>
      <c r="P311" s="1" t="s">
        <v>18</v>
      </c>
      <c r="Q311" s="1" t="s">
        <v>24</v>
      </c>
      <c r="R311" s="1" t="s">
        <v>31</v>
      </c>
      <c r="S311" s="4">
        <v>19</v>
      </c>
      <c r="T311" s="4">
        <v>12</v>
      </c>
      <c r="U311" s="1" t="s">
        <v>43</v>
      </c>
      <c r="V311" s="1" t="s">
        <v>26</v>
      </c>
      <c r="W311" s="5" t="s">
        <v>612</v>
      </c>
      <c r="X311" s="4">
        <v>82</v>
      </c>
    </row>
    <row r="312" spans="1:24" x14ac:dyDescent="0.3">
      <c r="A312" s="1" t="s">
        <v>607</v>
      </c>
      <c r="B312" s="1" t="s">
        <v>68</v>
      </c>
      <c r="C312" s="1" t="s">
        <v>55</v>
      </c>
      <c r="D312" s="1" t="s">
        <v>13</v>
      </c>
      <c r="E312" s="4">
        <v>19</v>
      </c>
      <c r="F312" s="4">
        <v>11</v>
      </c>
      <c r="G312" s="1" t="s">
        <v>25</v>
      </c>
      <c r="H312" s="1" t="s">
        <v>20</v>
      </c>
      <c r="I312" s="5" t="s">
        <v>608</v>
      </c>
      <c r="J312" s="4">
        <v>43</v>
      </c>
      <c r="O312" s="1" t="s">
        <v>613</v>
      </c>
      <c r="P312" s="1" t="s">
        <v>68</v>
      </c>
      <c r="Q312" s="1" t="s">
        <v>85</v>
      </c>
      <c r="R312" s="1" t="s">
        <v>31</v>
      </c>
      <c r="S312" s="4">
        <v>15</v>
      </c>
      <c r="T312" s="4">
        <v>9</v>
      </c>
      <c r="U312" s="1" t="s">
        <v>32</v>
      </c>
      <c r="V312" s="1" t="s">
        <v>37</v>
      </c>
      <c r="W312" s="5" t="s">
        <v>614</v>
      </c>
      <c r="X312" s="4">
        <v>39</v>
      </c>
    </row>
    <row r="313" spans="1:24" x14ac:dyDescent="0.3">
      <c r="A313" s="1" t="s">
        <v>609</v>
      </c>
      <c r="B313" s="1" t="s">
        <v>68</v>
      </c>
      <c r="C313" s="1" t="s">
        <v>58</v>
      </c>
      <c r="D313" s="1" t="s">
        <v>13</v>
      </c>
      <c r="E313" s="4">
        <v>14</v>
      </c>
      <c r="F313" s="4">
        <v>10</v>
      </c>
      <c r="G313" s="1" t="s">
        <v>25</v>
      </c>
      <c r="H313" s="1" t="s">
        <v>37</v>
      </c>
      <c r="I313" s="5" t="s">
        <v>610</v>
      </c>
      <c r="J313" s="4">
        <v>90</v>
      </c>
      <c r="O313" s="1" t="s">
        <v>615</v>
      </c>
      <c r="P313" s="1" t="s">
        <v>18</v>
      </c>
      <c r="Q313" s="1" t="s">
        <v>12</v>
      </c>
      <c r="R313" s="1" t="s">
        <v>13</v>
      </c>
      <c r="S313" s="4">
        <v>17</v>
      </c>
      <c r="T313" s="4">
        <v>12</v>
      </c>
      <c r="U313" s="1" t="s">
        <v>14</v>
      </c>
      <c r="V313" s="1" t="s">
        <v>61</v>
      </c>
      <c r="W313" s="5" t="s">
        <v>616</v>
      </c>
      <c r="X313" s="4">
        <v>99</v>
      </c>
    </row>
    <row r="314" spans="1:24" x14ac:dyDescent="0.3">
      <c r="A314" s="1" t="s">
        <v>611</v>
      </c>
      <c r="B314" s="1" t="s">
        <v>18</v>
      </c>
      <c r="C314" s="1" t="s">
        <v>24</v>
      </c>
      <c r="D314" s="1" t="s">
        <v>31</v>
      </c>
      <c r="E314" s="4">
        <v>19</v>
      </c>
      <c r="F314" s="4">
        <v>12</v>
      </c>
      <c r="G314" s="1" t="s">
        <v>43</v>
      </c>
      <c r="H314" s="1" t="s">
        <v>26</v>
      </c>
      <c r="I314" s="5" t="s">
        <v>612</v>
      </c>
      <c r="J314" s="4">
        <v>82</v>
      </c>
      <c r="O314" s="1" t="s">
        <v>617</v>
      </c>
      <c r="P314" s="1" t="s">
        <v>35</v>
      </c>
      <c r="Q314" s="1" t="s">
        <v>12</v>
      </c>
      <c r="R314" s="1" t="s">
        <v>13</v>
      </c>
      <c r="S314" s="4">
        <v>15</v>
      </c>
      <c r="T314" s="4">
        <v>9</v>
      </c>
      <c r="U314" s="1" t="s">
        <v>25</v>
      </c>
      <c r="V314" s="1" t="s">
        <v>46</v>
      </c>
      <c r="W314" s="5" t="s">
        <v>155</v>
      </c>
      <c r="X314" s="4">
        <v>85</v>
      </c>
    </row>
    <row r="315" spans="1:24" x14ac:dyDescent="0.3">
      <c r="A315" s="1" t="s">
        <v>613</v>
      </c>
      <c r="B315" s="1" t="s">
        <v>68</v>
      </c>
      <c r="C315" s="1" t="s">
        <v>85</v>
      </c>
      <c r="D315" s="1" t="s">
        <v>31</v>
      </c>
      <c r="E315" s="4">
        <v>15</v>
      </c>
      <c r="F315" s="4">
        <v>9</v>
      </c>
      <c r="G315" s="1" t="s">
        <v>32</v>
      </c>
      <c r="H315" s="1" t="s">
        <v>37</v>
      </c>
      <c r="I315" s="5" t="s">
        <v>614</v>
      </c>
      <c r="J315" s="4">
        <v>39</v>
      </c>
      <c r="O315" s="1" t="s">
        <v>618</v>
      </c>
      <c r="P315" s="1" t="s">
        <v>73</v>
      </c>
      <c r="Q315" s="1" t="s">
        <v>85</v>
      </c>
      <c r="R315" s="1" t="s">
        <v>31</v>
      </c>
      <c r="S315" s="4">
        <v>14</v>
      </c>
      <c r="T315" s="4">
        <v>11</v>
      </c>
      <c r="U315" s="1" t="s">
        <v>25</v>
      </c>
      <c r="V315" s="1" t="s">
        <v>20</v>
      </c>
      <c r="W315" s="5" t="s">
        <v>619</v>
      </c>
      <c r="X315" s="4">
        <v>67</v>
      </c>
    </row>
    <row r="316" spans="1:24" x14ac:dyDescent="0.3">
      <c r="A316" s="1" t="s">
        <v>615</v>
      </c>
      <c r="B316" s="1" t="s">
        <v>18</v>
      </c>
      <c r="C316" s="1" t="s">
        <v>12</v>
      </c>
      <c r="D316" s="1" t="s">
        <v>13</v>
      </c>
      <c r="E316" s="4">
        <v>17</v>
      </c>
      <c r="F316" s="4">
        <v>12</v>
      </c>
      <c r="G316" s="1" t="s">
        <v>14</v>
      </c>
      <c r="H316" s="1" t="s">
        <v>61</v>
      </c>
      <c r="I316" s="5" t="s">
        <v>616</v>
      </c>
      <c r="J316" s="4">
        <v>99</v>
      </c>
      <c r="O316" s="1" t="s">
        <v>620</v>
      </c>
      <c r="P316" s="1" t="s">
        <v>84</v>
      </c>
      <c r="Q316" s="1" t="s">
        <v>24</v>
      </c>
      <c r="R316" s="1" t="s">
        <v>31</v>
      </c>
      <c r="S316" s="4">
        <v>19</v>
      </c>
      <c r="T316" s="4">
        <v>12</v>
      </c>
      <c r="U316" s="1" t="s">
        <v>14</v>
      </c>
      <c r="V316" s="1" t="s">
        <v>61</v>
      </c>
      <c r="W316" s="5" t="s">
        <v>621</v>
      </c>
      <c r="X316" s="4">
        <v>77</v>
      </c>
    </row>
    <row r="317" spans="1:24" x14ac:dyDescent="0.3">
      <c r="A317" s="1" t="s">
        <v>617</v>
      </c>
      <c r="B317" s="1" t="s">
        <v>35</v>
      </c>
      <c r="C317" s="1" t="s">
        <v>12</v>
      </c>
      <c r="D317" s="1" t="s">
        <v>13</v>
      </c>
      <c r="E317" s="4">
        <v>15</v>
      </c>
      <c r="F317" s="4">
        <v>9</v>
      </c>
      <c r="G317" s="1" t="s">
        <v>25</v>
      </c>
      <c r="H317" s="1" t="s">
        <v>46</v>
      </c>
      <c r="I317" s="5" t="s">
        <v>155</v>
      </c>
      <c r="J317" s="4">
        <v>85</v>
      </c>
      <c r="O317" s="1" t="s">
        <v>622</v>
      </c>
      <c r="P317" s="1" t="s">
        <v>23</v>
      </c>
      <c r="Q317" s="1" t="s">
        <v>96</v>
      </c>
      <c r="R317" s="1" t="s">
        <v>31</v>
      </c>
      <c r="S317" s="4">
        <v>17</v>
      </c>
      <c r="T317" s="4">
        <v>12</v>
      </c>
      <c r="U317" s="1" t="s">
        <v>43</v>
      </c>
      <c r="V317" s="1" t="s">
        <v>46</v>
      </c>
      <c r="W317" s="5" t="s">
        <v>170</v>
      </c>
      <c r="X317" s="4">
        <v>62</v>
      </c>
    </row>
    <row r="318" spans="1:24" x14ac:dyDescent="0.3">
      <c r="A318" s="1" t="s">
        <v>618</v>
      </c>
      <c r="B318" s="1" t="s">
        <v>73</v>
      </c>
      <c r="C318" s="1" t="s">
        <v>85</v>
      </c>
      <c r="D318" s="1" t="s">
        <v>31</v>
      </c>
      <c r="E318" s="4">
        <v>14</v>
      </c>
      <c r="F318" s="4">
        <v>11</v>
      </c>
      <c r="G318" s="1" t="s">
        <v>25</v>
      </c>
      <c r="H318" s="1" t="s">
        <v>20</v>
      </c>
      <c r="I318" s="5" t="s">
        <v>619</v>
      </c>
      <c r="J318" s="4">
        <v>67</v>
      </c>
      <c r="O318" s="1" t="s">
        <v>623</v>
      </c>
      <c r="P318" s="1" t="s">
        <v>29</v>
      </c>
      <c r="Q318" s="1" t="s">
        <v>12</v>
      </c>
      <c r="R318" s="1" t="s">
        <v>31</v>
      </c>
      <c r="S318" s="4">
        <v>19</v>
      </c>
      <c r="T318" s="4">
        <v>11</v>
      </c>
      <c r="U318" s="1" t="s">
        <v>25</v>
      </c>
      <c r="V318" s="1" t="s">
        <v>76</v>
      </c>
      <c r="W318" s="5" t="s">
        <v>624</v>
      </c>
      <c r="X318" s="4">
        <v>49</v>
      </c>
    </row>
    <row r="319" spans="1:24" x14ac:dyDescent="0.3">
      <c r="A319" s="1" t="s">
        <v>620</v>
      </c>
      <c r="B319" s="1" t="s">
        <v>84</v>
      </c>
      <c r="C319" s="1" t="s">
        <v>24</v>
      </c>
      <c r="D319" s="1" t="s">
        <v>31</v>
      </c>
      <c r="E319" s="4">
        <v>19</v>
      </c>
      <c r="F319" s="4">
        <v>12</v>
      </c>
      <c r="G319" s="1" t="s">
        <v>14</v>
      </c>
      <c r="H319" s="1" t="s">
        <v>61</v>
      </c>
      <c r="I319" s="5" t="s">
        <v>621</v>
      </c>
      <c r="J319" s="4">
        <v>77</v>
      </c>
      <c r="O319" s="1" t="s">
        <v>625</v>
      </c>
      <c r="P319" s="1" t="s">
        <v>68</v>
      </c>
      <c r="Q319" s="1" t="s">
        <v>96</v>
      </c>
      <c r="R319" s="1" t="s">
        <v>31</v>
      </c>
      <c r="S319" s="4">
        <v>19</v>
      </c>
      <c r="T319" s="4">
        <v>12</v>
      </c>
      <c r="U319" s="1" t="s">
        <v>32</v>
      </c>
      <c r="V319" s="1" t="s">
        <v>15</v>
      </c>
      <c r="W319" s="5" t="s">
        <v>626</v>
      </c>
      <c r="X319" s="4">
        <v>86</v>
      </c>
    </row>
    <row r="320" spans="1:24" x14ac:dyDescent="0.3">
      <c r="A320" s="1" t="s">
        <v>622</v>
      </c>
      <c r="B320" s="1" t="s">
        <v>23</v>
      </c>
      <c r="C320" s="1" t="s">
        <v>96</v>
      </c>
      <c r="D320" s="1" t="s">
        <v>31</v>
      </c>
      <c r="E320" s="4">
        <v>17</v>
      </c>
      <c r="F320" s="4">
        <v>12</v>
      </c>
      <c r="G320" s="1" t="s">
        <v>43</v>
      </c>
      <c r="H320" s="1" t="s">
        <v>46</v>
      </c>
      <c r="I320" s="5" t="s">
        <v>170</v>
      </c>
      <c r="J320" s="4">
        <v>62</v>
      </c>
      <c r="O320" s="1" t="s">
        <v>627</v>
      </c>
      <c r="P320" s="1" t="s">
        <v>35</v>
      </c>
      <c r="Q320" s="1" t="s">
        <v>85</v>
      </c>
      <c r="R320" s="1" t="s">
        <v>31</v>
      </c>
      <c r="S320" s="4">
        <v>16</v>
      </c>
      <c r="T320" s="4">
        <v>9</v>
      </c>
      <c r="U320" s="1" t="s">
        <v>43</v>
      </c>
      <c r="V320" s="1" t="s">
        <v>20</v>
      </c>
      <c r="W320" s="5" t="s">
        <v>628</v>
      </c>
      <c r="X320" s="4">
        <v>84</v>
      </c>
    </row>
    <row r="321" spans="1:24" x14ac:dyDescent="0.3">
      <c r="A321" s="1" t="s">
        <v>623</v>
      </c>
      <c r="B321" s="1" t="s">
        <v>29</v>
      </c>
      <c r="C321" s="1" t="s">
        <v>12</v>
      </c>
      <c r="D321" s="1" t="s">
        <v>31</v>
      </c>
      <c r="E321" s="4">
        <v>19</v>
      </c>
      <c r="F321" s="4">
        <v>11</v>
      </c>
      <c r="G321" s="1" t="s">
        <v>25</v>
      </c>
      <c r="H321" s="1" t="s">
        <v>76</v>
      </c>
      <c r="I321" s="5" t="s">
        <v>624</v>
      </c>
      <c r="J321" s="4">
        <v>49</v>
      </c>
      <c r="O321" s="1" t="s">
        <v>629</v>
      </c>
      <c r="P321" s="1" t="s">
        <v>35</v>
      </c>
      <c r="Q321" s="1" t="s">
        <v>58</v>
      </c>
      <c r="R321" s="1" t="s">
        <v>13</v>
      </c>
      <c r="S321" s="4">
        <v>18</v>
      </c>
      <c r="T321" s="4">
        <v>9</v>
      </c>
      <c r="U321" s="1" t="s">
        <v>25</v>
      </c>
      <c r="V321" s="1" t="s">
        <v>76</v>
      </c>
      <c r="W321" s="5" t="s">
        <v>105</v>
      </c>
      <c r="X321" s="4">
        <v>82</v>
      </c>
    </row>
    <row r="322" spans="1:24" x14ac:dyDescent="0.3">
      <c r="A322" s="1" t="s">
        <v>625</v>
      </c>
      <c r="B322" s="1" t="s">
        <v>68</v>
      </c>
      <c r="C322" s="1" t="s">
        <v>96</v>
      </c>
      <c r="D322" s="1" t="s">
        <v>31</v>
      </c>
      <c r="E322" s="4">
        <v>19</v>
      </c>
      <c r="F322" s="4">
        <v>12</v>
      </c>
      <c r="G322" s="1" t="s">
        <v>32</v>
      </c>
      <c r="H322" s="1" t="s">
        <v>15</v>
      </c>
      <c r="I322" s="5" t="s">
        <v>626</v>
      </c>
      <c r="J322" s="4">
        <v>86</v>
      </c>
      <c r="O322" s="1" t="s">
        <v>630</v>
      </c>
      <c r="P322" s="1" t="s">
        <v>84</v>
      </c>
      <c r="Q322" s="1" t="s">
        <v>96</v>
      </c>
      <c r="R322" s="1" t="s">
        <v>31</v>
      </c>
      <c r="S322" s="4">
        <v>19</v>
      </c>
      <c r="T322" s="4">
        <v>10</v>
      </c>
      <c r="U322" s="1" t="s">
        <v>43</v>
      </c>
      <c r="V322" s="1" t="s">
        <v>20</v>
      </c>
      <c r="W322" s="5" t="s">
        <v>631</v>
      </c>
      <c r="X322" s="4">
        <v>63</v>
      </c>
    </row>
    <row r="323" spans="1:24" x14ac:dyDescent="0.3">
      <c r="A323" s="1" t="s">
        <v>627</v>
      </c>
      <c r="B323" s="1" t="s">
        <v>35</v>
      </c>
      <c r="C323" s="1" t="s">
        <v>85</v>
      </c>
      <c r="D323" s="1" t="s">
        <v>31</v>
      </c>
      <c r="E323" s="4">
        <v>16</v>
      </c>
      <c r="F323" s="4">
        <v>9</v>
      </c>
      <c r="G323" s="1" t="s">
        <v>43</v>
      </c>
      <c r="H323" s="1" t="s">
        <v>20</v>
      </c>
      <c r="I323" s="5" t="s">
        <v>628</v>
      </c>
      <c r="J323" s="4">
        <v>84</v>
      </c>
      <c r="O323" s="1" t="s">
        <v>632</v>
      </c>
      <c r="P323" s="1" t="s">
        <v>54</v>
      </c>
      <c r="Q323" s="1" t="s">
        <v>55</v>
      </c>
      <c r="R323" s="1" t="s">
        <v>31</v>
      </c>
      <c r="S323" s="4">
        <v>19</v>
      </c>
      <c r="T323" s="4">
        <v>11</v>
      </c>
      <c r="U323" s="1" t="s">
        <v>25</v>
      </c>
      <c r="V323" s="1" t="s">
        <v>61</v>
      </c>
      <c r="W323" s="5" t="s">
        <v>633</v>
      </c>
      <c r="X323" s="4">
        <v>82</v>
      </c>
    </row>
    <row r="324" spans="1:24" x14ac:dyDescent="0.3">
      <c r="A324" s="1" t="s">
        <v>629</v>
      </c>
      <c r="B324" s="1" t="s">
        <v>35</v>
      </c>
      <c r="C324" s="1" t="s">
        <v>58</v>
      </c>
      <c r="D324" s="1" t="s">
        <v>13</v>
      </c>
      <c r="E324" s="4">
        <v>18</v>
      </c>
      <c r="F324" s="4">
        <v>9</v>
      </c>
      <c r="G324" s="1" t="s">
        <v>25</v>
      </c>
      <c r="H324" s="1" t="s">
        <v>76</v>
      </c>
      <c r="I324" s="5" t="s">
        <v>105</v>
      </c>
      <c r="J324" s="4">
        <v>82</v>
      </c>
      <c r="O324" s="1" t="s">
        <v>634</v>
      </c>
      <c r="P324" s="1" t="s">
        <v>54</v>
      </c>
      <c r="Q324" s="1" t="s">
        <v>30</v>
      </c>
      <c r="R324" s="1" t="s">
        <v>31</v>
      </c>
      <c r="S324" s="4">
        <v>15</v>
      </c>
      <c r="T324" s="4">
        <v>9</v>
      </c>
      <c r="U324" s="1" t="s">
        <v>25</v>
      </c>
      <c r="V324" s="1" t="s">
        <v>40</v>
      </c>
      <c r="W324" s="5" t="s">
        <v>635</v>
      </c>
      <c r="X324" s="4">
        <v>53</v>
      </c>
    </row>
    <row r="325" spans="1:24" x14ac:dyDescent="0.3">
      <c r="A325" s="1" t="s">
        <v>630</v>
      </c>
      <c r="B325" s="1" t="s">
        <v>84</v>
      </c>
      <c r="C325" s="1" t="s">
        <v>96</v>
      </c>
      <c r="D325" s="1" t="s">
        <v>31</v>
      </c>
      <c r="E325" s="4">
        <v>19</v>
      </c>
      <c r="F325" s="4">
        <v>10</v>
      </c>
      <c r="G325" s="1" t="s">
        <v>43</v>
      </c>
      <c r="H325" s="1" t="s">
        <v>20</v>
      </c>
      <c r="I325" s="5" t="s">
        <v>631</v>
      </c>
      <c r="J325" s="4">
        <v>63</v>
      </c>
      <c r="O325" s="1" t="s">
        <v>636</v>
      </c>
      <c r="P325" s="1" t="s">
        <v>11</v>
      </c>
      <c r="Q325" s="1" t="s">
        <v>79</v>
      </c>
      <c r="R325" s="1" t="s">
        <v>13</v>
      </c>
      <c r="S325" s="4">
        <v>19</v>
      </c>
      <c r="T325" s="4">
        <v>9</v>
      </c>
      <c r="U325" s="1" t="s">
        <v>32</v>
      </c>
      <c r="V325" s="1" t="s">
        <v>76</v>
      </c>
      <c r="W325" s="5" t="s">
        <v>637</v>
      </c>
      <c r="X325" s="4">
        <v>97</v>
      </c>
    </row>
    <row r="326" spans="1:24" x14ac:dyDescent="0.3">
      <c r="A326" s="1" t="s">
        <v>632</v>
      </c>
      <c r="B326" s="1" t="s">
        <v>54</v>
      </c>
      <c r="C326" s="1" t="s">
        <v>55</v>
      </c>
      <c r="D326" s="1" t="s">
        <v>31</v>
      </c>
      <c r="E326" s="4">
        <v>19</v>
      </c>
      <c r="F326" s="4">
        <v>11</v>
      </c>
      <c r="G326" s="1" t="s">
        <v>25</v>
      </c>
      <c r="H326" s="1" t="s">
        <v>61</v>
      </c>
      <c r="I326" s="5" t="s">
        <v>633</v>
      </c>
      <c r="J326" s="4">
        <v>82</v>
      </c>
      <c r="O326" s="1" t="s">
        <v>638</v>
      </c>
      <c r="P326" s="1" t="s">
        <v>54</v>
      </c>
      <c r="Q326" s="1" t="s">
        <v>12</v>
      </c>
      <c r="R326" s="1" t="s">
        <v>31</v>
      </c>
      <c r="S326" s="4">
        <v>15</v>
      </c>
      <c r="T326" s="4">
        <v>12</v>
      </c>
      <c r="U326" s="1" t="s">
        <v>43</v>
      </c>
      <c r="V326" s="1" t="s">
        <v>76</v>
      </c>
      <c r="W326" s="5" t="s">
        <v>639</v>
      </c>
      <c r="X326" s="4">
        <v>51</v>
      </c>
    </row>
    <row r="327" spans="1:24" x14ac:dyDescent="0.3">
      <c r="A327" s="1" t="s">
        <v>634</v>
      </c>
      <c r="B327" s="1" t="s">
        <v>54</v>
      </c>
      <c r="C327" s="1" t="s">
        <v>30</v>
      </c>
      <c r="D327" s="1" t="s">
        <v>31</v>
      </c>
      <c r="E327" s="4">
        <v>15</v>
      </c>
      <c r="F327" s="4">
        <v>9</v>
      </c>
      <c r="G327" s="1" t="s">
        <v>25</v>
      </c>
      <c r="H327" s="1" t="s">
        <v>40</v>
      </c>
      <c r="I327" s="5" t="s">
        <v>635</v>
      </c>
      <c r="J327" s="4">
        <v>53</v>
      </c>
      <c r="O327" s="1" t="s">
        <v>640</v>
      </c>
      <c r="P327" s="1" t="s">
        <v>84</v>
      </c>
      <c r="Q327" s="1" t="s">
        <v>79</v>
      </c>
      <c r="R327" s="1" t="s">
        <v>31</v>
      </c>
      <c r="S327" s="4">
        <v>14</v>
      </c>
      <c r="T327" s="4">
        <v>9</v>
      </c>
      <c r="U327" s="1" t="s">
        <v>14</v>
      </c>
      <c r="V327" s="1" t="s">
        <v>37</v>
      </c>
      <c r="W327" s="5" t="s">
        <v>641</v>
      </c>
      <c r="X327" s="4">
        <v>43</v>
      </c>
    </row>
    <row r="328" spans="1:24" x14ac:dyDescent="0.3">
      <c r="A328" s="1" t="s">
        <v>636</v>
      </c>
      <c r="B328" s="1" t="s">
        <v>11</v>
      </c>
      <c r="C328" s="1" t="s">
        <v>79</v>
      </c>
      <c r="D328" s="1" t="s">
        <v>13</v>
      </c>
      <c r="E328" s="4">
        <v>19</v>
      </c>
      <c r="F328" s="4">
        <v>9</v>
      </c>
      <c r="G328" s="1" t="s">
        <v>32</v>
      </c>
      <c r="H328" s="1" t="s">
        <v>76</v>
      </c>
      <c r="I328" s="5" t="s">
        <v>637</v>
      </c>
      <c r="J328" s="4">
        <v>97</v>
      </c>
      <c r="O328" s="1" t="s">
        <v>642</v>
      </c>
      <c r="P328" s="1" t="s">
        <v>18</v>
      </c>
      <c r="Q328" s="1" t="s">
        <v>19</v>
      </c>
      <c r="R328" s="1" t="s">
        <v>13</v>
      </c>
      <c r="S328" s="4">
        <v>14</v>
      </c>
      <c r="T328" s="4">
        <v>9</v>
      </c>
      <c r="U328" s="1" t="s">
        <v>43</v>
      </c>
      <c r="V328" s="1" t="s">
        <v>20</v>
      </c>
      <c r="W328" s="5" t="s">
        <v>643</v>
      </c>
      <c r="X328" s="4">
        <v>57</v>
      </c>
    </row>
    <row r="329" spans="1:24" x14ac:dyDescent="0.3">
      <c r="A329" s="1" t="s">
        <v>638</v>
      </c>
      <c r="B329" s="1" t="s">
        <v>54</v>
      </c>
      <c r="C329" s="1" t="s">
        <v>12</v>
      </c>
      <c r="D329" s="1" t="s">
        <v>31</v>
      </c>
      <c r="E329" s="4">
        <v>15</v>
      </c>
      <c r="F329" s="4">
        <v>12</v>
      </c>
      <c r="G329" s="1" t="s">
        <v>43</v>
      </c>
      <c r="H329" s="1" t="s">
        <v>76</v>
      </c>
      <c r="I329" s="5" t="s">
        <v>639</v>
      </c>
      <c r="J329" s="4">
        <v>51</v>
      </c>
      <c r="O329" s="1" t="s">
        <v>644</v>
      </c>
      <c r="P329" s="1" t="s">
        <v>51</v>
      </c>
      <c r="Q329" s="1" t="s">
        <v>36</v>
      </c>
      <c r="R329" s="1" t="s">
        <v>31</v>
      </c>
      <c r="S329" s="4">
        <v>16</v>
      </c>
      <c r="T329" s="4">
        <v>11</v>
      </c>
      <c r="U329" s="1" t="s">
        <v>43</v>
      </c>
      <c r="V329" s="1" t="s">
        <v>20</v>
      </c>
      <c r="W329" s="5" t="s">
        <v>645</v>
      </c>
      <c r="X329" s="4">
        <v>81</v>
      </c>
    </row>
    <row r="330" spans="1:24" x14ac:dyDescent="0.3">
      <c r="A330" s="1" t="s">
        <v>640</v>
      </c>
      <c r="B330" s="1" t="s">
        <v>84</v>
      </c>
      <c r="C330" s="1" t="s">
        <v>79</v>
      </c>
      <c r="D330" s="1" t="s">
        <v>31</v>
      </c>
      <c r="E330" s="4">
        <v>14</v>
      </c>
      <c r="F330" s="4">
        <v>9</v>
      </c>
      <c r="G330" s="1" t="s">
        <v>14</v>
      </c>
      <c r="H330" s="1" t="s">
        <v>37</v>
      </c>
      <c r="I330" s="5" t="s">
        <v>641</v>
      </c>
      <c r="J330" s="4">
        <v>43</v>
      </c>
      <c r="O330" s="1" t="s">
        <v>646</v>
      </c>
      <c r="P330" s="1" t="s">
        <v>84</v>
      </c>
      <c r="Q330" s="1" t="s">
        <v>12</v>
      </c>
      <c r="R330" s="1" t="s">
        <v>31</v>
      </c>
      <c r="S330" s="4">
        <v>17</v>
      </c>
      <c r="T330" s="4">
        <v>12</v>
      </c>
      <c r="U330" s="1" t="s">
        <v>25</v>
      </c>
      <c r="V330" s="1" t="s">
        <v>76</v>
      </c>
      <c r="W330" s="5" t="s">
        <v>647</v>
      </c>
      <c r="X330" s="4">
        <v>83</v>
      </c>
    </row>
    <row r="331" spans="1:24" x14ac:dyDescent="0.3">
      <c r="A331" s="1" t="s">
        <v>642</v>
      </c>
      <c r="B331" s="1" t="s">
        <v>18</v>
      </c>
      <c r="C331" s="1" t="s">
        <v>19</v>
      </c>
      <c r="D331" s="1" t="s">
        <v>13</v>
      </c>
      <c r="E331" s="4">
        <v>14</v>
      </c>
      <c r="F331" s="4">
        <v>9</v>
      </c>
      <c r="G331" s="1" t="s">
        <v>43</v>
      </c>
      <c r="H331" s="1" t="s">
        <v>20</v>
      </c>
      <c r="I331" s="5" t="s">
        <v>643</v>
      </c>
      <c r="J331" s="4">
        <v>57</v>
      </c>
      <c r="O331" s="1" t="s">
        <v>648</v>
      </c>
      <c r="P331" s="1" t="s">
        <v>51</v>
      </c>
      <c r="Q331" s="1" t="s">
        <v>79</v>
      </c>
      <c r="R331" s="1" t="s">
        <v>13</v>
      </c>
      <c r="S331" s="4">
        <v>14</v>
      </c>
      <c r="T331" s="4">
        <v>9</v>
      </c>
      <c r="U331" s="1" t="s">
        <v>25</v>
      </c>
      <c r="V331" s="1" t="s">
        <v>15</v>
      </c>
      <c r="W331" s="5" t="s">
        <v>649</v>
      </c>
      <c r="X331" s="4">
        <v>77</v>
      </c>
    </row>
    <row r="332" spans="1:24" x14ac:dyDescent="0.3">
      <c r="A332" s="1" t="s">
        <v>644</v>
      </c>
      <c r="B332" s="1" t="s">
        <v>51</v>
      </c>
      <c r="C332" s="1" t="s">
        <v>36</v>
      </c>
      <c r="D332" s="1" t="s">
        <v>31</v>
      </c>
      <c r="E332" s="4">
        <v>16</v>
      </c>
      <c r="F332" s="4">
        <v>11</v>
      </c>
      <c r="G332" s="1" t="s">
        <v>43</v>
      </c>
      <c r="H332" s="1" t="s">
        <v>20</v>
      </c>
      <c r="I332" s="5" t="s">
        <v>645</v>
      </c>
      <c r="J332" s="4">
        <v>81</v>
      </c>
      <c r="O332" s="1" t="s">
        <v>650</v>
      </c>
      <c r="P332" s="1" t="s">
        <v>23</v>
      </c>
      <c r="Q332" s="1" t="s">
        <v>24</v>
      </c>
      <c r="R332" s="1" t="s">
        <v>13</v>
      </c>
      <c r="S332" s="4">
        <v>17</v>
      </c>
      <c r="T332" s="4">
        <v>12</v>
      </c>
      <c r="U332" s="1" t="s">
        <v>25</v>
      </c>
      <c r="V332" s="1" t="s">
        <v>46</v>
      </c>
      <c r="W332" s="5" t="s">
        <v>651</v>
      </c>
      <c r="X332" s="4">
        <v>45</v>
      </c>
    </row>
    <row r="333" spans="1:24" x14ac:dyDescent="0.3">
      <c r="A333" s="1" t="s">
        <v>646</v>
      </c>
      <c r="B333" s="1" t="s">
        <v>84</v>
      </c>
      <c r="C333" s="1" t="s">
        <v>12</v>
      </c>
      <c r="D333" s="1" t="s">
        <v>31</v>
      </c>
      <c r="E333" s="4">
        <v>17</v>
      </c>
      <c r="F333" s="4">
        <v>12</v>
      </c>
      <c r="G333" s="1" t="s">
        <v>25</v>
      </c>
      <c r="H333" s="1" t="s">
        <v>76</v>
      </c>
      <c r="I333" s="5" t="s">
        <v>647</v>
      </c>
      <c r="J333" s="4">
        <v>83</v>
      </c>
      <c r="O333" s="1" t="s">
        <v>652</v>
      </c>
      <c r="P333" s="1" t="s">
        <v>51</v>
      </c>
      <c r="Q333" s="1" t="s">
        <v>55</v>
      </c>
      <c r="R333" s="1" t="s">
        <v>13</v>
      </c>
      <c r="S333" s="4">
        <v>16</v>
      </c>
      <c r="T333" s="4">
        <v>12</v>
      </c>
      <c r="U333" s="1" t="s">
        <v>32</v>
      </c>
      <c r="V333" s="1" t="s">
        <v>61</v>
      </c>
      <c r="W333" s="5" t="s">
        <v>653</v>
      </c>
      <c r="X333" s="4">
        <v>45</v>
      </c>
    </row>
    <row r="334" spans="1:24" x14ac:dyDescent="0.3">
      <c r="A334" s="1" t="s">
        <v>648</v>
      </c>
      <c r="B334" s="1" t="s">
        <v>51</v>
      </c>
      <c r="C334" s="1" t="s">
        <v>79</v>
      </c>
      <c r="D334" s="1" t="s">
        <v>13</v>
      </c>
      <c r="E334" s="4">
        <v>14</v>
      </c>
      <c r="F334" s="4">
        <v>9</v>
      </c>
      <c r="G334" s="1" t="s">
        <v>25</v>
      </c>
      <c r="H334" s="1" t="s">
        <v>15</v>
      </c>
      <c r="I334" s="5" t="s">
        <v>649</v>
      </c>
      <c r="J334" s="4">
        <v>77</v>
      </c>
      <c r="O334" s="1" t="s">
        <v>654</v>
      </c>
      <c r="P334" s="1" t="s">
        <v>18</v>
      </c>
      <c r="Q334" s="1" t="s">
        <v>24</v>
      </c>
      <c r="R334" s="1" t="s">
        <v>31</v>
      </c>
      <c r="S334" s="4">
        <v>14</v>
      </c>
      <c r="T334" s="4">
        <v>12</v>
      </c>
      <c r="U334" s="1" t="s">
        <v>14</v>
      </c>
      <c r="V334" s="1" t="s">
        <v>46</v>
      </c>
      <c r="W334" s="5" t="s">
        <v>655</v>
      </c>
      <c r="X334" s="4">
        <v>42</v>
      </c>
    </row>
    <row r="335" spans="1:24" x14ac:dyDescent="0.3">
      <c r="A335" s="1" t="s">
        <v>650</v>
      </c>
      <c r="B335" s="1" t="s">
        <v>23</v>
      </c>
      <c r="C335" s="1" t="s">
        <v>24</v>
      </c>
      <c r="D335" s="1" t="s">
        <v>13</v>
      </c>
      <c r="E335" s="4">
        <v>17</v>
      </c>
      <c r="F335" s="4">
        <v>12</v>
      </c>
      <c r="G335" s="1" t="s">
        <v>25</v>
      </c>
      <c r="H335" s="1" t="s">
        <v>46</v>
      </c>
      <c r="I335" s="5" t="s">
        <v>651</v>
      </c>
      <c r="J335" s="4">
        <v>45</v>
      </c>
      <c r="O335" s="1" t="s">
        <v>656</v>
      </c>
      <c r="P335" s="1" t="s">
        <v>29</v>
      </c>
      <c r="Q335" s="1" t="s">
        <v>30</v>
      </c>
      <c r="R335" s="1" t="s">
        <v>13</v>
      </c>
      <c r="S335" s="4">
        <v>19</v>
      </c>
      <c r="T335" s="4">
        <v>10</v>
      </c>
      <c r="U335" s="1" t="s">
        <v>43</v>
      </c>
      <c r="V335" s="1" t="s">
        <v>15</v>
      </c>
      <c r="W335" s="5" t="s">
        <v>657</v>
      </c>
      <c r="X335" s="4">
        <v>85</v>
      </c>
    </row>
    <row r="336" spans="1:24" x14ac:dyDescent="0.3">
      <c r="A336" s="1" t="s">
        <v>652</v>
      </c>
      <c r="B336" s="1" t="s">
        <v>51</v>
      </c>
      <c r="C336" s="1" t="s">
        <v>55</v>
      </c>
      <c r="D336" s="1" t="s">
        <v>13</v>
      </c>
      <c r="E336" s="4">
        <v>16</v>
      </c>
      <c r="F336" s="4">
        <v>12</v>
      </c>
      <c r="G336" s="1" t="s">
        <v>32</v>
      </c>
      <c r="H336" s="1" t="s">
        <v>61</v>
      </c>
      <c r="I336" s="5" t="s">
        <v>653</v>
      </c>
      <c r="J336" s="4">
        <v>45</v>
      </c>
      <c r="O336" s="1" t="s">
        <v>658</v>
      </c>
      <c r="P336" s="1" t="s">
        <v>11</v>
      </c>
      <c r="Q336" s="1" t="s">
        <v>96</v>
      </c>
      <c r="R336" s="1" t="s">
        <v>31</v>
      </c>
      <c r="S336" s="4">
        <v>20</v>
      </c>
      <c r="T336" s="4">
        <v>10</v>
      </c>
      <c r="U336" s="1" t="s">
        <v>43</v>
      </c>
      <c r="V336" s="1" t="s">
        <v>37</v>
      </c>
      <c r="W336" s="5" t="s">
        <v>659</v>
      </c>
      <c r="X336" s="4">
        <v>62</v>
      </c>
    </row>
    <row r="337" spans="1:24" x14ac:dyDescent="0.3">
      <c r="A337" s="1" t="s">
        <v>654</v>
      </c>
      <c r="B337" s="1" t="s">
        <v>18</v>
      </c>
      <c r="C337" s="1" t="s">
        <v>24</v>
      </c>
      <c r="D337" s="1" t="s">
        <v>31</v>
      </c>
      <c r="E337" s="4">
        <v>14</v>
      </c>
      <c r="F337" s="4">
        <v>12</v>
      </c>
      <c r="G337" s="1" t="s">
        <v>14</v>
      </c>
      <c r="H337" s="1" t="s">
        <v>46</v>
      </c>
      <c r="I337" s="5" t="s">
        <v>655</v>
      </c>
      <c r="J337" s="4">
        <v>42</v>
      </c>
      <c r="O337" s="1" t="s">
        <v>660</v>
      </c>
      <c r="P337" s="1" t="s">
        <v>23</v>
      </c>
      <c r="Q337" s="1" t="s">
        <v>12</v>
      </c>
      <c r="R337" s="1" t="s">
        <v>13</v>
      </c>
      <c r="S337" s="4">
        <v>16</v>
      </c>
      <c r="T337" s="4">
        <v>11</v>
      </c>
      <c r="U337" s="1" t="s">
        <v>25</v>
      </c>
      <c r="V337" s="1" t="s">
        <v>40</v>
      </c>
      <c r="W337" s="5" t="s">
        <v>41</v>
      </c>
      <c r="X337" s="4">
        <v>86</v>
      </c>
    </row>
    <row r="338" spans="1:24" x14ac:dyDescent="0.3">
      <c r="A338" s="1" t="s">
        <v>656</v>
      </c>
      <c r="B338" s="1" t="s">
        <v>29</v>
      </c>
      <c r="C338" s="1" t="s">
        <v>30</v>
      </c>
      <c r="D338" s="1" t="s">
        <v>13</v>
      </c>
      <c r="E338" s="4">
        <v>19</v>
      </c>
      <c r="F338" s="4">
        <v>10</v>
      </c>
      <c r="G338" s="1" t="s">
        <v>43</v>
      </c>
      <c r="H338" s="1" t="s">
        <v>15</v>
      </c>
      <c r="I338" s="5" t="s">
        <v>657</v>
      </c>
      <c r="J338" s="4">
        <v>85</v>
      </c>
      <c r="O338" s="1" t="s">
        <v>661</v>
      </c>
      <c r="P338" s="1" t="s">
        <v>54</v>
      </c>
      <c r="Q338" s="1" t="s">
        <v>12</v>
      </c>
      <c r="R338" s="1" t="s">
        <v>31</v>
      </c>
      <c r="S338" s="4">
        <v>19</v>
      </c>
      <c r="T338" s="4">
        <v>10</v>
      </c>
      <c r="U338" s="1" t="s">
        <v>14</v>
      </c>
      <c r="V338" s="1" t="s">
        <v>76</v>
      </c>
      <c r="W338" s="5" t="s">
        <v>662</v>
      </c>
      <c r="X338" s="4">
        <v>54</v>
      </c>
    </row>
    <row r="339" spans="1:24" x14ac:dyDescent="0.3">
      <c r="A339" s="1" t="s">
        <v>658</v>
      </c>
      <c r="B339" s="1" t="s">
        <v>11</v>
      </c>
      <c r="C339" s="1" t="s">
        <v>96</v>
      </c>
      <c r="D339" s="1" t="s">
        <v>31</v>
      </c>
      <c r="E339" s="4">
        <v>20</v>
      </c>
      <c r="F339" s="4">
        <v>10</v>
      </c>
      <c r="G339" s="1" t="s">
        <v>43</v>
      </c>
      <c r="H339" s="1" t="s">
        <v>37</v>
      </c>
      <c r="I339" s="5" t="s">
        <v>659</v>
      </c>
      <c r="J339" s="4">
        <v>62</v>
      </c>
      <c r="O339" s="1" t="s">
        <v>663</v>
      </c>
      <c r="P339" s="1" t="s">
        <v>73</v>
      </c>
      <c r="Q339" s="1" t="s">
        <v>36</v>
      </c>
      <c r="R339" s="1" t="s">
        <v>13</v>
      </c>
      <c r="S339" s="4">
        <v>20</v>
      </c>
      <c r="T339" s="4">
        <v>12</v>
      </c>
      <c r="U339" s="1" t="s">
        <v>25</v>
      </c>
      <c r="V339" s="1" t="s">
        <v>40</v>
      </c>
      <c r="W339" s="5" t="s">
        <v>664</v>
      </c>
      <c r="X339" s="4">
        <v>50</v>
      </c>
    </row>
    <row r="340" spans="1:24" x14ac:dyDescent="0.3">
      <c r="A340" s="1" t="s">
        <v>660</v>
      </c>
      <c r="B340" s="1" t="s">
        <v>23</v>
      </c>
      <c r="C340" s="1" t="s">
        <v>12</v>
      </c>
      <c r="D340" s="1" t="s">
        <v>13</v>
      </c>
      <c r="E340" s="4">
        <v>16</v>
      </c>
      <c r="F340" s="4">
        <v>11</v>
      </c>
      <c r="G340" s="1" t="s">
        <v>25</v>
      </c>
      <c r="H340" s="1" t="s">
        <v>40</v>
      </c>
      <c r="I340" s="5" t="s">
        <v>41</v>
      </c>
      <c r="J340" s="4">
        <v>86</v>
      </c>
      <c r="O340" s="1" t="s">
        <v>665</v>
      </c>
      <c r="P340" s="1" t="s">
        <v>51</v>
      </c>
      <c r="Q340" s="1" t="s">
        <v>96</v>
      </c>
      <c r="R340" s="1" t="s">
        <v>13</v>
      </c>
      <c r="S340" s="4">
        <v>14</v>
      </c>
      <c r="T340" s="4">
        <v>10</v>
      </c>
      <c r="U340" s="1" t="s">
        <v>14</v>
      </c>
      <c r="V340" s="1" t="s">
        <v>37</v>
      </c>
      <c r="W340" s="5" t="s">
        <v>666</v>
      </c>
      <c r="X340" s="4">
        <v>68</v>
      </c>
    </row>
    <row r="341" spans="1:24" x14ac:dyDescent="0.3">
      <c r="A341" s="1" t="s">
        <v>661</v>
      </c>
      <c r="B341" s="1" t="s">
        <v>54</v>
      </c>
      <c r="C341" s="1" t="s">
        <v>12</v>
      </c>
      <c r="D341" s="1" t="s">
        <v>31</v>
      </c>
      <c r="E341" s="4">
        <v>19</v>
      </c>
      <c r="F341" s="4">
        <v>10</v>
      </c>
      <c r="G341" s="1" t="s">
        <v>14</v>
      </c>
      <c r="H341" s="1" t="s">
        <v>76</v>
      </c>
      <c r="I341" s="5" t="s">
        <v>662</v>
      </c>
      <c r="J341" s="4">
        <v>54</v>
      </c>
      <c r="O341" s="1" t="s">
        <v>667</v>
      </c>
      <c r="P341" s="1" t="s">
        <v>35</v>
      </c>
      <c r="Q341" s="1" t="s">
        <v>12</v>
      </c>
      <c r="R341" s="1" t="s">
        <v>31</v>
      </c>
      <c r="S341" s="4">
        <v>15</v>
      </c>
      <c r="T341" s="4">
        <v>12</v>
      </c>
      <c r="U341" s="1" t="s">
        <v>14</v>
      </c>
      <c r="V341" s="1" t="s">
        <v>46</v>
      </c>
      <c r="W341" s="5" t="s">
        <v>668</v>
      </c>
      <c r="X341" s="4">
        <v>82</v>
      </c>
    </row>
    <row r="342" spans="1:24" x14ac:dyDescent="0.3">
      <c r="A342" s="1" t="s">
        <v>663</v>
      </c>
      <c r="B342" s="1" t="s">
        <v>73</v>
      </c>
      <c r="C342" s="1" t="s">
        <v>36</v>
      </c>
      <c r="D342" s="1" t="s">
        <v>13</v>
      </c>
      <c r="E342" s="4">
        <v>20</v>
      </c>
      <c r="F342" s="4">
        <v>12</v>
      </c>
      <c r="G342" s="1" t="s">
        <v>25</v>
      </c>
      <c r="H342" s="1" t="s">
        <v>40</v>
      </c>
      <c r="I342" s="5" t="s">
        <v>664</v>
      </c>
      <c r="J342" s="4">
        <v>50</v>
      </c>
      <c r="O342" s="1" t="s">
        <v>669</v>
      </c>
      <c r="P342" s="1" t="s">
        <v>11</v>
      </c>
      <c r="Q342" s="1" t="s">
        <v>24</v>
      </c>
      <c r="R342" s="1" t="s">
        <v>13</v>
      </c>
      <c r="S342" s="4">
        <v>19</v>
      </c>
      <c r="T342" s="4">
        <v>9</v>
      </c>
      <c r="U342" s="1" t="s">
        <v>32</v>
      </c>
      <c r="V342" s="1" t="s">
        <v>40</v>
      </c>
      <c r="W342" s="5" t="s">
        <v>670</v>
      </c>
      <c r="X342" s="4">
        <v>51</v>
      </c>
    </row>
    <row r="343" spans="1:24" x14ac:dyDescent="0.3">
      <c r="A343" s="1" t="s">
        <v>665</v>
      </c>
      <c r="B343" s="1" t="s">
        <v>51</v>
      </c>
      <c r="C343" s="1" t="s">
        <v>96</v>
      </c>
      <c r="D343" s="1" t="s">
        <v>13</v>
      </c>
      <c r="E343" s="4">
        <v>14</v>
      </c>
      <c r="F343" s="4">
        <v>10</v>
      </c>
      <c r="G343" s="1" t="s">
        <v>14</v>
      </c>
      <c r="H343" s="1" t="s">
        <v>37</v>
      </c>
      <c r="I343" s="5" t="s">
        <v>666</v>
      </c>
      <c r="J343" s="4">
        <v>68</v>
      </c>
      <c r="O343" s="1" t="s">
        <v>671</v>
      </c>
      <c r="P343" s="1" t="s">
        <v>11</v>
      </c>
      <c r="Q343" s="1" t="s">
        <v>36</v>
      </c>
      <c r="R343" s="1" t="s">
        <v>13</v>
      </c>
      <c r="S343" s="4">
        <v>14</v>
      </c>
      <c r="T343" s="4">
        <v>10</v>
      </c>
      <c r="U343" s="1" t="s">
        <v>32</v>
      </c>
      <c r="V343" s="1" t="s">
        <v>40</v>
      </c>
      <c r="W343" s="5" t="s">
        <v>672</v>
      </c>
      <c r="X343" s="4">
        <v>64</v>
      </c>
    </row>
    <row r="344" spans="1:24" x14ac:dyDescent="0.3">
      <c r="A344" s="1" t="s">
        <v>667</v>
      </c>
      <c r="B344" s="1" t="s">
        <v>35</v>
      </c>
      <c r="C344" s="1" t="s">
        <v>12</v>
      </c>
      <c r="D344" s="1" t="s">
        <v>31</v>
      </c>
      <c r="E344" s="4">
        <v>15</v>
      </c>
      <c r="F344" s="4">
        <v>12</v>
      </c>
      <c r="G344" s="1" t="s">
        <v>14</v>
      </c>
      <c r="H344" s="1" t="s">
        <v>46</v>
      </c>
      <c r="I344" s="5" t="s">
        <v>668</v>
      </c>
      <c r="J344" s="4">
        <v>82</v>
      </c>
      <c r="O344" s="1" t="s">
        <v>673</v>
      </c>
      <c r="P344" s="1" t="s">
        <v>11</v>
      </c>
      <c r="Q344" s="1" t="s">
        <v>19</v>
      </c>
      <c r="R344" s="1" t="s">
        <v>31</v>
      </c>
      <c r="S344" s="4">
        <v>17</v>
      </c>
      <c r="T344" s="4">
        <v>10</v>
      </c>
      <c r="U344" s="1" t="s">
        <v>32</v>
      </c>
      <c r="V344" s="1" t="s">
        <v>46</v>
      </c>
      <c r="W344" s="5" t="s">
        <v>674</v>
      </c>
      <c r="X344" s="4">
        <v>85</v>
      </c>
    </row>
    <row r="345" spans="1:24" x14ac:dyDescent="0.3">
      <c r="A345" s="1" t="s">
        <v>669</v>
      </c>
      <c r="B345" s="1" t="s">
        <v>11</v>
      </c>
      <c r="C345" s="1" t="s">
        <v>24</v>
      </c>
      <c r="D345" s="1" t="s">
        <v>13</v>
      </c>
      <c r="E345" s="4">
        <v>19</v>
      </c>
      <c r="F345" s="4">
        <v>9</v>
      </c>
      <c r="G345" s="1" t="s">
        <v>32</v>
      </c>
      <c r="H345" s="1" t="s">
        <v>40</v>
      </c>
      <c r="I345" s="5" t="s">
        <v>670</v>
      </c>
      <c r="J345" s="4">
        <v>51</v>
      </c>
      <c r="O345" s="1" t="s">
        <v>675</v>
      </c>
      <c r="P345" s="1" t="s">
        <v>73</v>
      </c>
      <c r="Q345" s="1" t="s">
        <v>24</v>
      </c>
      <c r="R345" s="1" t="s">
        <v>13</v>
      </c>
      <c r="S345" s="4">
        <v>19</v>
      </c>
      <c r="T345" s="4">
        <v>11</v>
      </c>
      <c r="U345" s="1" t="s">
        <v>14</v>
      </c>
      <c r="V345" s="1" t="s">
        <v>37</v>
      </c>
      <c r="W345" s="5" t="s">
        <v>676</v>
      </c>
      <c r="X345" s="4">
        <v>51</v>
      </c>
    </row>
    <row r="346" spans="1:24" x14ac:dyDescent="0.3">
      <c r="A346" s="1" t="s">
        <v>671</v>
      </c>
      <c r="B346" s="1" t="s">
        <v>11</v>
      </c>
      <c r="C346" s="1" t="s">
        <v>36</v>
      </c>
      <c r="D346" s="1" t="s">
        <v>13</v>
      </c>
      <c r="E346" s="4">
        <v>14</v>
      </c>
      <c r="F346" s="4">
        <v>10</v>
      </c>
      <c r="G346" s="1" t="s">
        <v>32</v>
      </c>
      <c r="H346" s="1" t="s">
        <v>40</v>
      </c>
      <c r="I346" s="5" t="s">
        <v>672</v>
      </c>
      <c r="J346" s="4">
        <v>64</v>
      </c>
      <c r="O346" s="1" t="s">
        <v>677</v>
      </c>
      <c r="P346" s="1" t="s">
        <v>23</v>
      </c>
      <c r="Q346" s="1" t="s">
        <v>85</v>
      </c>
      <c r="R346" s="1" t="s">
        <v>13</v>
      </c>
      <c r="S346" s="4">
        <v>20</v>
      </c>
      <c r="T346" s="4">
        <v>10</v>
      </c>
      <c r="U346" s="1" t="s">
        <v>32</v>
      </c>
      <c r="V346" s="1" t="s">
        <v>40</v>
      </c>
      <c r="W346" s="5" t="s">
        <v>678</v>
      </c>
      <c r="X346" s="4">
        <v>56</v>
      </c>
    </row>
    <row r="347" spans="1:24" x14ac:dyDescent="0.3">
      <c r="A347" s="1" t="s">
        <v>673</v>
      </c>
      <c r="B347" s="1" t="s">
        <v>11</v>
      </c>
      <c r="C347" s="1" t="s">
        <v>19</v>
      </c>
      <c r="D347" s="1" t="s">
        <v>31</v>
      </c>
      <c r="E347" s="4">
        <v>17</v>
      </c>
      <c r="F347" s="4">
        <v>10</v>
      </c>
      <c r="G347" s="1" t="s">
        <v>32</v>
      </c>
      <c r="H347" s="1" t="s">
        <v>46</v>
      </c>
      <c r="I347" s="5" t="s">
        <v>674</v>
      </c>
      <c r="J347" s="4">
        <v>85</v>
      </c>
      <c r="O347" s="1" t="s">
        <v>679</v>
      </c>
      <c r="P347" s="1" t="s">
        <v>18</v>
      </c>
      <c r="Q347" s="1" t="s">
        <v>96</v>
      </c>
      <c r="R347" s="1" t="s">
        <v>13</v>
      </c>
      <c r="S347" s="4">
        <v>14</v>
      </c>
      <c r="T347" s="4">
        <v>12</v>
      </c>
      <c r="U347" s="1" t="s">
        <v>32</v>
      </c>
      <c r="V347" s="1" t="s">
        <v>46</v>
      </c>
      <c r="W347" s="5" t="s">
        <v>680</v>
      </c>
      <c r="X347" s="4">
        <v>44</v>
      </c>
    </row>
    <row r="348" spans="1:24" x14ac:dyDescent="0.3">
      <c r="A348" s="1" t="s">
        <v>675</v>
      </c>
      <c r="B348" s="1" t="s">
        <v>73</v>
      </c>
      <c r="C348" s="1" t="s">
        <v>24</v>
      </c>
      <c r="D348" s="1" t="s">
        <v>13</v>
      </c>
      <c r="E348" s="4">
        <v>19</v>
      </c>
      <c r="F348" s="4">
        <v>11</v>
      </c>
      <c r="G348" s="1" t="s">
        <v>14</v>
      </c>
      <c r="H348" s="1" t="s">
        <v>37</v>
      </c>
      <c r="I348" s="5" t="s">
        <v>676</v>
      </c>
      <c r="J348" s="4">
        <v>51</v>
      </c>
      <c r="O348" s="1" t="s">
        <v>681</v>
      </c>
      <c r="P348" s="1" t="s">
        <v>35</v>
      </c>
      <c r="Q348" s="1" t="s">
        <v>36</v>
      </c>
      <c r="R348" s="1" t="s">
        <v>13</v>
      </c>
      <c r="S348" s="4">
        <v>14</v>
      </c>
      <c r="T348" s="4">
        <v>9</v>
      </c>
      <c r="U348" s="1" t="s">
        <v>43</v>
      </c>
      <c r="V348" s="1" t="s">
        <v>46</v>
      </c>
      <c r="W348" s="5" t="s">
        <v>682</v>
      </c>
      <c r="X348" s="4">
        <v>67</v>
      </c>
    </row>
    <row r="349" spans="1:24" x14ac:dyDescent="0.3">
      <c r="A349" s="1" t="s">
        <v>677</v>
      </c>
      <c r="B349" s="1" t="s">
        <v>23</v>
      </c>
      <c r="C349" s="1" t="s">
        <v>85</v>
      </c>
      <c r="D349" s="1" t="s">
        <v>13</v>
      </c>
      <c r="E349" s="4">
        <v>20</v>
      </c>
      <c r="F349" s="4">
        <v>10</v>
      </c>
      <c r="G349" s="1" t="s">
        <v>32</v>
      </c>
      <c r="H349" s="1" t="s">
        <v>40</v>
      </c>
      <c r="I349" s="5" t="s">
        <v>678</v>
      </c>
      <c r="J349" s="4">
        <v>56</v>
      </c>
      <c r="O349" s="1" t="s">
        <v>683</v>
      </c>
      <c r="P349" s="1" t="s">
        <v>84</v>
      </c>
      <c r="Q349" s="1" t="s">
        <v>55</v>
      </c>
      <c r="R349" s="1" t="s">
        <v>31</v>
      </c>
      <c r="S349" s="4">
        <v>16</v>
      </c>
      <c r="T349" s="4">
        <v>12</v>
      </c>
      <c r="U349" s="1" t="s">
        <v>14</v>
      </c>
      <c r="V349" s="1" t="s">
        <v>76</v>
      </c>
      <c r="W349" s="5" t="s">
        <v>125</v>
      </c>
      <c r="X349" s="4">
        <v>60</v>
      </c>
    </row>
    <row r="350" spans="1:24" x14ac:dyDescent="0.3">
      <c r="A350" s="1" t="s">
        <v>679</v>
      </c>
      <c r="B350" s="1" t="s">
        <v>18</v>
      </c>
      <c r="C350" s="1" t="s">
        <v>96</v>
      </c>
      <c r="D350" s="1" t="s">
        <v>13</v>
      </c>
      <c r="E350" s="4">
        <v>14</v>
      </c>
      <c r="F350" s="4">
        <v>12</v>
      </c>
      <c r="G350" s="1" t="s">
        <v>32</v>
      </c>
      <c r="H350" s="1" t="s">
        <v>46</v>
      </c>
      <c r="I350" s="5" t="s">
        <v>680</v>
      </c>
      <c r="J350" s="4">
        <v>44</v>
      </c>
      <c r="O350" s="1" t="s">
        <v>684</v>
      </c>
      <c r="P350" s="1" t="s">
        <v>54</v>
      </c>
      <c r="Q350" s="1" t="s">
        <v>24</v>
      </c>
      <c r="R350" s="1" t="s">
        <v>31</v>
      </c>
      <c r="S350" s="4">
        <v>17</v>
      </c>
      <c r="T350" s="4">
        <v>10</v>
      </c>
      <c r="U350" s="1" t="s">
        <v>43</v>
      </c>
      <c r="V350" s="1" t="s">
        <v>46</v>
      </c>
      <c r="W350" s="5" t="s">
        <v>685</v>
      </c>
      <c r="X350" s="4">
        <v>74</v>
      </c>
    </row>
    <row r="351" spans="1:24" x14ac:dyDescent="0.3">
      <c r="A351" s="1" t="s">
        <v>681</v>
      </c>
      <c r="B351" s="1" t="s">
        <v>35</v>
      </c>
      <c r="C351" s="1" t="s">
        <v>36</v>
      </c>
      <c r="D351" s="1" t="s">
        <v>13</v>
      </c>
      <c r="E351" s="4">
        <v>14</v>
      </c>
      <c r="F351" s="4">
        <v>9</v>
      </c>
      <c r="G351" s="1" t="s">
        <v>43</v>
      </c>
      <c r="H351" s="1" t="s">
        <v>46</v>
      </c>
      <c r="I351" s="5" t="s">
        <v>682</v>
      </c>
      <c r="J351" s="4">
        <v>67</v>
      </c>
      <c r="O351" s="1" t="s">
        <v>686</v>
      </c>
      <c r="P351" s="1" t="s">
        <v>23</v>
      </c>
      <c r="Q351" s="1" t="s">
        <v>96</v>
      </c>
      <c r="R351" s="1" t="s">
        <v>31</v>
      </c>
      <c r="S351" s="4">
        <v>16</v>
      </c>
      <c r="T351" s="4">
        <v>9</v>
      </c>
      <c r="U351" s="1" t="s">
        <v>25</v>
      </c>
      <c r="V351" s="1" t="s">
        <v>20</v>
      </c>
      <c r="W351" s="5" t="s">
        <v>277</v>
      </c>
      <c r="X351" s="4">
        <v>71</v>
      </c>
    </row>
    <row r="352" spans="1:24" x14ac:dyDescent="0.3">
      <c r="A352" s="1" t="s">
        <v>683</v>
      </c>
      <c r="B352" s="1" t="s">
        <v>84</v>
      </c>
      <c r="C352" s="1" t="s">
        <v>55</v>
      </c>
      <c r="D352" s="1" t="s">
        <v>31</v>
      </c>
      <c r="E352" s="4">
        <v>16</v>
      </c>
      <c r="F352" s="4">
        <v>12</v>
      </c>
      <c r="G352" s="1" t="s">
        <v>14</v>
      </c>
      <c r="H352" s="1" t="s">
        <v>76</v>
      </c>
      <c r="I352" s="5" t="s">
        <v>125</v>
      </c>
      <c r="J352" s="4">
        <v>60</v>
      </c>
      <c r="O352" s="1" t="s">
        <v>687</v>
      </c>
      <c r="P352" s="1" t="s">
        <v>84</v>
      </c>
      <c r="Q352" s="1" t="s">
        <v>19</v>
      </c>
      <c r="R352" s="1" t="s">
        <v>13</v>
      </c>
      <c r="S352" s="4">
        <v>16</v>
      </c>
      <c r="T352" s="4">
        <v>10</v>
      </c>
      <c r="U352" s="1" t="s">
        <v>25</v>
      </c>
      <c r="V352" s="1" t="s">
        <v>46</v>
      </c>
      <c r="W352" s="5" t="s">
        <v>564</v>
      </c>
      <c r="X352" s="4">
        <v>52</v>
      </c>
    </row>
    <row r="353" spans="1:24" x14ac:dyDescent="0.3">
      <c r="A353" s="1" t="s">
        <v>684</v>
      </c>
      <c r="B353" s="1" t="s">
        <v>54</v>
      </c>
      <c r="C353" s="1" t="s">
        <v>24</v>
      </c>
      <c r="D353" s="1" t="s">
        <v>31</v>
      </c>
      <c r="E353" s="4">
        <v>17</v>
      </c>
      <c r="F353" s="4">
        <v>10</v>
      </c>
      <c r="G353" s="1" t="s">
        <v>43</v>
      </c>
      <c r="H353" s="1" t="s">
        <v>46</v>
      </c>
      <c r="I353" s="5" t="s">
        <v>685</v>
      </c>
      <c r="J353" s="4">
        <v>74</v>
      </c>
      <c r="O353" s="1" t="s">
        <v>688</v>
      </c>
      <c r="P353" s="1" t="s">
        <v>23</v>
      </c>
      <c r="Q353" s="1" t="s">
        <v>96</v>
      </c>
      <c r="R353" s="1" t="s">
        <v>31</v>
      </c>
      <c r="S353" s="4">
        <v>19</v>
      </c>
      <c r="T353" s="4">
        <v>10</v>
      </c>
      <c r="U353" s="1" t="s">
        <v>25</v>
      </c>
      <c r="V353" s="1" t="s">
        <v>40</v>
      </c>
      <c r="W353" s="5" t="s">
        <v>195</v>
      </c>
      <c r="X353" s="4">
        <v>55</v>
      </c>
    </row>
    <row r="354" spans="1:24" x14ac:dyDescent="0.3">
      <c r="A354" s="1" t="s">
        <v>686</v>
      </c>
      <c r="B354" s="1" t="s">
        <v>23</v>
      </c>
      <c r="C354" s="1" t="s">
        <v>96</v>
      </c>
      <c r="D354" s="1" t="s">
        <v>31</v>
      </c>
      <c r="E354" s="4">
        <v>16</v>
      </c>
      <c r="F354" s="4">
        <v>9</v>
      </c>
      <c r="G354" s="1" t="s">
        <v>25</v>
      </c>
      <c r="H354" s="1" t="s">
        <v>20</v>
      </c>
      <c r="I354" s="5" t="s">
        <v>277</v>
      </c>
      <c r="J354" s="4">
        <v>71</v>
      </c>
      <c r="O354" s="1" t="s">
        <v>689</v>
      </c>
      <c r="P354" s="1" t="s">
        <v>68</v>
      </c>
      <c r="Q354" s="1" t="s">
        <v>96</v>
      </c>
      <c r="R354" s="1" t="s">
        <v>13</v>
      </c>
      <c r="S354" s="4">
        <v>20</v>
      </c>
      <c r="T354" s="4">
        <v>12</v>
      </c>
      <c r="U354" s="1" t="s">
        <v>43</v>
      </c>
      <c r="V354" s="1" t="s">
        <v>20</v>
      </c>
      <c r="W354" s="5" t="s">
        <v>626</v>
      </c>
      <c r="X354" s="4">
        <v>48</v>
      </c>
    </row>
    <row r="355" spans="1:24" x14ac:dyDescent="0.3">
      <c r="A355" s="1" t="s">
        <v>687</v>
      </c>
      <c r="B355" s="1" t="s">
        <v>84</v>
      </c>
      <c r="C355" s="1" t="s">
        <v>19</v>
      </c>
      <c r="D355" s="1" t="s">
        <v>13</v>
      </c>
      <c r="E355" s="4">
        <v>16</v>
      </c>
      <c r="F355" s="4">
        <v>10</v>
      </c>
      <c r="G355" s="1" t="s">
        <v>25</v>
      </c>
      <c r="H355" s="1" t="s">
        <v>46</v>
      </c>
      <c r="I355" s="5" t="s">
        <v>564</v>
      </c>
      <c r="J355" s="4">
        <v>52</v>
      </c>
      <c r="O355" s="1" t="s">
        <v>690</v>
      </c>
      <c r="P355" s="1" t="s">
        <v>23</v>
      </c>
      <c r="Q355" s="1" t="s">
        <v>85</v>
      </c>
      <c r="R355" s="1" t="s">
        <v>13</v>
      </c>
      <c r="S355" s="4">
        <v>19</v>
      </c>
      <c r="T355" s="4">
        <v>9</v>
      </c>
      <c r="U355" s="1" t="s">
        <v>14</v>
      </c>
      <c r="V355" s="1" t="s">
        <v>76</v>
      </c>
      <c r="W355" s="5" t="s">
        <v>635</v>
      </c>
      <c r="X355" s="4">
        <v>91</v>
      </c>
    </row>
    <row r="356" spans="1:24" x14ac:dyDescent="0.3">
      <c r="A356" s="1" t="s">
        <v>688</v>
      </c>
      <c r="B356" s="1" t="s">
        <v>23</v>
      </c>
      <c r="C356" s="1" t="s">
        <v>96</v>
      </c>
      <c r="D356" s="1" t="s">
        <v>31</v>
      </c>
      <c r="E356" s="4">
        <v>19</v>
      </c>
      <c r="F356" s="4">
        <v>10</v>
      </c>
      <c r="G356" s="1" t="s">
        <v>25</v>
      </c>
      <c r="H356" s="1" t="s">
        <v>40</v>
      </c>
      <c r="I356" s="5" t="s">
        <v>195</v>
      </c>
      <c r="J356" s="4">
        <v>55</v>
      </c>
      <c r="O356" s="1" t="s">
        <v>691</v>
      </c>
      <c r="P356" s="1" t="s">
        <v>84</v>
      </c>
      <c r="Q356" s="1" t="s">
        <v>55</v>
      </c>
      <c r="R356" s="1" t="s">
        <v>13</v>
      </c>
      <c r="S356" s="4">
        <v>16</v>
      </c>
      <c r="T356" s="4">
        <v>10</v>
      </c>
      <c r="U356" s="1" t="s">
        <v>43</v>
      </c>
      <c r="V356" s="1" t="s">
        <v>46</v>
      </c>
      <c r="W356" s="5" t="s">
        <v>692</v>
      </c>
      <c r="X356" s="4">
        <v>91</v>
      </c>
    </row>
    <row r="357" spans="1:24" x14ac:dyDescent="0.3">
      <c r="A357" s="1" t="s">
        <v>689</v>
      </c>
      <c r="B357" s="1" t="s">
        <v>68</v>
      </c>
      <c r="C357" s="1" t="s">
        <v>96</v>
      </c>
      <c r="D357" s="1" t="s">
        <v>13</v>
      </c>
      <c r="E357" s="4">
        <v>20</v>
      </c>
      <c r="F357" s="4">
        <v>12</v>
      </c>
      <c r="G357" s="1" t="s">
        <v>43</v>
      </c>
      <c r="H357" s="1" t="s">
        <v>20</v>
      </c>
      <c r="I357" s="5" t="s">
        <v>626</v>
      </c>
      <c r="J357" s="4">
        <v>48</v>
      </c>
      <c r="O357" s="1" t="s">
        <v>693</v>
      </c>
      <c r="P357" s="1" t="s">
        <v>73</v>
      </c>
      <c r="Q357" s="1" t="s">
        <v>58</v>
      </c>
      <c r="R357" s="1" t="s">
        <v>31</v>
      </c>
      <c r="S357" s="4">
        <v>16</v>
      </c>
      <c r="T357" s="4">
        <v>11</v>
      </c>
      <c r="U357" s="1" t="s">
        <v>25</v>
      </c>
      <c r="V357" s="1" t="s">
        <v>37</v>
      </c>
      <c r="W357" s="5" t="s">
        <v>694</v>
      </c>
      <c r="X357" s="4">
        <v>65</v>
      </c>
    </row>
    <row r="358" spans="1:24" x14ac:dyDescent="0.3">
      <c r="A358" s="1" t="s">
        <v>690</v>
      </c>
      <c r="B358" s="1" t="s">
        <v>23</v>
      </c>
      <c r="C358" s="1" t="s">
        <v>85</v>
      </c>
      <c r="D358" s="1" t="s">
        <v>13</v>
      </c>
      <c r="E358" s="4">
        <v>19</v>
      </c>
      <c r="F358" s="4">
        <v>9</v>
      </c>
      <c r="G358" s="1" t="s">
        <v>14</v>
      </c>
      <c r="H358" s="1" t="s">
        <v>76</v>
      </c>
      <c r="I358" s="5" t="s">
        <v>635</v>
      </c>
      <c r="J358" s="4">
        <v>91</v>
      </c>
      <c r="O358" s="1" t="s">
        <v>695</v>
      </c>
      <c r="P358" s="1" t="s">
        <v>51</v>
      </c>
      <c r="Q358" s="1" t="s">
        <v>24</v>
      </c>
      <c r="R358" s="1" t="s">
        <v>13</v>
      </c>
      <c r="S358" s="4">
        <v>17</v>
      </c>
      <c r="T358" s="4">
        <v>9</v>
      </c>
      <c r="U358" s="1" t="s">
        <v>32</v>
      </c>
      <c r="V358" s="1" t="s">
        <v>15</v>
      </c>
      <c r="W358" s="5" t="s">
        <v>696</v>
      </c>
      <c r="X358" s="4">
        <v>69</v>
      </c>
    </row>
    <row r="359" spans="1:24" x14ac:dyDescent="0.3">
      <c r="A359" s="1" t="s">
        <v>691</v>
      </c>
      <c r="B359" s="1" t="s">
        <v>84</v>
      </c>
      <c r="C359" s="1" t="s">
        <v>55</v>
      </c>
      <c r="D359" s="1" t="s">
        <v>13</v>
      </c>
      <c r="E359" s="4">
        <v>16</v>
      </c>
      <c r="F359" s="4">
        <v>10</v>
      </c>
      <c r="G359" s="1" t="s">
        <v>43</v>
      </c>
      <c r="H359" s="1" t="s">
        <v>46</v>
      </c>
      <c r="I359" s="5" t="s">
        <v>692</v>
      </c>
      <c r="J359" s="4">
        <v>91</v>
      </c>
      <c r="O359" s="1" t="s">
        <v>697</v>
      </c>
      <c r="P359" s="1" t="s">
        <v>29</v>
      </c>
      <c r="Q359" s="1" t="s">
        <v>30</v>
      </c>
      <c r="R359" s="1" t="s">
        <v>31</v>
      </c>
      <c r="S359" s="4">
        <v>19</v>
      </c>
      <c r="T359" s="4">
        <v>10</v>
      </c>
      <c r="U359" s="1" t="s">
        <v>25</v>
      </c>
      <c r="V359" s="1" t="s">
        <v>61</v>
      </c>
      <c r="W359" s="5" t="s">
        <v>698</v>
      </c>
      <c r="X359" s="4">
        <v>75</v>
      </c>
    </row>
    <row r="360" spans="1:24" x14ac:dyDescent="0.3">
      <c r="A360" s="1" t="s">
        <v>693</v>
      </c>
      <c r="B360" s="1" t="s">
        <v>73</v>
      </c>
      <c r="C360" s="1" t="s">
        <v>58</v>
      </c>
      <c r="D360" s="1" t="s">
        <v>31</v>
      </c>
      <c r="E360" s="4">
        <v>16</v>
      </c>
      <c r="F360" s="4">
        <v>11</v>
      </c>
      <c r="G360" s="1" t="s">
        <v>25</v>
      </c>
      <c r="H360" s="1" t="s">
        <v>37</v>
      </c>
      <c r="I360" s="5" t="s">
        <v>694</v>
      </c>
      <c r="J360" s="4">
        <v>65</v>
      </c>
      <c r="O360" s="1" t="s">
        <v>699</v>
      </c>
      <c r="P360" s="1" t="s">
        <v>11</v>
      </c>
      <c r="Q360" s="1" t="s">
        <v>30</v>
      </c>
      <c r="R360" s="1" t="s">
        <v>31</v>
      </c>
      <c r="S360" s="4">
        <v>16</v>
      </c>
      <c r="T360" s="4">
        <v>11</v>
      </c>
      <c r="U360" s="1" t="s">
        <v>43</v>
      </c>
      <c r="V360" s="1" t="s">
        <v>40</v>
      </c>
      <c r="W360" s="5" t="s">
        <v>97</v>
      </c>
      <c r="X360" s="4">
        <v>72</v>
      </c>
    </row>
    <row r="361" spans="1:24" x14ac:dyDescent="0.3">
      <c r="A361" s="1" t="s">
        <v>695</v>
      </c>
      <c r="B361" s="1" t="s">
        <v>51</v>
      </c>
      <c r="C361" s="1" t="s">
        <v>24</v>
      </c>
      <c r="D361" s="1" t="s">
        <v>13</v>
      </c>
      <c r="E361" s="4">
        <v>17</v>
      </c>
      <c r="F361" s="4">
        <v>9</v>
      </c>
      <c r="G361" s="1" t="s">
        <v>32</v>
      </c>
      <c r="H361" s="1" t="s">
        <v>15</v>
      </c>
      <c r="I361" s="5" t="s">
        <v>696</v>
      </c>
      <c r="J361" s="4">
        <v>69</v>
      </c>
      <c r="O361" s="1" t="s">
        <v>700</v>
      </c>
      <c r="P361" s="1" t="s">
        <v>23</v>
      </c>
      <c r="Q361" s="1" t="s">
        <v>55</v>
      </c>
      <c r="R361" s="1" t="s">
        <v>31</v>
      </c>
      <c r="S361" s="4">
        <v>20</v>
      </c>
      <c r="T361" s="4">
        <v>10</v>
      </c>
      <c r="U361" s="1" t="s">
        <v>14</v>
      </c>
      <c r="V361" s="1" t="s">
        <v>15</v>
      </c>
      <c r="W361" s="5" t="s">
        <v>678</v>
      </c>
      <c r="X361" s="4">
        <v>59</v>
      </c>
    </row>
    <row r="362" spans="1:24" x14ac:dyDescent="0.3">
      <c r="A362" s="1" t="s">
        <v>697</v>
      </c>
      <c r="B362" s="1" t="s">
        <v>29</v>
      </c>
      <c r="C362" s="1" t="s">
        <v>30</v>
      </c>
      <c r="D362" s="1" t="s">
        <v>31</v>
      </c>
      <c r="E362" s="4">
        <v>19</v>
      </c>
      <c r="F362" s="4">
        <v>10</v>
      </c>
      <c r="G362" s="1" t="s">
        <v>25</v>
      </c>
      <c r="H362" s="1" t="s">
        <v>61</v>
      </c>
      <c r="I362" s="5" t="s">
        <v>698</v>
      </c>
      <c r="J362" s="4">
        <v>75</v>
      </c>
      <c r="O362" s="1" t="s">
        <v>701</v>
      </c>
      <c r="P362" s="1" t="s">
        <v>54</v>
      </c>
      <c r="Q362" s="1" t="s">
        <v>30</v>
      </c>
      <c r="R362" s="1" t="s">
        <v>31</v>
      </c>
      <c r="S362" s="4">
        <v>15</v>
      </c>
      <c r="T362" s="4">
        <v>11</v>
      </c>
      <c r="U362" s="1" t="s">
        <v>14</v>
      </c>
      <c r="V362" s="1" t="s">
        <v>76</v>
      </c>
      <c r="W362" s="5" t="s">
        <v>702</v>
      </c>
      <c r="X362" s="4">
        <v>42</v>
      </c>
    </row>
    <row r="363" spans="1:24" x14ac:dyDescent="0.3">
      <c r="A363" s="1" t="s">
        <v>699</v>
      </c>
      <c r="B363" s="1" t="s">
        <v>11</v>
      </c>
      <c r="C363" s="1" t="s">
        <v>30</v>
      </c>
      <c r="D363" s="1" t="s">
        <v>31</v>
      </c>
      <c r="E363" s="4">
        <v>16</v>
      </c>
      <c r="F363" s="4">
        <v>11</v>
      </c>
      <c r="G363" s="1" t="s">
        <v>43</v>
      </c>
      <c r="H363" s="1" t="s">
        <v>40</v>
      </c>
      <c r="I363" s="5" t="s">
        <v>97</v>
      </c>
      <c r="J363" s="4">
        <v>72</v>
      </c>
      <c r="O363" s="1" t="s">
        <v>703</v>
      </c>
      <c r="P363" s="1" t="s">
        <v>73</v>
      </c>
      <c r="Q363" s="1" t="s">
        <v>30</v>
      </c>
      <c r="R363" s="1" t="s">
        <v>31</v>
      </c>
      <c r="S363" s="4">
        <v>17</v>
      </c>
      <c r="T363" s="4">
        <v>12</v>
      </c>
      <c r="U363" s="1" t="s">
        <v>32</v>
      </c>
      <c r="V363" s="1" t="s">
        <v>40</v>
      </c>
      <c r="W363" s="5" t="s">
        <v>704</v>
      </c>
      <c r="X363" s="4">
        <v>93</v>
      </c>
    </row>
    <row r="364" spans="1:24" x14ac:dyDescent="0.3">
      <c r="A364" s="1" t="s">
        <v>700</v>
      </c>
      <c r="B364" s="1" t="s">
        <v>23</v>
      </c>
      <c r="C364" s="1" t="s">
        <v>55</v>
      </c>
      <c r="D364" s="1" t="s">
        <v>31</v>
      </c>
      <c r="E364" s="4">
        <v>20</v>
      </c>
      <c r="F364" s="4">
        <v>10</v>
      </c>
      <c r="G364" s="1" t="s">
        <v>14</v>
      </c>
      <c r="H364" s="1" t="s">
        <v>15</v>
      </c>
      <c r="I364" s="5" t="s">
        <v>678</v>
      </c>
      <c r="J364" s="4">
        <v>59</v>
      </c>
      <c r="O364" s="1" t="s">
        <v>705</v>
      </c>
      <c r="P364" s="1" t="s">
        <v>84</v>
      </c>
      <c r="Q364" s="1" t="s">
        <v>55</v>
      </c>
      <c r="R364" s="1" t="s">
        <v>31</v>
      </c>
      <c r="S364" s="4">
        <v>14</v>
      </c>
      <c r="T364" s="4">
        <v>12</v>
      </c>
      <c r="U364" s="1" t="s">
        <v>43</v>
      </c>
      <c r="V364" s="1" t="s">
        <v>76</v>
      </c>
      <c r="W364" s="5" t="s">
        <v>706</v>
      </c>
      <c r="X364" s="4">
        <v>63</v>
      </c>
    </row>
    <row r="365" spans="1:24" x14ac:dyDescent="0.3">
      <c r="A365" s="1" t="s">
        <v>701</v>
      </c>
      <c r="B365" s="1" t="s">
        <v>54</v>
      </c>
      <c r="C365" s="1" t="s">
        <v>30</v>
      </c>
      <c r="D365" s="1" t="s">
        <v>31</v>
      </c>
      <c r="E365" s="4">
        <v>15</v>
      </c>
      <c r="F365" s="4">
        <v>11</v>
      </c>
      <c r="G365" s="1" t="s">
        <v>14</v>
      </c>
      <c r="H365" s="1" t="s">
        <v>76</v>
      </c>
      <c r="I365" s="5" t="s">
        <v>702</v>
      </c>
      <c r="J365" s="4">
        <v>42</v>
      </c>
      <c r="O365" s="1" t="s">
        <v>707</v>
      </c>
      <c r="P365" s="1" t="s">
        <v>68</v>
      </c>
      <c r="Q365" s="1" t="s">
        <v>96</v>
      </c>
      <c r="R365" s="1" t="s">
        <v>31</v>
      </c>
      <c r="S365" s="4">
        <v>20</v>
      </c>
      <c r="T365" s="4">
        <v>12</v>
      </c>
      <c r="U365" s="1" t="s">
        <v>43</v>
      </c>
      <c r="V365" s="1" t="s">
        <v>37</v>
      </c>
      <c r="W365" s="5" t="s">
        <v>708</v>
      </c>
      <c r="X365" s="4">
        <v>35</v>
      </c>
    </row>
    <row r="366" spans="1:24" x14ac:dyDescent="0.3">
      <c r="A366" s="1" t="s">
        <v>703</v>
      </c>
      <c r="B366" s="1" t="s">
        <v>73</v>
      </c>
      <c r="C366" s="1" t="s">
        <v>30</v>
      </c>
      <c r="D366" s="1" t="s">
        <v>31</v>
      </c>
      <c r="E366" s="4">
        <v>17</v>
      </c>
      <c r="F366" s="4">
        <v>12</v>
      </c>
      <c r="G366" s="1" t="s">
        <v>32</v>
      </c>
      <c r="H366" s="1" t="s">
        <v>40</v>
      </c>
      <c r="I366" s="5" t="s">
        <v>704</v>
      </c>
      <c r="J366" s="4">
        <v>93</v>
      </c>
      <c r="O366" s="1" t="s">
        <v>709</v>
      </c>
      <c r="P366" s="1" t="s">
        <v>54</v>
      </c>
      <c r="Q366" s="1" t="s">
        <v>19</v>
      </c>
      <c r="R366" s="1" t="s">
        <v>31</v>
      </c>
      <c r="S366" s="4">
        <v>18</v>
      </c>
      <c r="T366" s="4">
        <v>10</v>
      </c>
      <c r="U366" s="1" t="s">
        <v>43</v>
      </c>
      <c r="V366" s="1" t="s">
        <v>37</v>
      </c>
      <c r="W366" s="5" t="s">
        <v>710</v>
      </c>
      <c r="X366" s="4">
        <v>89</v>
      </c>
    </row>
    <row r="367" spans="1:24" x14ac:dyDescent="0.3">
      <c r="A367" s="1" t="s">
        <v>705</v>
      </c>
      <c r="B367" s="1" t="s">
        <v>84</v>
      </c>
      <c r="C367" s="1" t="s">
        <v>55</v>
      </c>
      <c r="D367" s="1" t="s">
        <v>31</v>
      </c>
      <c r="E367" s="4">
        <v>14</v>
      </c>
      <c r="F367" s="4">
        <v>12</v>
      </c>
      <c r="G367" s="1" t="s">
        <v>43</v>
      </c>
      <c r="H367" s="1" t="s">
        <v>76</v>
      </c>
      <c r="I367" s="5" t="s">
        <v>706</v>
      </c>
      <c r="J367" s="4">
        <v>63</v>
      </c>
      <c r="O367" s="1" t="s">
        <v>711</v>
      </c>
      <c r="P367" s="1" t="s">
        <v>29</v>
      </c>
      <c r="Q367" s="1" t="s">
        <v>79</v>
      </c>
      <c r="R367" s="1" t="s">
        <v>13</v>
      </c>
      <c r="S367" s="4">
        <v>14</v>
      </c>
      <c r="T367" s="4">
        <v>9</v>
      </c>
      <c r="U367" s="1" t="s">
        <v>32</v>
      </c>
      <c r="V367" s="1" t="s">
        <v>15</v>
      </c>
      <c r="W367" s="5" t="s">
        <v>712</v>
      </c>
      <c r="X367" s="4">
        <v>72</v>
      </c>
    </row>
    <row r="368" spans="1:24" x14ac:dyDescent="0.3">
      <c r="A368" s="1" t="s">
        <v>707</v>
      </c>
      <c r="B368" s="1" t="s">
        <v>68</v>
      </c>
      <c r="C368" s="1" t="s">
        <v>96</v>
      </c>
      <c r="D368" s="1" t="s">
        <v>31</v>
      </c>
      <c r="E368" s="4">
        <v>20</v>
      </c>
      <c r="F368" s="4">
        <v>12</v>
      </c>
      <c r="G368" s="1" t="s">
        <v>43</v>
      </c>
      <c r="H368" s="1" t="s">
        <v>37</v>
      </c>
      <c r="I368" s="5" t="s">
        <v>708</v>
      </c>
      <c r="J368" s="4">
        <v>35</v>
      </c>
      <c r="O368" s="1" t="s">
        <v>713</v>
      </c>
      <c r="P368" s="1" t="s">
        <v>29</v>
      </c>
      <c r="Q368" s="1" t="s">
        <v>24</v>
      </c>
      <c r="R368" s="1" t="s">
        <v>31</v>
      </c>
      <c r="S368" s="4">
        <v>16</v>
      </c>
      <c r="T368" s="4">
        <v>12</v>
      </c>
      <c r="U368" s="1" t="s">
        <v>32</v>
      </c>
      <c r="V368" s="1" t="s">
        <v>26</v>
      </c>
      <c r="W368" s="5" t="s">
        <v>714</v>
      </c>
      <c r="X368" s="4">
        <v>57</v>
      </c>
    </row>
    <row r="369" spans="1:24" x14ac:dyDescent="0.3">
      <c r="A369" s="1" t="s">
        <v>709</v>
      </c>
      <c r="B369" s="1" t="s">
        <v>54</v>
      </c>
      <c r="C369" s="1" t="s">
        <v>19</v>
      </c>
      <c r="D369" s="1" t="s">
        <v>31</v>
      </c>
      <c r="E369" s="4">
        <v>18</v>
      </c>
      <c r="F369" s="4">
        <v>10</v>
      </c>
      <c r="G369" s="1" t="s">
        <v>43</v>
      </c>
      <c r="H369" s="1" t="s">
        <v>37</v>
      </c>
      <c r="I369" s="5" t="s">
        <v>710</v>
      </c>
      <c r="J369" s="4">
        <v>89</v>
      </c>
      <c r="O369" s="1" t="s">
        <v>715</v>
      </c>
      <c r="P369" s="1" t="s">
        <v>51</v>
      </c>
      <c r="Q369" s="1" t="s">
        <v>79</v>
      </c>
      <c r="R369" s="1" t="s">
        <v>13</v>
      </c>
      <c r="S369" s="4">
        <v>19</v>
      </c>
      <c r="T369" s="4">
        <v>10</v>
      </c>
      <c r="U369" s="1" t="s">
        <v>32</v>
      </c>
      <c r="V369" s="1" t="s">
        <v>40</v>
      </c>
      <c r="W369" s="5" t="s">
        <v>702</v>
      </c>
      <c r="X369" s="4">
        <v>84</v>
      </c>
    </row>
    <row r="370" spans="1:24" x14ac:dyDescent="0.3">
      <c r="A370" s="1" t="s">
        <v>711</v>
      </c>
      <c r="B370" s="1" t="s">
        <v>29</v>
      </c>
      <c r="C370" s="1" t="s">
        <v>79</v>
      </c>
      <c r="D370" s="1" t="s">
        <v>13</v>
      </c>
      <c r="E370" s="4">
        <v>14</v>
      </c>
      <c r="F370" s="4">
        <v>9</v>
      </c>
      <c r="G370" s="1" t="s">
        <v>32</v>
      </c>
      <c r="H370" s="1" t="s">
        <v>15</v>
      </c>
      <c r="I370" s="5" t="s">
        <v>712</v>
      </c>
      <c r="J370" s="4">
        <v>72</v>
      </c>
      <c r="O370" s="1" t="s">
        <v>716</v>
      </c>
      <c r="P370" s="1" t="s">
        <v>23</v>
      </c>
      <c r="Q370" s="1" t="s">
        <v>58</v>
      </c>
      <c r="R370" s="1" t="s">
        <v>31</v>
      </c>
      <c r="S370" s="4">
        <v>17</v>
      </c>
      <c r="T370" s="4">
        <v>9</v>
      </c>
      <c r="U370" s="1" t="s">
        <v>25</v>
      </c>
      <c r="V370" s="1" t="s">
        <v>15</v>
      </c>
      <c r="W370" s="5" t="s">
        <v>717</v>
      </c>
      <c r="X370" s="4">
        <v>51</v>
      </c>
    </row>
    <row r="371" spans="1:24" x14ac:dyDescent="0.3">
      <c r="A371" s="1" t="s">
        <v>713</v>
      </c>
      <c r="B371" s="1" t="s">
        <v>29</v>
      </c>
      <c r="C371" s="1" t="s">
        <v>24</v>
      </c>
      <c r="D371" s="1" t="s">
        <v>31</v>
      </c>
      <c r="E371" s="4">
        <v>16</v>
      </c>
      <c r="F371" s="4">
        <v>12</v>
      </c>
      <c r="G371" s="1" t="s">
        <v>32</v>
      </c>
      <c r="H371" s="1" t="s">
        <v>26</v>
      </c>
      <c r="I371" s="5" t="s">
        <v>714</v>
      </c>
      <c r="J371" s="4">
        <v>57</v>
      </c>
      <c r="O371" s="1" t="s">
        <v>718</v>
      </c>
      <c r="P371" s="1" t="s">
        <v>84</v>
      </c>
      <c r="Q371" s="1" t="s">
        <v>12</v>
      </c>
      <c r="R371" s="1" t="s">
        <v>31</v>
      </c>
      <c r="S371" s="4">
        <v>20</v>
      </c>
      <c r="T371" s="4">
        <v>10</v>
      </c>
      <c r="U371" s="1" t="s">
        <v>25</v>
      </c>
      <c r="V371" s="1" t="s">
        <v>61</v>
      </c>
      <c r="W371" s="5" t="s">
        <v>639</v>
      </c>
      <c r="X371" s="4">
        <v>35</v>
      </c>
    </row>
    <row r="372" spans="1:24" x14ac:dyDescent="0.3">
      <c r="A372" s="1" t="s">
        <v>715</v>
      </c>
      <c r="B372" s="1" t="s">
        <v>51</v>
      </c>
      <c r="C372" s="1" t="s">
        <v>79</v>
      </c>
      <c r="D372" s="1" t="s">
        <v>13</v>
      </c>
      <c r="E372" s="4">
        <v>19</v>
      </c>
      <c r="F372" s="4">
        <v>10</v>
      </c>
      <c r="G372" s="1" t="s">
        <v>32</v>
      </c>
      <c r="H372" s="1" t="s">
        <v>40</v>
      </c>
      <c r="I372" s="5" t="s">
        <v>702</v>
      </c>
      <c r="J372" s="4">
        <v>84</v>
      </c>
      <c r="O372" s="1" t="s">
        <v>719</v>
      </c>
      <c r="P372" s="1" t="s">
        <v>18</v>
      </c>
      <c r="Q372" s="1" t="s">
        <v>24</v>
      </c>
      <c r="R372" s="1" t="s">
        <v>31</v>
      </c>
      <c r="S372" s="4">
        <v>18</v>
      </c>
      <c r="T372" s="4">
        <v>11</v>
      </c>
      <c r="U372" s="1" t="s">
        <v>43</v>
      </c>
      <c r="V372" s="1" t="s">
        <v>40</v>
      </c>
      <c r="W372" s="5" t="s">
        <v>720</v>
      </c>
      <c r="X372" s="4">
        <v>83</v>
      </c>
    </row>
    <row r="373" spans="1:24" x14ac:dyDescent="0.3">
      <c r="A373" s="1" t="s">
        <v>716</v>
      </c>
      <c r="B373" s="1" t="s">
        <v>23</v>
      </c>
      <c r="C373" s="1" t="s">
        <v>58</v>
      </c>
      <c r="D373" s="1" t="s">
        <v>31</v>
      </c>
      <c r="E373" s="4">
        <v>17</v>
      </c>
      <c r="F373" s="4">
        <v>9</v>
      </c>
      <c r="G373" s="1" t="s">
        <v>25</v>
      </c>
      <c r="H373" s="1" t="s">
        <v>15</v>
      </c>
      <c r="I373" s="5" t="s">
        <v>717</v>
      </c>
      <c r="J373" s="4">
        <v>51</v>
      </c>
      <c r="O373" s="1" t="s">
        <v>721</v>
      </c>
      <c r="P373" s="1" t="s">
        <v>23</v>
      </c>
      <c r="Q373" s="1" t="s">
        <v>19</v>
      </c>
      <c r="R373" s="1" t="s">
        <v>31</v>
      </c>
      <c r="S373" s="4">
        <v>18</v>
      </c>
      <c r="T373" s="4">
        <v>10</v>
      </c>
      <c r="U373" s="1" t="s">
        <v>14</v>
      </c>
      <c r="V373" s="1" t="s">
        <v>26</v>
      </c>
      <c r="W373" s="5" t="s">
        <v>722</v>
      </c>
      <c r="X373" s="4">
        <v>43</v>
      </c>
    </row>
    <row r="374" spans="1:24" x14ac:dyDescent="0.3">
      <c r="A374" s="1" t="s">
        <v>718</v>
      </c>
      <c r="B374" s="1" t="s">
        <v>84</v>
      </c>
      <c r="C374" s="1" t="s">
        <v>12</v>
      </c>
      <c r="D374" s="1" t="s">
        <v>31</v>
      </c>
      <c r="E374" s="4">
        <v>20</v>
      </c>
      <c r="F374" s="4">
        <v>10</v>
      </c>
      <c r="G374" s="1" t="s">
        <v>25</v>
      </c>
      <c r="H374" s="1" t="s">
        <v>61</v>
      </c>
      <c r="I374" s="5" t="s">
        <v>639</v>
      </c>
      <c r="J374" s="4">
        <v>35</v>
      </c>
      <c r="O374" s="1" t="s">
        <v>723</v>
      </c>
      <c r="P374" s="1" t="s">
        <v>68</v>
      </c>
      <c r="Q374" s="1" t="s">
        <v>79</v>
      </c>
      <c r="R374" s="1" t="s">
        <v>31</v>
      </c>
      <c r="S374" s="4">
        <v>19</v>
      </c>
      <c r="T374" s="4">
        <v>12</v>
      </c>
      <c r="U374" s="1" t="s">
        <v>25</v>
      </c>
      <c r="V374" s="1" t="s">
        <v>40</v>
      </c>
      <c r="W374" s="5" t="s">
        <v>724</v>
      </c>
      <c r="X374" s="4">
        <v>65</v>
      </c>
    </row>
    <row r="375" spans="1:24" x14ac:dyDescent="0.3">
      <c r="A375" s="1" t="s">
        <v>719</v>
      </c>
      <c r="B375" s="1" t="s">
        <v>18</v>
      </c>
      <c r="C375" s="1" t="s">
        <v>24</v>
      </c>
      <c r="D375" s="1" t="s">
        <v>31</v>
      </c>
      <c r="E375" s="4">
        <v>18</v>
      </c>
      <c r="F375" s="4">
        <v>11</v>
      </c>
      <c r="G375" s="1" t="s">
        <v>43</v>
      </c>
      <c r="H375" s="1" t="s">
        <v>40</v>
      </c>
      <c r="I375" s="5" t="s">
        <v>720</v>
      </c>
      <c r="J375" s="4">
        <v>83</v>
      </c>
      <c r="O375" s="1" t="s">
        <v>725</v>
      </c>
      <c r="P375" s="1" t="s">
        <v>11</v>
      </c>
      <c r="Q375" s="1" t="s">
        <v>55</v>
      </c>
      <c r="R375" s="1" t="s">
        <v>31</v>
      </c>
      <c r="S375" s="4">
        <v>15</v>
      </c>
      <c r="T375" s="4">
        <v>9</v>
      </c>
      <c r="U375" s="1" t="s">
        <v>25</v>
      </c>
      <c r="V375" s="1" t="s">
        <v>37</v>
      </c>
      <c r="W375" s="5" t="s">
        <v>726</v>
      </c>
      <c r="X375" s="4">
        <v>72</v>
      </c>
    </row>
    <row r="376" spans="1:24" x14ac:dyDescent="0.3">
      <c r="A376" s="1" t="s">
        <v>721</v>
      </c>
      <c r="B376" s="1" t="s">
        <v>23</v>
      </c>
      <c r="C376" s="1" t="s">
        <v>19</v>
      </c>
      <c r="D376" s="1" t="s">
        <v>31</v>
      </c>
      <c r="E376" s="4">
        <v>18</v>
      </c>
      <c r="F376" s="4">
        <v>10</v>
      </c>
      <c r="G376" s="1" t="s">
        <v>14</v>
      </c>
      <c r="H376" s="1" t="s">
        <v>26</v>
      </c>
      <c r="I376" s="5" t="s">
        <v>722</v>
      </c>
      <c r="J376" s="4">
        <v>43</v>
      </c>
      <c r="O376" s="1" t="s">
        <v>727</v>
      </c>
      <c r="P376" s="1" t="s">
        <v>68</v>
      </c>
      <c r="Q376" s="1" t="s">
        <v>12</v>
      </c>
      <c r="R376" s="1" t="s">
        <v>13</v>
      </c>
      <c r="S376" s="4">
        <v>14</v>
      </c>
      <c r="T376" s="4">
        <v>9</v>
      </c>
      <c r="U376" s="1" t="s">
        <v>14</v>
      </c>
      <c r="V376" s="1" t="s">
        <v>20</v>
      </c>
      <c r="W376" s="5" t="s">
        <v>728</v>
      </c>
      <c r="X376" s="4">
        <v>68</v>
      </c>
    </row>
    <row r="377" spans="1:24" x14ac:dyDescent="0.3">
      <c r="A377" s="1" t="s">
        <v>723</v>
      </c>
      <c r="B377" s="1" t="s">
        <v>68</v>
      </c>
      <c r="C377" s="1" t="s">
        <v>79</v>
      </c>
      <c r="D377" s="1" t="s">
        <v>31</v>
      </c>
      <c r="E377" s="4">
        <v>19</v>
      </c>
      <c r="F377" s="4">
        <v>12</v>
      </c>
      <c r="G377" s="1" t="s">
        <v>25</v>
      </c>
      <c r="H377" s="1" t="s">
        <v>40</v>
      </c>
      <c r="I377" s="5" t="s">
        <v>724</v>
      </c>
      <c r="J377" s="4">
        <v>65</v>
      </c>
      <c r="O377" s="1" t="s">
        <v>729</v>
      </c>
      <c r="P377" s="1" t="s">
        <v>35</v>
      </c>
      <c r="Q377" s="1" t="s">
        <v>79</v>
      </c>
      <c r="R377" s="1" t="s">
        <v>13</v>
      </c>
      <c r="S377" s="4">
        <v>15</v>
      </c>
      <c r="T377" s="4">
        <v>9</v>
      </c>
      <c r="U377" s="1" t="s">
        <v>43</v>
      </c>
      <c r="V377" s="1" t="s">
        <v>76</v>
      </c>
      <c r="W377" s="5" t="s">
        <v>730</v>
      </c>
      <c r="X377" s="4">
        <v>39</v>
      </c>
    </row>
    <row r="378" spans="1:24" x14ac:dyDescent="0.3">
      <c r="A378" s="1" t="s">
        <v>725</v>
      </c>
      <c r="B378" s="1" t="s">
        <v>11</v>
      </c>
      <c r="C378" s="1" t="s">
        <v>55</v>
      </c>
      <c r="D378" s="1" t="s">
        <v>31</v>
      </c>
      <c r="E378" s="4">
        <v>15</v>
      </c>
      <c r="F378" s="4">
        <v>9</v>
      </c>
      <c r="G378" s="1" t="s">
        <v>25</v>
      </c>
      <c r="H378" s="1" t="s">
        <v>37</v>
      </c>
      <c r="I378" s="5" t="s">
        <v>726</v>
      </c>
      <c r="J378" s="4">
        <v>72</v>
      </c>
      <c r="O378" s="1" t="s">
        <v>731</v>
      </c>
      <c r="P378" s="1" t="s">
        <v>84</v>
      </c>
      <c r="Q378" s="1" t="s">
        <v>85</v>
      </c>
      <c r="R378" s="1" t="s">
        <v>31</v>
      </c>
      <c r="S378" s="4">
        <v>17</v>
      </c>
      <c r="T378" s="4">
        <v>9</v>
      </c>
      <c r="U378" s="1" t="s">
        <v>43</v>
      </c>
      <c r="V378" s="1" t="s">
        <v>76</v>
      </c>
      <c r="W378" s="5" t="s">
        <v>732</v>
      </c>
      <c r="X378" s="4">
        <v>97</v>
      </c>
    </row>
    <row r="379" spans="1:24" x14ac:dyDescent="0.3">
      <c r="A379" s="1" t="s">
        <v>727</v>
      </c>
      <c r="B379" s="1" t="s">
        <v>68</v>
      </c>
      <c r="C379" s="1" t="s">
        <v>12</v>
      </c>
      <c r="D379" s="1" t="s">
        <v>13</v>
      </c>
      <c r="E379" s="4">
        <v>14</v>
      </c>
      <c r="F379" s="4">
        <v>9</v>
      </c>
      <c r="G379" s="1" t="s">
        <v>14</v>
      </c>
      <c r="H379" s="1" t="s">
        <v>20</v>
      </c>
      <c r="I379" s="5" t="s">
        <v>728</v>
      </c>
      <c r="J379" s="4">
        <v>68</v>
      </c>
      <c r="O379" s="1" t="s">
        <v>733</v>
      </c>
      <c r="P379" s="1" t="s">
        <v>84</v>
      </c>
      <c r="Q379" s="1" t="s">
        <v>85</v>
      </c>
      <c r="R379" s="1" t="s">
        <v>31</v>
      </c>
      <c r="S379" s="4">
        <v>17</v>
      </c>
      <c r="T379" s="4">
        <v>12</v>
      </c>
      <c r="U379" s="1" t="s">
        <v>43</v>
      </c>
      <c r="V379" s="1" t="s">
        <v>15</v>
      </c>
      <c r="W379" s="5" t="s">
        <v>734</v>
      </c>
      <c r="X379" s="4">
        <v>77</v>
      </c>
    </row>
    <row r="380" spans="1:24" x14ac:dyDescent="0.3">
      <c r="A380" s="1" t="s">
        <v>729</v>
      </c>
      <c r="B380" s="1" t="s">
        <v>35</v>
      </c>
      <c r="C380" s="1" t="s">
        <v>79</v>
      </c>
      <c r="D380" s="1" t="s">
        <v>13</v>
      </c>
      <c r="E380" s="4">
        <v>15</v>
      </c>
      <c r="F380" s="4">
        <v>9</v>
      </c>
      <c r="G380" s="1" t="s">
        <v>43</v>
      </c>
      <c r="H380" s="1" t="s">
        <v>76</v>
      </c>
      <c r="I380" s="5" t="s">
        <v>730</v>
      </c>
      <c r="J380" s="4">
        <v>39</v>
      </c>
      <c r="O380" s="1" t="s">
        <v>735</v>
      </c>
      <c r="P380" s="1" t="s">
        <v>68</v>
      </c>
      <c r="Q380" s="1" t="s">
        <v>24</v>
      </c>
      <c r="R380" s="1" t="s">
        <v>31</v>
      </c>
      <c r="S380" s="4">
        <v>16</v>
      </c>
      <c r="T380" s="4">
        <v>12</v>
      </c>
      <c r="U380" s="1" t="s">
        <v>43</v>
      </c>
      <c r="V380" s="1" t="s">
        <v>26</v>
      </c>
      <c r="W380" s="5" t="s">
        <v>736</v>
      </c>
      <c r="X380" s="4">
        <v>85</v>
      </c>
    </row>
    <row r="381" spans="1:24" x14ac:dyDescent="0.3">
      <c r="A381" s="1" t="s">
        <v>731</v>
      </c>
      <c r="B381" s="1" t="s">
        <v>84</v>
      </c>
      <c r="C381" s="1" t="s">
        <v>85</v>
      </c>
      <c r="D381" s="1" t="s">
        <v>31</v>
      </c>
      <c r="E381" s="4">
        <v>17</v>
      </c>
      <c r="F381" s="4">
        <v>9</v>
      </c>
      <c r="G381" s="1" t="s">
        <v>43</v>
      </c>
      <c r="H381" s="1" t="s">
        <v>76</v>
      </c>
      <c r="I381" s="5" t="s">
        <v>732</v>
      </c>
      <c r="J381" s="4">
        <v>97</v>
      </c>
      <c r="O381" s="1" t="s">
        <v>737</v>
      </c>
      <c r="P381" s="1" t="s">
        <v>54</v>
      </c>
      <c r="Q381" s="1" t="s">
        <v>96</v>
      </c>
      <c r="R381" s="1" t="s">
        <v>13</v>
      </c>
      <c r="S381" s="4">
        <v>19</v>
      </c>
      <c r="T381" s="4">
        <v>12</v>
      </c>
      <c r="U381" s="1" t="s">
        <v>25</v>
      </c>
      <c r="V381" s="1" t="s">
        <v>20</v>
      </c>
      <c r="W381" s="5" t="s">
        <v>738</v>
      </c>
      <c r="X381" s="4">
        <v>85</v>
      </c>
    </row>
    <row r="382" spans="1:24" x14ac:dyDescent="0.3">
      <c r="A382" s="1" t="s">
        <v>733</v>
      </c>
      <c r="B382" s="1" t="s">
        <v>84</v>
      </c>
      <c r="C382" s="1" t="s">
        <v>85</v>
      </c>
      <c r="D382" s="1" t="s">
        <v>31</v>
      </c>
      <c r="E382" s="4">
        <v>17</v>
      </c>
      <c r="F382" s="4">
        <v>12</v>
      </c>
      <c r="G382" s="1" t="s">
        <v>43</v>
      </c>
      <c r="H382" s="1" t="s">
        <v>15</v>
      </c>
      <c r="I382" s="5" t="s">
        <v>734</v>
      </c>
      <c r="J382" s="4">
        <v>77</v>
      </c>
      <c r="O382" s="1" t="s">
        <v>739</v>
      </c>
      <c r="P382" s="1" t="s">
        <v>18</v>
      </c>
      <c r="Q382" s="1" t="s">
        <v>79</v>
      </c>
      <c r="R382" s="1" t="s">
        <v>31</v>
      </c>
      <c r="S382" s="4">
        <v>14</v>
      </c>
      <c r="T382" s="4">
        <v>10</v>
      </c>
      <c r="U382" s="1" t="s">
        <v>32</v>
      </c>
      <c r="V382" s="1" t="s">
        <v>20</v>
      </c>
      <c r="W382" s="5" t="s">
        <v>740</v>
      </c>
      <c r="X382" s="4">
        <v>99</v>
      </c>
    </row>
    <row r="383" spans="1:24" x14ac:dyDescent="0.3">
      <c r="A383" s="1" t="s">
        <v>735</v>
      </c>
      <c r="B383" s="1" t="s">
        <v>68</v>
      </c>
      <c r="C383" s="1" t="s">
        <v>24</v>
      </c>
      <c r="D383" s="1" t="s">
        <v>31</v>
      </c>
      <c r="E383" s="4">
        <v>16</v>
      </c>
      <c r="F383" s="4">
        <v>12</v>
      </c>
      <c r="G383" s="1" t="s">
        <v>43</v>
      </c>
      <c r="H383" s="1" t="s">
        <v>26</v>
      </c>
      <c r="I383" s="5" t="s">
        <v>736</v>
      </c>
      <c r="J383" s="4">
        <v>85</v>
      </c>
      <c r="O383" s="1" t="s">
        <v>741</v>
      </c>
      <c r="P383" s="1" t="s">
        <v>54</v>
      </c>
      <c r="Q383" s="1" t="s">
        <v>24</v>
      </c>
      <c r="R383" s="1" t="s">
        <v>13</v>
      </c>
      <c r="S383" s="4">
        <v>14</v>
      </c>
      <c r="T383" s="4">
        <v>9</v>
      </c>
      <c r="U383" s="1" t="s">
        <v>14</v>
      </c>
      <c r="V383" s="1" t="s">
        <v>76</v>
      </c>
      <c r="W383" s="5" t="s">
        <v>742</v>
      </c>
      <c r="X383" s="4">
        <v>55</v>
      </c>
    </row>
    <row r="384" spans="1:24" x14ac:dyDescent="0.3">
      <c r="A384" s="1" t="s">
        <v>737</v>
      </c>
      <c r="B384" s="1" t="s">
        <v>54</v>
      </c>
      <c r="C384" s="1" t="s">
        <v>96</v>
      </c>
      <c r="D384" s="1" t="s">
        <v>13</v>
      </c>
      <c r="E384" s="4">
        <v>19</v>
      </c>
      <c r="F384" s="4">
        <v>12</v>
      </c>
      <c r="G384" s="1" t="s">
        <v>25</v>
      </c>
      <c r="H384" s="1" t="s">
        <v>20</v>
      </c>
      <c r="I384" s="5" t="s">
        <v>738</v>
      </c>
      <c r="J384" s="4">
        <v>85</v>
      </c>
      <c r="O384" s="1" t="s">
        <v>743</v>
      </c>
      <c r="P384" s="1" t="s">
        <v>84</v>
      </c>
      <c r="Q384" s="1" t="s">
        <v>19</v>
      </c>
      <c r="R384" s="1" t="s">
        <v>13</v>
      </c>
      <c r="S384" s="4">
        <v>15</v>
      </c>
      <c r="T384" s="4">
        <v>10</v>
      </c>
      <c r="U384" s="1" t="s">
        <v>43</v>
      </c>
      <c r="V384" s="1" t="s">
        <v>26</v>
      </c>
      <c r="W384" s="5" t="s">
        <v>744</v>
      </c>
      <c r="X384" s="4">
        <v>60</v>
      </c>
    </row>
    <row r="385" spans="1:24" x14ac:dyDescent="0.3">
      <c r="A385" s="1" t="s">
        <v>739</v>
      </c>
      <c r="B385" s="1" t="s">
        <v>18</v>
      </c>
      <c r="C385" s="1" t="s">
        <v>79</v>
      </c>
      <c r="D385" s="1" t="s">
        <v>31</v>
      </c>
      <c r="E385" s="4">
        <v>14</v>
      </c>
      <c r="F385" s="4">
        <v>10</v>
      </c>
      <c r="G385" s="1" t="s">
        <v>32</v>
      </c>
      <c r="H385" s="1" t="s">
        <v>20</v>
      </c>
      <c r="I385" s="5" t="s">
        <v>740</v>
      </c>
      <c r="J385" s="4">
        <v>99</v>
      </c>
      <c r="O385" s="1" t="s">
        <v>745</v>
      </c>
      <c r="P385" s="1" t="s">
        <v>73</v>
      </c>
      <c r="Q385" s="1" t="s">
        <v>36</v>
      </c>
      <c r="R385" s="1" t="s">
        <v>13</v>
      </c>
      <c r="S385" s="4">
        <v>16</v>
      </c>
      <c r="T385" s="4">
        <v>9</v>
      </c>
      <c r="U385" s="1" t="s">
        <v>32</v>
      </c>
      <c r="V385" s="1" t="s">
        <v>76</v>
      </c>
      <c r="W385" s="5" t="s">
        <v>746</v>
      </c>
      <c r="X385" s="4">
        <v>38</v>
      </c>
    </row>
    <row r="386" spans="1:24" x14ac:dyDescent="0.3">
      <c r="A386" s="1" t="s">
        <v>741</v>
      </c>
      <c r="B386" s="1" t="s">
        <v>54</v>
      </c>
      <c r="C386" s="1" t="s">
        <v>24</v>
      </c>
      <c r="D386" s="1" t="s">
        <v>13</v>
      </c>
      <c r="E386" s="4">
        <v>14</v>
      </c>
      <c r="F386" s="4">
        <v>9</v>
      </c>
      <c r="G386" s="1" t="s">
        <v>14</v>
      </c>
      <c r="H386" s="1" t="s">
        <v>76</v>
      </c>
      <c r="I386" s="5" t="s">
        <v>742</v>
      </c>
      <c r="J386" s="4">
        <v>55</v>
      </c>
      <c r="O386" s="1" t="s">
        <v>747</v>
      </c>
      <c r="P386" s="1" t="s">
        <v>51</v>
      </c>
      <c r="Q386" s="1" t="s">
        <v>96</v>
      </c>
      <c r="R386" s="1" t="s">
        <v>13</v>
      </c>
      <c r="S386" s="4">
        <v>17</v>
      </c>
      <c r="T386" s="4">
        <v>12</v>
      </c>
      <c r="U386" s="1" t="s">
        <v>14</v>
      </c>
      <c r="V386" s="1" t="s">
        <v>26</v>
      </c>
      <c r="W386" s="5" t="s">
        <v>748</v>
      </c>
      <c r="X386" s="4">
        <v>67</v>
      </c>
    </row>
    <row r="387" spans="1:24" x14ac:dyDescent="0.3">
      <c r="A387" s="1" t="s">
        <v>743</v>
      </c>
      <c r="B387" s="1" t="s">
        <v>84</v>
      </c>
      <c r="C387" s="1" t="s">
        <v>19</v>
      </c>
      <c r="D387" s="1" t="s">
        <v>13</v>
      </c>
      <c r="E387" s="4">
        <v>15</v>
      </c>
      <c r="F387" s="4">
        <v>10</v>
      </c>
      <c r="G387" s="1" t="s">
        <v>43</v>
      </c>
      <c r="H387" s="1" t="s">
        <v>26</v>
      </c>
      <c r="I387" s="5" t="s">
        <v>744</v>
      </c>
      <c r="J387" s="4">
        <v>60</v>
      </c>
      <c r="O387" s="1" t="s">
        <v>749</v>
      </c>
      <c r="P387" s="1" t="s">
        <v>84</v>
      </c>
      <c r="Q387" s="1" t="s">
        <v>30</v>
      </c>
      <c r="R387" s="1" t="s">
        <v>13</v>
      </c>
      <c r="S387" s="4">
        <v>15</v>
      </c>
      <c r="T387" s="4">
        <v>12</v>
      </c>
      <c r="U387" s="1" t="s">
        <v>25</v>
      </c>
      <c r="V387" s="1" t="s">
        <v>61</v>
      </c>
      <c r="W387" s="5" t="s">
        <v>750</v>
      </c>
      <c r="X387" s="4">
        <v>95</v>
      </c>
    </row>
    <row r="388" spans="1:24" x14ac:dyDescent="0.3">
      <c r="A388" s="1" t="s">
        <v>745</v>
      </c>
      <c r="B388" s="1" t="s">
        <v>73</v>
      </c>
      <c r="C388" s="1" t="s">
        <v>36</v>
      </c>
      <c r="D388" s="1" t="s">
        <v>13</v>
      </c>
      <c r="E388" s="4">
        <v>16</v>
      </c>
      <c r="F388" s="4">
        <v>9</v>
      </c>
      <c r="G388" s="1" t="s">
        <v>32</v>
      </c>
      <c r="H388" s="1" t="s">
        <v>76</v>
      </c>
      <c r="I388" s="5" t="s">
        <v>746</v>
      </c>
      <c r="J388" s="4">
        <v>38</v>
      </c>
      <c r="O388" s="1" t="s">
        <v>751</v>
      </c>
      <c r="P388" s="1" t="s">
        <v>73</v>
      </c>
      <c r="Q388" s="1" t="s">
        <v>79</v>
      </c>
      <c r="R388" s="1" t="s">
        <v>31</v>
      </c>
      <c r="S388" s="4">
        <v>20</v>
      </c>
      <c r="T388" s="4">
        <v>12</v>
      </c>
      <c r="U388" s="1" t="s">
        <v>25</v>
      </c>
      <c r="V388" s="1" t="s">
        <v>76</v>
      </c>
      <c r="W388" s="5" t="s">
        <v>752</v>
      </c>
      <c r="X388" s="4">
        <v>91</v>
      </c>
    </row>
    <row r="389" spans="1:24" x14ac:dyDescent="0.3">
      <c r="A389" s="1" t="s">
        <v>747</v>
      </c>
      <c r="B389" s="1" t="s">
        <v>51</v>
      </c>
      <c r="C389" s="1" t="s">
        <v>96</v>
      </c>
      <c r="D389" s="1" t="s">
        <v>13</v>
      </c>
      <c r="E389" s="4">
        <v>17</v>
      </c>
      <c r="F389" s="4">
        <v>12</v>
      </c>
      <c r="G389" s="1" t="s">
        <v>14</v>
      </c>
      <c r="H389" s="1" t="s">
        <v>26</v>
      </c>
      <c r="I389" s="5" t="s">
        <v>748</v>
      </c>
      <c r="J389" s="4">
        <v>67</v>
      </c>
      <c r="O389" s="1" t="s">
        <v>753</v>
      </c>
      <c r="P389" s="1" t="s">
        <v>73</v>
      </c>
      <c r="Q389" s="1" t="s">
        <v>24</v>
      </c>
      <c r="R389" s="1" t="s">
        <v>13</v>
      </c>
      <c r="S389" s="4">
        <v>18</v>
      </c>
      <c r="T389" s="4">
        <v>11</v>
      </c>
      <c r="U389" s="1" t="s">
        <v>32</v>
      </c>
      <c r="V389" s="1" t="s">
        <v>40</v>
      </c>
      <c r="W389" s="5" t="s">
        <v>313</v>
      </c>
      <c r="X389" s="4">
        <v>58</v>
      </c>
    </row>
    <row r="390" spans="1:24" x14ac:dyDescent="0.3">
      <c r="A390" s="1" t="s">
        <v>749</v>
      </c>
      <c r="B390" s="1" t="s">
        <v>84</v>
      </c>
      <c r="C390" s="1" t="s">
        <v>30</v>
      </c>
      <c r="D390" s="1" t="s">
        <v>13</v>
      </c>
      <c r="E390" s="4">
        <v>15</v>
      </c>
      <c r="F390" s="4">
        <v>12</v>
      </c>
      <c r="G390" s="1" t="s">
        <v>25</v>
      </c>
      <c r="H390" s="1" t="s">
        <v>61</v>
      </c>
      <c r="I390" s="5" t="s">
        <v>750</v>
      </c>
      <c r="J390" s="4">
        <v>95</v>
      </c>
      <c r="O390" s="1" t="s">
        <v>754</v>
      </c>
      <c r="P390" s="1" t="s">
        <v>54</v>
      </c>
      <c r="Q390" s="1" t="s">
        <v>12</v>
      </c>
      <c r="R390" s="1" t="s">
        <v>13</v>
      </c>
      <c r="S390" s="4">
        <v>14</v>
      </c>
      <c r="T390" s="4">
        <v>12</v>
      </c>
      <c r="U390" s="1" t="s">
        <v>32</v>
      </c>
      <c r="V390" s="1" t="s">
        <v>20</v>
      </c>
      <c r="W390" s="5" t="s">
        <v>755</v>
      </c>
      <c r="X390" s="4">
        <v>98</v>
      </c>
    </row>
    <row r="391" spans="1:24" x14ac:dyDescent="0.3">
      <c r="A391" s="1" t="s">
        <v>751</v>
      </c>
      <c r="B391" s="1" t="s">
        <v>73</v>
      </c>
      <c r="C391" s="1" t="s">
        <v>79</v>
      </c>
      <c r="D391" s="1" t="s">
        <v>31</v>
      </c>
      <c r="E391" s="4">
        <v>20</v>
      </c>
      <c r="F391" s="4">
        <v>12</v>
      </c>
      <c r="G391" s="1" t="s">
        <v>25</v>
      </c>
      <c r="H391" s="1" t="s">
        <v>76</v>
      </c>
      <c r="I391" s="5" t="s">
        <v>752</v>
      </c>
      <c r="J391" s="4">
        <v>91</v>
      </c>
      <c r="O391" s="1" t="s">
        <v>756</v>
      </c>
      <c r="P391" s="1" t="s">
        <v>11</v>
      </c>
      <c r="Q391" s="1" t="s">
        <v>30</v>
      </c>
      <c r="R391" s="1" t="s">
        <v>13</v>
      </c>
      <c r="S391" s="4">
        <v>15</v>
      </c>
      <c r="T391" s="4">
        <v>11</v>
      </c>
      <c r="U391" s="1" t="s">
        <v>14</v>
      </c>
      <c r="V391" s="1" t="s">
        <v>76</v>
      </c>
      <c r="W391" s="5" t="s">
        <v>757</v>
      </c>
      <c r="X391" s="4">
        <v>39</v>
      </c>
    </row>
    <row r="392" spans="1:24" x14ac:dyDescent="0.3">
      <c r="A392" s="1" t="s">
        <v>753</v>
      </c>
      <c r="B392" s="1" t="s">
        <v>73</v>
      </c>
      <c r="C392" s="1" t="s">
        <v>24</v>
      </c>
      <c r="D392" s="1" t="s">
        <v>13</v>
      </c>
      <c r="E392" s="4">
        <v>18</v>
      </c>
      <c r="F392" s="4">
        <v>11</v>
      </c>
      <c r="G392" s="1" t="s">
        <v>32</v>
      </c>
      <c r="H392" s="1" t="s">
        <v>40</v>
      </c>
      <c r="I392" s="5" t="s">
        <v>313</v>
      </c>
      <c r="J392" s="4">
        <v>58</v>
      </c>
      <c r="O392" s="1" t="s">
        <v>758</v>
      </c>
      <c r="P392" s="1" t="s">
        <v>73</v>
      </c>
      <c r="Q392" s="1" t="s">
        <v>12</v>
      </c>
      <c r="R392" s="1" t="s">
        <v>31</v>
      </c>
      <c r="S392" s="4">
        <v>16</v>
      </c>
      <c r="T392" s="4">
        <v>11</v>
      </c>
      <c r="U392" s="1" t="s">
        <v>43</v>
      </c>
      <c r="V392" s="1" t="s">
        <v>40</v>
      </c>
      <c r="W392" s="5" t="s">
        <v>759</v>
      </c>
      <c r="X392" s="4">
        <v>70</v>
      </c>
    </row>
    <row r="393" spans="1:24" x14ac:dyDescent="0.3">
      <c r="A393" s="1" t="s">
        <v>754</v>
      </c>
      <c r="B393" s="1" t="s">
        <v>54</v>
      </c>
      <c r="C393" s="1" t="s">
        <v>12</v>
      </c>
      <c r="D393" s="1" t="s">
        <v>13</v>
      </c>
      <c r="E393" s="4">
        <v>14</v>
      </c>
      <c r="F393" s="4">
        <v>12</v>
      </c>
      <c r="G393" s="1" t="s">
        <v>32</v>
      </c>
      <c r="H393" s="1" t="s">
        <v>20</v>
      </c>
      <c r="I393" s="5" t="s">
        <v>755</v>
      </c>
      <c r="J393" s="4">
        <v>98</v>
      </c>
      <c r="O393" s="1" t="s">
        <v>760</v>
      </c>
      <c r="P393" s="1" t="s">
        <v>84</v>
      </c>
      <c r="Q393" s="1" t="s">
        <v>96</v>
      </c>
      <c r="R393" s="1" t="s">
        <v>31</v>
      </c>
      <c r="S393" s="4">
        <v>16</v>
      </c>
      <c r="T393" s="4">
        <v>11</v>
      </c>
      <c r="U393" s="1" t="s">
        <v>32</v>
      </c>
      <c r="V393" s="1" t="s">
        <v>76</v>
      </c>
      <c r="W393" s="5" t="s">
        <v>761</v>
      </c>
      <c r="X393" s="4">
        <v>83</v>
      </c>
    </row>
    <row r="394" spans="1:24" x14ac:dyDescent="0.3">
      <c r="A394" s="1" t="s">
        <v>756</v>
      </c>
      <c r="B394" s="1" t="s">
        <v>11</v>
      </c>
      <c r="C394" s="1" t="s">
        <v>30</v>
      </c>
      <c r="D394" s="1" t="s">
        <v>13</v>
      </c>
      <c r="E394" s="4">
        <v>15</v>
      </c>
      <c r="F394" s="4">
        <v>11</v>
      </c>
      <c r="G394" s="1" t="s">
        <v>14</v>
      </c>
      <c r="H394" s="1" t="s">
        <v>76</v>
      </c>
      <c r="I394" s="5" t="s">
        <v>757</v>
      </c>
      <c r="J394" s="4">
        <v>39</v>
      </c>
      <c r="O394" s="1" t="s">
        <v>762</v>
      </c>
      <c r="P394" s="1" t="s">
        <v>68</v>
      </c>
      <c r="Q394" s="1" t="s">
        <v>85</v>
      </c>
      <c r="R394" s="1" t="s">
        <v>31</v>
      </c>
      <c r="S394" s="4">
        <v>20</v>
      </c>
      <c r="T394" s="4">
        <v>12</v>
      </c>
      <c r="U394" s="1" t="s">
        <v>43</v>
      </c>
      <c r="V394" s="1" t="s">
        <v>20</v>
      </c>
      <c r="W394" s="5" t="s">
        <v>763</v>
      </c>
      <c r="X394" s="4">
        <v>82</v>
      </c>
    </row>
    <row r="395" spans="1:24" x14ac:dyDescent="0.3">
      <c r="A395" s="1" t="s">
        <v>758</v>
      </c>
      <c r="B395" s="1" t="s">
        <v>73</v>
      </c>
      <c r="C395" s="1" t="s">
        <v>12</v>
      </c>
      <c r="D395" s="1" t="s">
        <v>31</v>
      </c>
      <c r="E395" s="4">
        <v>16</v>
      </c>
      <c r="F395" s="4">
        <v>11</v>
      </c>
      <c r="G395" s="1" t="s">
        <v>43</v>
      </c>
      <c r="H395" s="1" t="s">
        <v>40</v>
      </c>
      <c r="I395" s="5" t="s">
        <v>759</v>
      </c>
      <c r="J395" s="4">
        <v>70</v>
      </c>
      <c r="O395" s="1" t="s">
        <v>764</v>
      </c>
      <c r="P395" s="1" t="s">
        <v>18</v>
      </c>
      <c r="Q395" s="1" t="s">
        <v>55</v>
      </c>
      <c r="R395" s="1" t="s">
        <v>13</v>
      </c>
      <c r="S395" s="4">
        <v>16</v>
      </c>
      <c r="T395" s="4">
        <v>12</v>
      </c>
      <c r="U395" s="1" t="s">
        <v>14</v>
      </c>
      <c r="V395" s="1" t="s">
        <v>40</v>
      </c>
      <c r="W395" s="5" t="s">
        <v>765</v>
      </c>
      <c r="X395" s="4">
        <v>61</v>
      </c>
    </row>
    <row r="396" spans="1:24" x14ac:dyDescent="0.3">
      <c r="A396" s="1" t="s">
        <v>760</v>
      </c>
      <c r="B396" s="1" t="s">
        <v>84</v>
      </c>
      <c r="C396" s="1" t="s">
        <v>96</v>
      </c>
      <c r="D396" s="1" t="s">
        <v>31</v>
      </c>
      <c r="E396" s="4">
        <v>16</v>
      </c>
      <c r="F396" s="4">
        <v>11</v>
      </c>
      <c r="G396" s="1" t="s">
        <v>32</v>
      </c>
      <c r="H396" s="1" t="s">
        <v>76</v>
      </c>
      <c r="I396" s="5" t="s">
        <v>761</v>
      </c>
      <c r="J396" s="4">
        <v>83</v>
      </c>
      <c r="O396" s="1" t="s">
        <v>766</v>
      </c>
      <c r="P396" s="1" t="s">
        <v>35</v>
      </c>
      <c r="Q396" s="1" t="s">
        <v>58</v>
      </c>
      <c r="R396" s="1" t="s">
        <v>13</v>
      </c>
      <c r="S396" s="4">
        <v>20</v>
      </c>
      <c r="T396" s="4">
        <v>11</v>
      </c>
      <c r="U396" s="1" t="s">
        <v>32</v>
      </c>
      <c r="V396" s="1" t="s">
        <v>46</v>
      </c>
      <c r="W396" s="5" t="s">
        <v>767</v>
      </c>
      <c r="X396" s="4">
        <v>54</v>
      </c>
    </row>
    <row r="397" spans="1:24" x14ac:dyDescent="0.3">
      <c r="A397" s="1" t="s">
        <v>762</v>
      </c>
      <c r="B397" s="1" t="s">
        <v>68</v>
      </c>
      <c r="C397" s="1" t="s">
        <v>85</v>
      </c>
      <c r="D397" s="1" t="s">
        <v>31</v>
      </c>
      <c r="E397" s="4">
        <v>20</v>
      </c>
      <c r="F397" s="4">
        <v>12</v>
      </c>
      <c r="G397" s="1" t="s">
        <v>43</v>
      </c>
      <c r="H397" s="1" t="s">
        <v>20</v>
      </c>
      <c r="I397" s="5" t="s">
        <v>763</v>
      </c>
      <c r="J397" s="4">
        <v>82</v>
      </c>
      <c r="O397" s="1" t="s">
        <v>768</v>
      </c>
      <c r="P397" s="1" t="s">
        <v>23</v>
      </c>
      <c r="Q397" s="1" t="s">
        <v>24</v>
      </c>
      <c r="R397" s="1" t="s">
        <v>13</v>
      </c>
      <c r="S397" s="4">
        <v>17</v>
      </c>
      <c r="T397" s="4">
        <v>11</v>
      </c>
      <c r="U397" s="1" t="s">
        <v>25</v>
      </c>
      <c r="V397" s="1" t="s">
        <v>40</v>
      </c>
      <c r="W397" s="5" t="s">
        <v>258</v>
      </c>
      <c r="X397" s="4">
        <v>61</v>
      </c>
    </row>
    <row r="398" spans="1:24" x14ac:dyDescent="0.3">
      <c r="A398" s="1" t="s">
        <v>764</v>
      </c>
      <c r="B398" s="1" t="s">
        <v>18</v>
      </c>
      <c r="C398" s="1" t="s">
        <v>55</v>
      </c>
      <c r="D398" s="1" t="s">
        <v>13</v>
      </c>
      <c r="E398" s="4">
        <v>16</v>
      </c>
      <c r="F398" s="4">
        <v>12</v>
      </c>
      <c r="G398" s="1" t="s">
        <v>14</v>
      </c>
      <c r="H398" s="1" t="s">
        <v>40</v>
      </c>
      <c r="I398" s="5" t="s">
        <v>765</v>
      </c>
      <c r="J398" s="4">
        <v>61</v>
      </c>
      <c r="O398" s="1" t="s">
        <v>769</v>
      </c>
      <c r="P398" s="1" t="s">
        <v>35</v>
      </c>
      <c r="Q398" s="1" t="s">
        <v>30</v>
      </c>
      <c r="R398" s="1" t="s">
        <v>13</v>
      </c>
      <c r="S398" s="4">
        <v>16</v>
      </c>
      <c r="T398" s="4">
        <v>11</v>
      </c>
      <c r="U398" s="1" t="s">
        <v>32</v>
      </c>
      <c r="V398" s="1" t="s">
        <v>46</v>
      </c>
      <c r="W398" s="5" t="s">
        <v>770</v>
      </c>
      <c r="X398" s="4">
        <v>85</v>
      </c>
    </row>
    <row r="399" spans="1:24" x14ac:dyDescent="0.3">
      <c r="A399" s="1" t="s">
        <v>766</v>
      </c>
      <c r="B399" s="1" t="s">
        <v>35</v>
      </c>
      <c r="C399" s="1" t="s">
        <v>58</v>
      </c>
      <c r="D399" s="1" t="s">
        <v>13</v>
      </c>
      <c r="E399" s="4">
        <v>20</v>
      </c>
      <c r="F399" s="4">
        <v>11</v>
      </c>
      <c r="G399" s="1" t="s">
        <v>32</v>
      </c>
      <c r="H399" s="1" t="s">
        <v>46</v>
      </c>
      <c r="I399" s="5" t="s">
        <v>767</v>
      </c>
      <c r="J399" s="4">
        <v>54</v>
      </c>
      <c r="O399" s="1" t="s">
        <v>771</v>
      </c>
      <c r="P399" s="1" t="s">
        <v>23</v>
      </c>
      <c r="Q399" s="1" t="s">
        <v>24</v>
      </c>
      <c r="R399" s="1" t="s">
        <v>31</v>
      </c>
      <c r="S399" s="4">
        <v>18</v>
      </c>
      <c r="T399" s="4">
        <v>11</v>
      </c>
      <c r="U399" s="1" t="s">
        <v>25</v>
      </c>
      <c r="V399" s="1" t="s">
        <v>46</v>
      </c>
      <c r="W399" s="5" t="s">
        <v>772</v>
      </c>
      <c r="X399" s="4">
        <v>89</v>
      </c>
    </row>
    <row r="400" spans="1:24" x14ac:dyDescent="0.3">
      <c r="A400" s="1" t="s">
        <v>768</v>
      </c>
      <c r="B400" s="1" t="s">
        <v>23</v>
      </c>
      <c r="C400" s="1" t="s">
        <v>24</v>
      </c>
      <c r="D400" s="1" t="s">
        <v>13</v>
      </c>
      <c r="E400" s="4">
        <v>17</v>
      </c>
      <c r="F400" s="4">
        <v>11</v>
      </c>
      <c r="G400" s="1" t="s">
        <v>25</v>
      </c>
      <c r="H400" s="1" t="s">
        <v>40</v>
      </c>
      <c r="I400" s="5" t="s">
        <v>258</v>
      </c>
      <c r="J400" s="4">
        <v>61</v>
      </c>
      <c r="O400" s="1" t="s">
        <v>773</v>
      </c>
      <c r="P400" s="1" t="s">
        <v>68</v>
      </c>
      <c r="Q400" s="1" t="s">
        <v>19</v>
      </c>
      <c r="R400" s="1" t="s">
        <v>13</v>
      </c>
      <c r="S400" s="4">
        <v>14</v>
      </c>
      <c r="T400" s="4">
        <v>11</v>
      </c>
      <c r="U400" s="1" t="s">
        <v>14</v>
      </c>
      <c r="V400" s="1" t="s">
        <v>20</v>
      </c>
      <c r="W400" s="5" t="s">
        <v>774</v>
      </c>
      <c r="X400" s="4">
        <v>72</v>
      </c>
    </row>
    <row r="401" spans="1:24" x14ac:dyDescent="0.3">
      <c r="A401" s="1" t="s">
        <v>769</v>
      </c>
      <c r="B401" s="1" t="s">
        <v>35</v>
      </c>
      <c r="C401" s="1" t="s">
        <v>30</v>
      </c>
      <c r="D401" s="1" t="s">
        <v>13</v>
      </c>
      <c r="E401" s="4">
        <v>16</v>
      </c>
      <c r="F401" s="4">
        <v>11</v>
      </c>
      <c r="G401" s="1" t="s">
        <v>32</v>
      </c>
      <c r="H401" s="1" t="s">
        <v>46</v>
      </c>
      <c r="I401" s="5" t="s">
        <v>770</v>
      </c>
      <c r="J401" s="4">
        <v>85</v>
      </c>
      <c r="O401" s="1" t="s">
        <v>775</v>
      </c>
      <c r="P401" s="1" t="s">
        <v>29</v>
      </c>
      <c r="Q401" s="1" t="s">
        <v>85</v>
      </c>
      <c r="R401" s="1" t="s">
        <v>31</v>
      </c>
      <c r="S401" s="4">
        <v>20</v>
      </c>
      <c r="T401" s="4">
        <v>10</v>
      </c>
      <c r="U401" s="1" t="s">
        <v>14</v>
      </c>
      <c r="V401" s="1" t="s">
        <v>46</v>
      </c>
      <c r="W401" s="5" t="s">
        <v>366</v>
      </c>
      <c r="X401" s="4">
        <v>100</v>
      </c>
    </row>
    <row r="402" spans="1:24" x14ac:dyDescent="0.3">
      <c r="A402" s="1" t="s">
        <v>771</v>
      </c>
      <c r="B402" s="1" t="s">
        <v>23</v>
      </c>
      <c r="C402" s="1" t="s">
        <v>24</v>
      </c>
      <c r="D402" s="1" t="s">
        <v>31</v>
      </c>
      <c r="E402" s="4">
        <v>18</v>
      </c>
      <c r="F402" s="4">
        <v>11</v>
      </c>
      <c r="G402" s="1" t="s">
        <v>25</v>
      </c>
      <c r="H402" s="1" t="s">
        <v>46</v>
      </c>
      <c r="I402" s="5" t="s">
        <v>772</v>
      </c>
      <c r="J402" s="4">
        <v>89</v>
      </c>
      <c r="O402" s="1" t="s">
        <v>776</v>
      </c>
      <c r="P402" s="1" t="s">
        <v>11</v>
      </c>
      <c r="Q402" s="1" t="s">
        <v>12</v>
      </c>
      <c r="R402" s="1" t="s">
        <v>31</v>
      </c>
      <c r="S402" s="4">
        <v>20</v>
      </c>
      <c r="T402" s="4">
        <v>9</v>
      </c>
      <c r="U402" s="1" t="s">
        <v>14</v>
      </c>
      <c r="V402" s="1" t="s">
        <v>76</v>
      </c>
      <c r="W402" s="5" t="s">
        <v>777</v>
      </c>
      <c r="X402" s="4">
        <v>84</v>
      </c>
    </row>
    <row r="403" spans="1:24" x14ac:dyDescent="0.3">
      <c r="A403" s="1" t="s">
        <v>773</v>
      </c>
      <c r="B403" s="1" t="s">
        <v>68</v>
      </c>
      <c r="C403" s="1" t="s">
        <v>19</v>
      </c>
      <c r="D403" s="1" t="s">
        <v>13</v>
      </c>
      <c r="E403" s="4">
        <v>14</v>
      </c>
      <c r="F403" s="4">
        <v>11</v>
      </c>
      <c r="G403" s="1" t="s">
        <v>14</v>
      </c>
      <c r="H403" s="1" t="s">
        <v>20</v>
      </c>
      <c r="I403" s="5" t="s">
        <v>774</v>
      </c>
      <c r="J403" s="4">
        <v>72</v>
      </c>
      <c r="O403" s="1" t="s">
        <v>778</v>
      </c>
      <c r="P403" s="1" t="s">
        <v>73</v>
      </c>
      <c r="Q403" s="1" t="s">
        <v>19</v>
      </c>
      <c r="R403" s="1" t="s">
        <v>13</v>
      </c>
      <c r="S403" s="4">
        <v>17</v>
      </c>
      <c r="T403" s="4">
        <v>12</v>
      </c>
      <c r="U403" s="1" t="s">
        <v>14</v>
      </c>
      <c r="V403" s="1" t="s">
        <v>37</v>
      </c>
      <c r="W403" s="5" t="s">
        <v>779</v>
      </c>
      <c r="X403" s="4">
        <v>76</v>
      </c>
    </row>
    <row r="404" spans="1:24" x14ac:dyDescent="0.3">
      <c r="A404" s="1" t="s">
        <v>775</v>
      </c>
      <c r="B404" s="1" t="s">
        <v>29</v>
      </c>
      <c r="C404" s="1" t="s">
        <v>85</v>
      </c>
      <c r="D404" s="1" t="s">
        <v>31</v>
      </c>
      <c r="E404" s="4">
        <v>20</v>
      </c>
      <c r="F404" s="4">
        <v>10</v>
      </c>
      <c r="G404" s="1" t="s">
        <v>14</v>
      </c>
      <c r="H404" s="1" t="s">
        <v>46</v>
      </c>
      <c r="I404" s="5" t="s">
        <v>366</v>
      </c>
      <c r="J404" s="4">
        <v>100</v>
      </c>
      <c r="O404" s="1" t="s">
        <v>780</v>
      </c>
      <c r="P404" s="1" t="s">
        <v>35</v>
      </c>
      <c r="Q404" s="1" t="s">
        <v>36</v>
      </c>
      <c r="R404" s="1" t="s">
        <v>31</v>
      </c>
      <c r="S404" s="4">
        <v>14</v>
      </c>
      <c r="T404" s="4">
        <v>9</v>
      </c>
      <c r="U404" s="1" t="s">
        <v>25</v>
      </c>
      <c r="V404" s="1" t="s">
        <v>40</v>
      </c>
      <c r="W404" s="5" t="s">
        <v>781</v>
      </c>
      <c r="X404" s="4">
        <v>36</v>
      </c>
    </row>
    <row r="405" spans="1:24" x14ac:dyDescent="0.3">
      <c r="A405" s="1" t="s">
        <v>776</v>
      </c>
      <c r="B405" s="1" t="s">
        <v>11</v>
      </c>
      <c r="C405" s="1" t="s">
        <v>12</v>
      </c>
      <c r="D405" s="1" t="s">
        <v>31</v>
      </c>
      <c r="E405" s="4">
        <v>20</v>
      </c>
      <c r="F405" s="4">
        <v>9</v>
      </c>
      <c r="G405" s="1" t="s">
        <v>14</v>
      </c>
      <c r="H405" s="1" t="s">
        <v>76</v>
      </c>
      <c r="I405" s="5" t="s">
        <v>777</v>
      </c>
      <c r="J405" s="4">
        <v>84</v>
      </c>
      <c r="O405" s="1" t="s">
        <v>782</v>
      </c>
      <c r="P405" s="1" t="s">
        <v>84</v>
      </c>
      <c r="Q405" s="1" t="s">
        <v>12</v>
      </c>
      <c r="R405" s="1" t="s">
        <v>31</v>
      </c>
      <c r="S405" s="4">
        <v>14</v>
      </c>
      <c r="T405" s="4">
        <v>11</v>
      </c>
      <c r="U405" s="1" t="s">
        <v>14</v>
      </c>
      <c r="V405" s="1" t="s">
        <v>37</v>
      </c>
      <c r="W405" s="5" t="s">
        <v>252</v>
      </c>
      <c r="X405" s="4">
        <v>95</v>
      </c>
    </row>
    <row r="406" spans="1:24" x14ac:dyDescent="0.3">
      <c r="A406" s="1" t="s">
        <v>778</v>
      </c>
      <c r="B406" s="1" t="s">
        <v>73</v>
      </c>
      <c r="C406" s="1" t="s">
        <v>19</v>
      </c>
      <c r="D406" s="1" t="s">
        <v>13</v>
      </c>
      <c r="E406" s="4">
        <v>17</v>
      </c>
      <c r="F406" s="4">
        <v>12</v>
      </c>
      <c r="G406" s="1" t="s">
        <v>14</v>
      </c>
      <c r="H406" s="1" t="s">
        <v>37</v>
      </c>
      <c r="I406" s="5" t="s">
        <v>779</v>
      </c>
      <c r="J406" s="4">
        <v>76</v>
      </c>
      <c r="O406" s="1" t="s">
        <v>783</v>
      </c>
      <c r="P406" s="1" t="s">
        <v>54</v>
      </c>
      <c r="Q406" s="1" t="s">
        <v>79</v>
      </c>
      <c r="R406" s="1" t="s">
        <v>31</v>
      </c>
      <c r="S406" s="4">
        <v>15</v>
      </c>
      <c r="T406" s="4">
        <v>11</v>
      </c>
      <c r="U406" s="1" t="s">
        <v>25</v>
      </c>
      <c r="V406" s="1" t="s">
        <v>61</v>
      </c>
      <c r="W406" s="5" t="s">
        <v>628</v>
      </c>
      <c r="X406" s="4">
        <v>39</v>
      </c>
    </row>
    <row r="407" spans="1:24" x14ac:dyDescent="0.3">
      <c r="A407" s="1" t="s">
        <v>780</v>
      </c>
      <c r="B407" s="1" t="s">
        <v>35</v>
      </c>
      <c r="C407" s="1" t="s">
        <v>36</v>
      </c>
      <c r="D407" s="1" t="s">
        <v>31</v>
      </c>
      <c r="E407" s="4">
        <v>14</v>
      </c>
      <c r="F407" s="4">
        <v>9</v>
      </c>
      <c r="G407" s="1" t="s">
        <v>25</v>
      </c>
      <c r="H407" s="1" t="s">
        <v>40</v>
      </c>
      <c r="I407" s="5" t="s">
        <v>781</v>
      </c>
      <c r="J407" s="4">
        <v>36</v>
      </c>
      <c r="O407" s="1" t="s">
        <v>784</v>
      </c>
      <c r="P407" s="1" t="s">
        <v>84</v>
      </c>
      <c r="Q407" s="1" t="s">
        <v>12</v>
      </c>
      <c r="R407" s="1" t="s">
        <v>13</v>
      </c>
      <c r="S407" s="4">
        <v>17</v>
      </c>
      <c r="T407" s="4">
        <v>9</v>
      </c>
      <c r="U407" s="1" t="s">
        <v>43</v>
      </c>
      <c r="V407" s="1" t="s">
        <v>76</v>
      </c>
      <c r="W407" s="5" t="s">
        <v>685</v>
      </c>
      <c r="X407" s="4">
        <v>89</v>
      </c>
    </row>
    <row r="408" spans="1:24" x14ac:dyDescent="0.3">
      <c r="A408" s="1" t="s">
        <v>782</v>
      </c>
      <c r="B408" s="1" t="s">
        <v>84</v>
      </c>
      <c r="C408" s="1" t="s">
        <v>12</v>
      </c>
      <c r="D408" s="1" t="s">
        <v>31</v>
      </c>
      <c r="E408" s="4">
        <v>14</v>
      </c>
      <c r="F408" s="4">
        <v>11</v>
      </c>
      <c r="G408" s="1" t="s">
        <v>14</v>
      </c>
      <c r="H408" s="1" t="s">
        <v>37</v>
      </c>
      <c r="I408" s="5" t="s">
        <v>252</v>
      </c>
      <c r="J408" s="4">
        <v>95</v>
      </c>
      <c r="O408" s="1" t="s">
        <v>785</v>
      </c>
      <c r="P408" s="1" t="s">
        <v>35</v>
      </c>
      <c r="Q408" s="1" t="s">
        <v>58</v>
      </c>
      <c r="R408" s="1" t="s">
        <v>13</v>
      </c>
      <c r="S408" s="4">
        <v>18</v>
      </c>
      <c r="T408" s="4">
        <v>12</v>
      </c>
      <c r="U408" s="1" t="s">
        <v>43</v>
      </c>
      <c r="V408" s="1" t="s">
        <v>20</v>
      </c>
      <c r="W408" s="5" t="s">
        <v>786</v>
      </c>
      <c r="X408" s="4">
        <v>93</v>
      </c>
    </row>
    <row r="409" spans="1:24" x14ac:dyDescent="0.3">
      <c r="A409" s="1" t="s">
        <v>783</v>
      </c>
      <c r="B409" s="1" t="s">
        <v>54</v>
      </c>
      <c r="C409" s="1" t="s">
        <v>79</v>
      </c>
      <c r="D409" s="1" t="s">
        <v>31</v>
      </c>
      <c r="E409" s="4">
        <v>15</v>
      </c>
      <c r="F409" s="4">
        <v>11</v>
      </c>
      <c r="G409" s="1" t="s">
        <v>25</v>
      </c>
      <c r="H409" s="1" t="s">
        <v>61</v>
      </c>
      <c r="I409" s="5" t="s">
        <v>628</v>
      </c>
      <c r="J409" s="4">
        <v>39</v>
      </c>
      <c r="O409" s="1" t="s">
        <v>787</v>
      </c>
      <c r="P409" s="1" t="s">
        <v>18</v>
      </c>
      <c r="Q409" s="1" t="s">
        <v>36</v>
      </c>
      <c r="R409" s="1" t="s">
        <v>31</v>
      </c>
      <c r="S409" s="4">
        <v>16</v>
      </c>
      <c r="T409" s="4">
        <v>9</v>
      </c>
      <c r="U409" s="1" t="s">
        <v>14</v>
      </c>
      <c r="V409" s="1" t="s">
        <v>76</v>
      </c>
      <c r="W409" s="5" t="s">
        <v>788</v>
      </c>
      <c r="X409" s="4">
        <v>88</v>
      </c>
    </row>
    <row r="410" spans="1:24" x14ac:dyDescent="0.3">
      <c r="A410" s="1" t="s">
        <v>784</v>
      </c>
      <c r="B410" s="1" t="s">
        <v>84</v>
      </c>
      <c r="C410" s="1" t="s">
        <v>12</v>
      </c>
      <c r="D410" s="1" t="s">
        <v>13</v>
      </c>
      <c r="E410" s="4">
        <v>17</v>
      </c>
      <c r="F410" s="4">
        <v>9</v>
      </c>
      <c r="G410" s="1" t="s">
        <v>43</v>
      </c>
      <c r="H410" s="1" t="s">
        <v>76</v>
      </c>
      <c r="I410" s="5" t="s">
        <v>685</v>
      </c>
      <c r="J410" s="4">
        <v>89</v>
      </c>
      <c r="O410" s="1" t="s">
        <v>789</v>
      </c>
      <c r="P410" s="1" t="s">
        <v>54</v>
      </c>
      <c r="Q410" s="1" t="s">
        <v>12</v>
      </c>
      <c r="R410" s="1" t="s">
        <v>31</v>
      </c>
      <c r="S410" s="4">
        <v>18</v>
      </c>
      <c r="T410" s="4">
        <v>10</v>
      </c>
      <c r="U410" s="1" t="s">
        <v>25</v>
      </c>
      <c r="V410" s="1" t="s">
        <v>15</v>
      </c>
      <c r="W410" s="5" t="s">
        <v>790</v>
      </c>
      <c r="X410" s="4">
        <v>95</v>
      </c>
    </row>
    <row r="411" spans="1:24" x14ac:dyDescent="0.3">
      <c r="A411" s="1" t="s">
        <v>785</v>
      </c>
      <c r="B411" s="1" t="s">
        <v>35</v>
      </c>
      <c r="C411" s="1" t="s">
        <v>58</v>
      </c>
      <c r="D411" s="1" t="s">
        <v>13</v>
      </c>
      <c r="E411" s="4">
        <v>18</v>
      </c>
      <c r="F411" s="4">
        <v>12</v>
      </c>
      <c r="G411" s="1" t="s">
        <v>43</v>
      </c>
      <c r="H411" s="1" t="s">
        <v>20</v>
      </c>
      <c r="I411" s="5" t="s">
        <v>786</v>
      </c>
      <c r="J411" s="4">
        <v>93</v>
      </c>
      <c r="O411" s="1" t="s">
        <v>791</v>
      </c>
      <c r="P411" s="1" t="s">
        <v>51</v>
      </c>
      <c r="Q411" s="1" t="s">
        <v>85</v>
      </c>
      <c r="R411" s="1" t="s">
        <v>13</v>
      </c>
      <c r="S411" s="4">
        <v>14</v>
      </c>
      <c r="T411" s="4">
        <v>9</v>
      </c>
      <c r="U411" s="1" t="s">
        <v>43</v>
      </c>
      <c r="V411" s="1" t="s">
        <v>61</v>
      </c>
      <c r="W411" s="5" t="s">
        <v>792</v>
      </c>
      <c r="X411" s="4">
        <v>96</v>
      </c>
    </row>
    <row r="412" spans="1:24" x14ac:dyDescent="0.3">
      <c r="A412" s="1" t="s">
        <v>787</v>
      </c>
      <c r="B412" s="1" t="s">
        <v>18</v>
      </c>
      <c r="C412" s="1" t="s">
        <v>36</v>
      </c>
      <c r="D412" s="1" t="s">
        <v>31</v>
      </c>
      <c r="E412" s="4">
        <v>16</v>
      </c>
      <c r="F412" s="4">
        <v>9</v>
      </c>
      <c r="G412" s="1" t="s">
        <v>14</v>
      </c>
      <c r="H412" s="1" t="s">
        <v>76</v>
      </c>
      <c r="I412" s="5" t="s">
        <v>788</v>
      </c>
      <c r="J412" s="4">
        <v>88</v>
      </c>
      <c r="O412" s="1" t="s">
        <v>793</v>
      </c>
      <c r="P412" s="1" t="s">
        <v>35</v>
      </c>
      <c r="Q412" s="1" t="s">
        <v>19</v>
      </c>
      <c r="R412" s="1" t="s">
        <v>31</v>
      </c>
      <c r="S412" s="4">
        <v>20</v>
      </c>
      <c r="T412" s="4">
        <v>11</v>
      </c>
      <c r="U412" s="1" t="s">
        <v>32</v>
      </c>
      <c r="V412" s="1" t="s">
        <v>20</v>
      </c>
      <c r="W412" s="5" t="s">
        <v>794</v>
      </c>
      <c r="X412" s="4">
        <v>74</v>
      </c>
    </row>
    <row r="413" spans="1:24" x14ac:dyDescent="0.3">
      <c r="A413" s="1" t="s">
        <v>789</v>
      </c>
      <c r="B413" s="1" t="s">
        <v>54</v>
      </c>
      <c r="C413" s="1" t="s">
        <v>12</v>
      </c>
      <c r="D413" s="1" t="s">
        <v>31</v>
      </c>
      <c r="E413" s="4">
        <v>18</v>
      </c>
      <c r="F413" s="4">
        <v>10</v>
      </c>
      <c r="G413" s="1" t="s">
        <v>25</v>
      </c>
      <c r="H413" s="1" t="s">
        <v>15</v>
      </c>
      <c r="I413" s="5" t="s">
        <v>790</v>
      </c>
      <c r="J413" s="4">
        <v>95</v>
      </c>
      <c r="O413" s="1" t="s">
        <v>795</v>
      </c>
      <c r="P413" s="1" t="s">
        <v>54</v>
      </c>
      <c r="Q413" s="1" t="s">
        <v>30</v>
      </c>
      <c r="R413" s="1" t="s">
        <v>13</v>
      </c>
      <c r="S413" s="4">
        <v>18</v>
      </c>
      <c r="T413" s="4">
        <v>12</v>
      </c>
      <c r="U413" s="1" t="s">
        <v>32</v>
      </c>
      <c r="V413" s="1" t="s">
        <v>20</v>
      </c>
      <c r="W413" s="5" t="s">
        <v>796</v>
      </c>
      <c r="X413" s="4">
        <v>55</v>
      </c>
    </row>
    <row r="414" spans="1:24" x14ac:dyDescent="0.3">
      <c r="A414" s="1" t="s">
        <v>791</v>
      </c>
      <c r="B414" s="1" t="s">
        <v>51</v>
      </c>
      <c r="C414" s="1" t="s">
        <v>85</v>
      </c>
      <c r="D414" s="1" t="s">
        <v>13</v>
      </c>
      <c r="E414" s="4">
        <v>14</v>
      </c>
      <c r="F414" s="4">
        <v>9</v>
      </c>
      <c r="G414" s="1" t="s">
        <v>43</v>
      </c>
      <c r="H414" s="1" t="s">
        <v>61</v>
      </c>
      <c r="I414" s="5" t="s">
        <v>792</v>
      </c>
      <c r="J414" s="4">
        <v>96</v>
      </c>
      <c r="O414" s="1" t="s">
        <v>797</v>
      </c>
      <c r="P414" s="1" t="s">
        <v>23</v>
      </c>
      <c r="Q414" s="1" t="s">
        <v>85</v>
      </c>
      <c r="R414" s="1" t="s">
        <v>13</v>
      </c>
      <c r="S414" s="4">
        <v>17</v>
      </c>
      <c r="T414" s="4">
        <v>12</v>
      </c>
      <c r="U414" s="1" t="s">
        <v>14</v>
      </c>
      <c r="V414" s="1" t="s">
        <v>76</v>
      </c>
      <c r="W414" s="5" t="s">
        <v>71</v>
      </c>
      <c r="X414" s="4">
        <v>77</v>
      </c>
    </row>
    <row r="415" spans="1:24" x14ac:dyDescent="0.3">
      <c r="A415" s="1" t="s">
        <v>793</v>
      </c>
      <c r="B415" s="1" t="s">
        <v>35</v>
      </c>
      <c r="C415" s="1" t="s">
        <v>19</v>
      </c>
      <c r="D415" s="1" t="s">
        <v>31</v>
      </c>
      <c r="E415" s="4">
        <v>20</v>
      </c>
      <c r="F415" s="4">
        <v>11</v>
      </c>
      <c r="G415" s="1" t="s">
        <v>32</v>
      </c>
      <c r="H415" s="1" t="s">
        <v>20</v>
      </c>
      <c r="I415" s="5" t="s">
        <v>794</v>
      </c>
      <c r="J415" s="4">
        <v>74</v>
      </c>
      <c r="O415" s="1" t="s">
        <v>798</v>
      </c>
      <c r="P415" s="1" t="s">
        <v>23</v>
      </c>
      <c r="Q415" s="1" t="s">
        <v>19</v>
      </c>
      <c r="R415" s="1" t="s">
        <v>13</v>
      </c>
      <c r="S415" s="4">
        <v>17</v>
      </c>
      <c r="T415" s="4">
        <v>12</v>
      </c>
      <c r="U415" s="1" t="s">
        <v>14</v>
      </c>
      <c r="V415" s="1" t="s">
        <v>40</v>
      </c>
      <c r="W415" s="5" t="s">
        <v>159</v>
      </c>
      <c r="X415" s="4">
        <v>95</v>
      </c>
    </row>
    <row r="416" spans="1:24" x14ac:dyDescent="0.3">
      <c r="A416" s="1" t="s">
        <v>795</v>
      </c>
      <c r="B416" s="1" t="s">
        <v>54</v>
      </c>
      <c r="C416" s="1" t="s">
        <v>30</v>
      </c>
      <c r="D416" s="1" t="s">
        <v>13</v>
      </c>
      <c r="E416" s="4">
        <v>18</v>
      </c>
      <c r="F416" s="4">
        <v>12</v>
      </c>
      <c r="G416" s="1" t="s">
        <v>32</v>
      </c>
      <c r="H416" s="1" t="s">
        <v>20</v>
      </c>
      <c r="I416" s="5" t="s">
        <v>796</v>
      </c>
      <c r="J416" s="4">
        <v>55</v>
      </c>
      <c r="O416" s="1" t="s">
        <v>799</v>
      </c>
      <c r="P416" s="1" t="s">
        <v>54</v>
      </c>
      <c r="Q416" s="1" t="s">
        <v>36</v>
      </c>
      <c r="R416" s="1" t="s">
        <v>31</v>
      </c>
      <c r="S416" s="4">
        <v>17</v>
      </c>
      <c r="T416" s="4">
        <v>12</v>
      </c>
      <c r="U416" s="1" t="s">
        <v>14</v>
      </c>
      <c r="V416" s="1" t="s">
        <v>46</v>
      </c>
      <c r="W416" s="5" t="s">
        <v>533</v>
      </c>
      <c r="X416" s="4">
        <v>59</v>
      </c>
    </row>
    <row r="417" spans="1:24" x14ac:dyDescent="0.3">
      <c r="A417" s="1" t="s">
        <v>797</v>
      </c>
      <c r="B417" s="1" t="s">
        <v>23</v>
      </c>
      <c r="C417" s="1" t="s">
        <v>85</v>
      </c>
      <c r="D417" s="1" t="s">
        <v>13</v>
      </c>
      <c r="E417" s="4">
        <v>17</v>
      </c>
      <c r="F417" s="4">
        <v>12</v>
      </c>
      <c r="G417" s="1" t="s">
        <v>14</v>
      </c>
      <c r="H417" s="1" t="s">
        <v>76</v>
      </c>
      <c r="I417" s="5" t="s">
        <v>71</v>
      </c>
      <c r="J417" s="4">
        <v>77</v>
      </c>
      <c r="O417" s="1" t="s">
        <v>800</v>
      </c>
      <c r="P417" s="1" t="s">
        <v>23</v>
      </c>
      <c r="Q417" s="1" t="s">
        <v>79</v>
      </c>
      <c r="R417" s="1" t="s">
        <v>31</v>
      </c>
      <c r="S417" s="4">
        <v>18</v>
      </c>
      <c r="T417" s="4">
        <v>11</v>
      </c>
      <c r="U417" s="1" t="s">
        <v>32</v>
      </c>
      <c r="V417" s="1" t="s">
        <v>76</v>
      </c>
      <c r="W417" s="5" t="s">
        <v>801</v>
      </c>
      <c r="X417" s="4">
        <v>97</v>
      </c>
    </row>
    <row r="418" spans="1:24" x14ac:dyDescent="0.3">
      <c r="A418" s="1" t="s">
        <v>798</v>
      </c>
      <c r="B418" s="1" t="s">
        <v>23</v>
      </c>
      <c r="C418" s="1" t="s">
        <v>19</v>
      </c>
      <c r="D418" s="1" t="s">
        <v>13</v>
      </c>
      <c r="E418" s="4">
        <v>17</v>
      </c>
      <c r="F418" s="4">
        <v>12</v>
      </c>
      <c r="G418" s="1" t="s">
        <v>14</v>
      </c>
      <c r="H418" s="1" t="s">
        <v>40</v>
      </c>
      <c r="I418" s="5" t="s">
        <v>159</v>
      </c>
      <c r="J418" s="4">
        <v>95</v>
      </c>
      <c r="O418" s="1" t="s">
        <v>802</v>
      </c>
      <c r="P418" s="1" t="s">
        <v>29</v>
      </c>
      <c r="Q418" s="1" t="s">
        <v>96</v>
      </c>
      <c r="R418" s="1" t="s">
        <v>13</v>
      </c>
      <c r="S418" s="4">
        <v>14</v>
      </c>
      <c r="T418" s="4">
        <v>10</v>
      </c>
      <c r="U418" s="1" t="s">
        <v>25</v>
      </c>
      <c r="V418" s="1" t="s">
        <v>61</v>
      </c>
      <c r="W418" s="5" t="s">
        <v>803</v>
      </c>
      <c r="X418" s="4">
        <v>89</v>
      </c>
    </row>
    <row r="419" spans="1:24" x14ac:dyDescent="0.3">
      <c r="A419" s="1" t="s">
        <v>799</v>
      </c>
      <c r="B419" s="1" t="s">
        <v>54</v>
      </c>
      <c r="C419" s="1" t="s">
        <v>36</v>
      </c>
      <c r="D419" s="1" t="s">
        <v>31</v>
      </c>
      <c r="E419" s="4">
        <v>17</v>
      </c>
      <c r="F419" s="4">
        <v>12</v>
      </c>
      <c r="G419" s="1" t="s">
        <v>14</v>
      </c>
      <c r="H419" s="1" t="s">
        <v>46</v>
      </c>
      <c r="I419" s="5" t="s">
        <v>533</v>
      </c>
      <c r="J419" s="4">
        <v>59</v>
      </c>
      <c r="O419" s="1" t="s">
        <v>804</v>
      </c>
      <c r="P419" s="1" t="s">
        <v>54</v>
      </c>
      <c r="Q419" s="1" t="s">
        <v>79</v>
      </c>
      <c r="R419" s="1" t="s">
        <v>13</v>
      </c>
      <c r="S419" s="4">
        <v>19</v>
      </c>
      <c r="T419" s="4">
        <v>9</v>
      </c>
      <c r="U419" s="1" t="s">
        <v>25</v>
      </c>
      <c r="V419" s="1" t="s">
        <v>61</v>
      </c>
      <c r="W419" s="5" t="s">
        <v>56</v>
      </c>
      <c r="X419" s="4">
        <v>43</v>
      </c>
    </row>
    <row r="420" spans="1:24" x14ac:dyDescent="0.3">
      <c r="A420" s="1" t="s">
        <v>800</v>
      </c>
      <c r="B420" s="1" t="s">
        <v>23</v>
      </c>
      <c r="C420" s="1" t="s">
        <v>79</v>
      </c>
      <c r="D420" s="1" t="s">
        <v>31</v>
      </c>
      <c r="E420" s="4">
        <v>18</v>
      </c>
      <c r="F420" s="4">
        <v>11</v>
      </c>
      <c r="G420" s="1" t="s">
        <v>32</v>
      </c>
      <c r="H420" s="1" t="s">
        <v>76</v>
      </c>
      <c r="I420" s="5" t="s">
        <v>801</v>
      </c>
      <c r="J420" s="4">
        <v>97</v>
      </c>
      <c r="O420" s="1" t="s">
        <v>805</v>
      </c>
      <c r="P420" s="1" t="s">
        <v>29</v>
      </c>
      <c r="Q420" s="1" t="s">
        <v>36</v>
      </c>
      <c r="R420" s="1" t="s">
        <v>31</v>
      </c>
      <c r="S420" s="4">
        <v>17</v>
      </c>
      <c r="T420" s="4">
        <v>10</v>
      </c>
      <c r="U420" s="1" t="s">
        <v>25</v>
      </c>
      <c r="V420" s="1" t="s">
        <v>15</v>
      </c>
      <c r="W420" s="5" t="s">
        <v>806</v>
      </c>
      <c r="X420" s="4">
        <v>59</v>
      </c>
    </row>
    <row r="421" spans="1:24" x14ac:dyDescent="0.3">
      <c r="A421" s="1" t="s">
        <v>802</v>
      </c>
      <c r="B421" s="1" t="s">
        <v>29</v>
      </c>
      <c r="C421" s="1" t="s">
        <v>96</v>
      </c>
      <c r="D421" s="1" t="s">
        <v>13</v>
      </c>
      <c r="E421" s="4">
        <v>14</v>
      </c>
      <c r="F421" s="4">
        <v>10</v>
      </c>
      <c r="G421" s="1" t="s">
        <v>25</v>
      </c>
      <c r="H421" s="1" t="s">
        <v>61</v>
      </c>
      <c r="I421" s="5" t="s">
        <v>803</v>
      </c>
      <c r="J421" s="4">
        <v>89</v>
      </c>
      <c r="O421" s="1" t="s">
        <v>807</v>
      </c>
      <c r="P421" s="1" t="s">
        <v>68</v>
      </c>
      <c r="Q421" s="1" t="s">
        <v>79</v>
      </c>
      <c r="R421" s="1" t="s">
        <v>31</v>
      </c>
      <c r="S421" s="4">
        <v>16</v>
      </c>
      <c r="T421" s="4">
        <v>10</v>
      </c>
      <c r="U421" s="1" t="s">
        <v>43</v>
      </c>
      <c r="V421" s="1" t="s">
        <v>76</v>
      </c>
      <c r="W421" s="5" t="s">
        <v>305</v>
      </c>
      <c r="X421" s="4">
        <v>40</v>
      </c>
    </row>
    <row r="422" spans="1:24" x14ac:dyDescent="0.3">
      <c r="A422" s="1" t="s">
        <v>804</v>
      </c>
      <c r="B422" s="1" t="s">
        <v>54</v>
      </c>
      <c r="C422" s="1" t="s">
        <v>79</v>
      </c>
      <c r="D422" s="1" t="s">
        <v>13</v>
      </c>
      <c r="E422" s="4">
        <v>19</v>
      </c>
      <c r="F422" s="4">
        <v>9</v>
      </c>
      <c r="G422" s="1" t="s">
        <v>25</v>
      </c>
      <c r="H422" s="1" t="s">
        <v>61</v>
      </c>
      <c r="I422" s="5" t="s">
        <v>56</v>
      </c>
      <c r="J422" s="4">
        <v>43</v>
      </c>
      <c r="O422" s="1" t="s">
        <v>808</v>
      </c>
      <c r="P422" s="1" t="s">
        <v>54</v>
      </c>
      <c r="Q422" s="1" t="s">
        <v>24</v>
      </c>
      <c r="R422" s="1" t="s">
        <v>13</v>
      </c>
      <c r="S422" s="4">
        <v>14</v>
      </c>
      <c r="T422" s="4">
        <v>9</v>
      </c>
      <c r="U422" s="1" t="s">
        <v>25</v>
      </c>
      <c r="V422" s="1" t="s">
        <v>46</v>
      </c>
      <c r="W422" s="5" t="s">
        <v>809</v>
      </c>
      <c r="X422" s="4">
        <v>92</v>
      </c>
    </row>
    <row r="423" spans="1:24" x14ac:dyDescent="0.3">
      <c r="A423" s="1" t="s">
        <v>805</v>
      </c>
      <c r="B423" s="1" t="s">
        <v>29</v>
      </c>
      <c r="C423" s="1" t="s">
        <v>36</v>
      </c>
      <c r="D423" s="1" t="s">
        <v>31</v>
      </c>
      <c r="E423" s="4">
        <v>17</v>
      </c>
      <c r="F423" s="4">
        <v>10</v>
      </c>
      <c r="G423" s="1" t="s">
        <v>25</v>
      </c>
      <c r="H423" s="1" t="s">
        <v>15</v>
      </c>
      <c r="I423" s="5" t="s">
        <v>806</v>
      </c>
      <c r="J423" s="4">
        <v>59</v>
      </c>
      <c r="O423" s="1" t="s">
        <v>810</v>
      </c>
      <c r="P423" s="1" t="s">
        <v>73</v>
      </c>
      <c r="Q423" s="1" t="s">
        <v>12</v>
      </c>
      <c r="R423" s="1" t="s">
        <v>13</v>
      </c>
      <c r="S423" s="4">
        <v>14</v>
      </c>
      <c r="T423" s="4">
        <v>10</v>
      </c>
      <c r="U423" s="1" t="s">
        <v>14</v>
      </c>
      <c r="V423" s="1" t="s">
        <v>46</v>
      </c>
      <c r="W423" s="5" t="s">
        <v>385</v>
      </c>
      <c r="X423" s="4">
        <v>49</v>
      </c>
    </row>
    <row r="424" spans="1:24" x14ac:dyDescent="0.3">
      <c r="A424" s="1" t="s">
        <v>807</v>
      </c>
      <c r="B424" s="1" t="s">
        <v>68</v>
      </c>
      <c r="C424" s="1" t="s">
        <v>79</v>
      </c>
      <c r="D424" s="1" t="s">
        <v>31</v>
      </c>
      <c r="E424" s="4">
        <v>16</v>
      </c>
      <c r="F424" s="4">
        <v>10</v>
      </c>
      <c r="G424" s="1" t="s">
        <v>43</v>
      </c>
      <c r="H424" s="1" t="s">
        <v>76</v>
      </c>
      <c r="I424" s="5" t="s">
        <v>305</v>
      </c>
      <c r="J424" s="4">
        <v>40</v>
      </c>
      <c r="O424" s="1" t="s">
        <v>811</v>
      </c>
      <c r="P424" s="1" t="s">
        <v>29</v>
      </c>
      <c r="Q424" s="1" t="s">
        <v>58</v>
      </c>
      <c r="R424" s="1" t="s">
        <v>13</v>
      </c>
      <c r="S424" s="4">
        <v>20</v>
      </c>
      <c r="T424" s="4">
        <v>11</v>
      </c>
      <c r="U424" s="1" t="s">
        <v>14</v>
      </c>
      <c r="V424" s="1" t="s">
        <v>61</v>
      </c>
      <c r="W424" s="5" t="s">
        <v>358</v>
      </c>
      <c r="X424" s="4">
        <v>44</v>
      </c>
    </row>
    <row r="425" spans="1:24" x14ac:dyDescent="0.3">
      <c r="A425" s="1" t="s">
        <v>808</v>
      </c>
      <c r="B425" s="1" t="s">
        <v>54</v>
      </c>
      <c r="C425" s="1" t="s">
        <v>24</v>
      </c>
      <c r="D425" s="1" t="s">
        <v>13</v>
      </c>
      <c r="E425" s="4">
        <v>14</v>
      </c>
      <c r="F425" s="4">
        <v>9</v>
      </c>
      <c r="G425" s="1" t="s">
        <v>25</v>
      </c>
      <c r="H425" s="1" t="s">
        <v>46</v>
      </c>
      <c r="I425" s="5" t="s">
        <v>809</v>
      </c>
      <c r="J425" s="4">
        <v>92</v>
      </c>
      <c r="O425" s="1" t="s">
        <v>812</v>
      </c>
      <c r="P425" s="1" t="s">
        <v>51</v>
      </c>
      <c r="Q425" s="1" t="s">
        <v>55</v>
      </c>
      <c r="R425" s="1" t="s">
        <v>13</v>
      </c>
      <c r="S425" s="4">
        <v>15</v>
      </c>
      <c r="T425" s="4">
        <v>10</v>
      </c>
      <c r="U425" s="1" t="s">
        <v>43</v>
      </c>
      <c r="V425" s="1" t="s">
        <v>46</v>
      </c>
      <c r="W425" s="5" t="s">
        <v>82</v>
      </c>
      <c r="X425" s="4">
        <v>62</v>
      </c>
    </row>
    <row r="426" spans="1:24" x14ac:dyDescent="0.3">
      <c r="A426" s="1" t="s">
        <v>810</v>
      </c>
      <c r="B426" s="1" t="s">
        <v>73</v>
      </c>
      <c r="C426" s="1" t="s">
        <v>12</v>
      </c>
      <c r="D426" s="1" t="s">
        <v>13</v>
      </c>
      <c r="E426" s="4">
        <v>14</v>
      </c>
      <c r="F426" s="4">
        <v>10</v>
      </c>
      <c r="G426" s="1" t="s">
        <v>14</v>
      </c>
      <c r="H426" s="1" t="s">
        <v>46</v>
      </c>
      <c r="I426" s="5" t="s">
        <v>385</v>
      </c>
      <c r="J426" s="4">
        <v>49</v>
      </c>
      <c r="O426" s="1" t="s">
        <v>813</v>
      </c>
      <c r="P426" s="1" t="s">
        <v>73</v>
      </c>
      <c r="Q426" s="1" t="s">
        <v>58</v>
      </c>
      <c r="R426" s="1" t="s">
        <v>13</v>
      </c>
      <c r="S426" s="4">
        <v>17</v>
      </c>
      <c r="T426" s="4">
        <v>12</v>
      </c>
      <c r="U426" s="1" t="s">
        <v>32</v>
      </c>
      <c r="V426" s="1" t="s">
        <v>46</v>
      </c>
      <c r="W426" s="5" t="s">
        <v>346</v>
      </c>
      <c r="X426" s="4">
        <v>60</v>
      </c>
    </row>
    <row r="427" spans="1:24" x14ac:dyDescent="0.3">
      <c r="A427" s="1" t="s">
        <v>811</v>
      </c>
      <c r="B427" s="1" t="s">
        <v>29</v>
      </c>
      <c r="C427" s="1" t="s">
        <v>58</v>
      </c>
      <c r="D427" s="1" t="s">
        <v>13</v>
      </c>
      <c r="E427" s="4">
        <v>20</v>
      </c>
      <c r="F427" s="4">
        <v>11</v>
      </c>
      <c r="G427" s="1" t="s">
        <v>14</v>
      </c>
      <c r="H427" s="1" t="s">
        <v>61</v>
      </c>
      <c r="I427" s="5" t="s">
        <v>358</v>
      </c>
      <c r="J427" s="4">
        <v>44</v>
      </c>
      <c r="O427" s="1" t="s">
        <v>814</v>
      </c>
      <c r="P427" s="1" t="s">
        <v>18</v>
      </c>
      <c r="Q427" s="1" t="s">
        <v>24</v>
      </c>
      <c r="R427" s="1" t="s">
        <v>31</v>
      </c>
      <c r="S427" s="4">
        <v>17</v>
      </c>
      <c r="T427" s="4">
        <v>10</v>
      </c>
      <c r="U427" s="1" t="s">
        <v>14</v>
      </c>
      <c r="V427" s="1" t="s">
        <v>76</v>
      </c>
      <c r="W427" s="5" t="s">
        <v>815</v>
      </c>
      <c r="X427" s="4">
        <v>47</v>
      </c>
    </row>
    <row r="428" spans="1:24" x14ac:dyDescent="0.3">
      <c r="A428" s="1" t="s">
        <v>812</v>
      </c>
      <c r="B428" s="1" t="s">
        <v>51</v>
      </c>
      <c r="C428" s="1" t="s">
        <v>55</v>
      </c>
      <c r="D428" s="1" t="s">
        <v>13</v>
      </c>
      <c r="E428" s="4">
        <v>15</v>
      </c>
      <c r="F428" s="4">
        <v>10</v>
      </c>
      <c r="G428" s="1" t="s">
        <v>43</v>
      </c>
      <c r="H428" s="1" t="s">
        <v>46</v>
      </c>
      <c r="I428" s="5" t="s">
        <v>82</v>
      </c>
      <c r="J428" s="4">
        <v>62</v>
      </c>
      <c r="O428" s="1" t="s">
        <v>816</v>
      </c>
      <c r="P428" s="1" t="s">
        <v>23</v>
      </c>
      <c r="Q428" s="1" t="s">
        <v>79</v>
      </c>
      <c r="R428" s="1" t="s">
        <v>31</v>
      </c>
      <c r="S428" s="4">
        <v>15</v>
      </c>
      <c r="T428" s="4">
        <v>9</v>
      </c>
      <c r="U428" s="1" t="s">
        <v>25</v>
      </c>
      <c r="V428" s="1" t="s">
        <v>76</v>
      </c>
      <c r="W428" s="5" t="s">
        <v>149</v>
      </c>
      <c r="X428" s="4">
        <v>79</v>
      </c>
    </row>
    <row r="429" spans="1:24" x14ac:dyDescent="0.3">
      <c r="A429" s="1" t="s">
        <v>813</v>
      </c>
      <c r="B429" s="1" t="s">
        <v>73</v>
      </c>
      <c r="C429" s="1" t="s">
        <v>58</v>
      </c>
      <c r="D429" s="1" t="s">
        <v>13</v>
      </c>
      <c r="E429" s="4">
        <v>17</v>
      </c>
      <c r="F429" s="4">
        <v>12</v>
      </c>
      <c r="G429" s="1" t="s">
        <v>32</v>
      </c>
      <c r="H429" s="1" t="s">
        <v>46</v>
      </c>
      <c r="I429" s="5" t="s">
        <v>346</v>
      </c>
      <c r="J429" s="4">
        <v>60</v>
      </c>
      <c r="O429" s="1" t="s">
        <v>817</v>
      </c>
      <c r="P429" s="1" t="s">
        <v>51</v>
      </c>
      <c r="Q429" s="1" t="s">
        <v>55</v>
      </c>
      <c r="R429" s="1" t="s">
        <v>31</v>
      </c>
      <c r="S429" s="4">
        <v>19</v>
      </c>
      <c r="T429" s="4">
        <v>11</v>
      </c>
      <c r="U429" s="1" t="s">
        <v>14</v>
      </c>
      <c r="V429" s="1" t="s">
        <v>26</v>
      </c>
      <c r="W429" s="5" t="s">
        <v>818</v>
      </c>
      <c r="X429" s="4">
        <v>56</v>
      </c>
    </row>
    <row r="430" spans="1:24" x14ac:dyDescent="0.3">
      <c r="A430" s="1" t="s">
        <v>814</v>
      </c>
      <c r="B430" s="1" t="s">
        <v>18</v>
      </c>
      <c r="C430" s="1" t="s">
        <v>24</v>
      </c>
      <c r="D430" s="1" t="s">
        <v>31</v>
      </c>
      <c r="E430" s="4">
        <v>17</v>
      </c>
      <c r="F430" s="4">
        <v>10</v>
      </c>
      <c r="G430" s="1" t="s">
        <v>14</v>
      </c>
      <c r="H430" s="1" t="s">
        <v>76</v>
      </c>
      <c r="I430" s="5" t="s">
        <v>815</v>
      </c>
      <c r="J430" s="4">
        <v>47</v>
      </c>
      <c r="O430" s="1" t="s">
        <v>819</v>
      </c>
      <c r="P430" s="1" t="s">
        <v>18</v>
      </c>
      <c r="Q430" s="1" t="s">
        <v>36</v>
      </c>
      <c r="R430" s="1" t="s">
        <v>31</v>
      </c>
      <c r="S430" s="4">
        <v>14</v>
      </c>
      <c r="T430" s="4">
        <v>10</v>
      </c>
      <c r="U430" s="1" t="s">
        <v>43</v>
      </c>
      <c r="V430" s="1" t="s">
        <v>76</v>
      </c>
      <c r="W430" s="5" t="s">
        <v>820</v>
      </c>
      <c r="X430" s="4">
        <v>56</v>
      </c>
    </row>
    <row r="431" spans="1:24" x14ac:dyDescent="0.3">
      <c r="A431" s="1" t="s">
        <v>816</v>
      </c>
      <c r="B431" s="1" t="s">
        <v>23</v>
      </c>
      <c r="C431" s="1" t="s">
        <v>79</v>
      </c>
      <c r="D431" s="1" t="s">
        <v>31</v>
      </c>
      <c r="E431" s="4">
        <v>15</v>
      </c>
      <c r="F431" s="4">
        <v>9</v>
      </c>
      <c r="G431" s="1" t="s">
        <v>25</v>
      </c>
      <c r="H431" s="1" t="s">
        <v>76</v>
      </c>
      <c r="I431" s="5" t="s">
        <v>149</v>
      </c>
      <c r="J431" s="4">
        <v>79</v>
      </c>
      <c r="O431" s="1" t="s">
        <v>821</v>
      </c>
      <c r="P431" s="1" t="s">
        <v>18</v>
      </c>
      <c r="Q431" s="1" t="s">
        <v>79</v>
      </c>
      <c r="R431" s="1" t="s">
        <v>13</v>
      </c>
      <c r="S431" s="4">
        <v>20</v>
      </c>
      <c r="T431" s="4">
        <v>12</v>
      </c>
      <c r="U431" s="1" t="s">
        <v>32</v>
      </c>
      <c r="V431" s="1" t="s">
        <v>26</v>
      </c>
      <c r="W431" s="5" t="s">
        <v>822</v>
      </c>
      <c r="X431" s="4">
        <v>52</v>
      </c>
    </row>
    <row r="432" spans="1:24" x14ac:dyDescent="0.3">
      <c r="A432" s="1" t="s">
        <v>817</v>
      </c>
      <c r="B432" s="1" t="s">
        <v>51</v>
      </c>
      <c r="C432" s="1" t="s">
        <v>55</v>
      </c>
      <c r="D432" s="1" t="s">
        <v>31</v>
      </c>
      <c r="E432" s="4">
        <v>19</v>
      </c>
      <c r="F432" s="4">
        <v>11</v>
      </c>
      <c r="G432" s="1" t="s">
        <v>14</v>
      </c>
      <c r="H432" s="1" t="s">
        <v>26</v>
      </c>
      <c r="I432" s="5" t="s">
        <v>818</v>
      </c>
      <c r="J432" s="4">
        <v>56</v>
      </c>
      <c r="O432" s="1" t="s">
        <v>823</v>
      </c>
      <c r="P432" s="1" t="s">
        <v>11</v>
      </c>
      <c r="Q432" s="1" t="s">
        <v>79</v>
      </c>
      <c r="R432" s="1" t="s">
        <v>31</v>
      </c>
      <c r="S432" s="4">
        <v>18</v>
      </c>
      <c r="T432" s="4">
        <v>12</v>
      </c>
      <c r="U432" s="1" t="s">
        <v>43</v>
      </c>
      <c r="V432" s="1" t="s">
        <v>37</v>
      </c>
      <c r="W432" s="5" t="s">
        <v>292</v>
      </c>
      <c r="X432" s="4">
        <v>94</v>
      </c>
    </row>
    <row r="433" spans="1:24" x14ac:dyDescent="0.3">
      <c r="A433" s="1" t="s">
        <v>819</v>
      </c>
      <c r="B433" s="1" t="s">
        <v>18</v>
      </c>
      <c r="C433" s="1" t="s">
        <v>36</v>
      </c>
      <c r="D433" s="1" t="s">
        <v>31</v>
      </c>
      <c r="E433" s="4">
        <v>14</v>
      </c>
      <c r="F433" s="4">
        <v>10</v>
      </c>
      <c r="G433" s="1" t="s">
        <v>43</v>
      </c>
      <c r="H433" s="1" t="s">
        <v>76</v>
      </c>
      <c r="I433" s="5" t="s">
        <v>820</v>
      </c>
      <c r="J433" s="4">
        <v>56</v>
      </c>
      <c r="O433" s="1" t="s">
        <v>824</v>
      </c>
      <c r="P433" s="1" t="s">
        <v>54</v>
      </c>
      <c r="Q433" s="1" t="s">
        <v>19</v>
      </c>
      <c r="R433" s="1" t="s">
        <v>31</v>
      </c>
      <c r="S433" s="4">
        <v>20</v>
      </c>
      <c r="T433" s="4">
        <v>9</v>
      </c>
      <c r="U433" s="1" t="s">
        <v>14</v>
      </c>
      <c r="V433" s="1" t="s">
        <v>37</v>
      </c>
      <c r="W433" s="5" t="s">
        <v>825</v>
      </c>
      <c r="X433" s="4">
        <v>43</v>
      </c>
    </row>
    <row r="434" spans="1:24" x14ac:dyDescent="0.3">
      <c r="A434" s="1" t="s">
        <v>821</v>
      </c>
      <c r="B434" s="1" t="s">
        <v>18</v>
      </c>
      <c r="C434" s="1" t="s">
        <v>79</v>
      </c>
      <c r="D434" s="1" t="s">
        <v>13</v>
      </c>
      <c r="E434" s="4">
        <v>20</v>
      </c>
      <c r="F434" s="4">
        <v>12</v>
      </c>
      <c r="G434" s="1" t="s">
        <v>32</v>
      </c>
      <c r="H434" s="1" t="s">
        <v>26</v>
      </c>
      <c r="I434" s="5" t="s">
        <v>822</v>
      </c>
      <c r="J434" s="4">
        <v>52</v>
      </c>
      <c r="O434" s="1" t="s">
        <v>826</v>
      </c>
      <c r="P434" s="1" t="s">
        <v>51</v>
      </c>
      <c r="Q434" s="1" t="s">
        <v>55</v>
      </c>
      <c r="R434" s="1" t="s">
        <v>31</v>
      </c>
      <c r="S434" s="4">
        <v>15</v>
      </c>
      <c r="T434" s="4">
        <v>10</v>
      </c>
      <c r="U434" s="1" t="s">
        <v>43</v>
      </c>
      <c r="V434" s="1" t="s">
        <v>37</v>
      </c>
      <c r="W434" s="5" t="s">
        <v>174</v>
      </c>
      <c r="X434" s="4">
        <v>42</v>
      </c>
    </row>
    <row r="435" spans="1:24" x14ac:dyDescent="0.3">
      <c r="A435" s="1" t="s">
        <v>823</v>
      </c>
      <c r="B435" s="1" t="s">
        <v>11</v>
      </c>
      <c r="C435" s="1" t="s">
        <v>79</v>
      </c>
      <c r="D435" s="1" t="s">
        <v>31</v>
      </c>
      <c r="E435" s="4">
        <v>18</v>
      </c>
      <c r="F435" s="4">
        <v>12</v>
      </c>
      <c r="G435" s="1" t="s">
        <v>43</v>
      </c>
      <c r="H435" s="1" t="s">
        <v>37</v>
      </c>
      <c r="I435" s="5" t="s">
        <v>292</v>
      </c>
      <c r="J435" s="4">
        <v>94</v>
      </c>
      <c r="O435" s="1" t="s">
        <v>827</v>
      </c>
      <c r="P435" s="1" t="s">
        <v>35</v>
      </c>
      <c r="Q435" s="1" t="s">
        <v>12</v>
      </c>
      <c r="R435" s="1" t="s">
        <v>13</v>
      </c>
      <c r="S435" s="4">
        <v>14</v>
      </c>
      <c r="T435" s="4">
        <v>12</v>
      </c>
      <c r="U435" s="1" t="s">
        <v>25</v>
      </c>
      <c r="V435" s="1" t="s">
        <v>61</v>
      </c>
      <c r="W435" s="5" t="s">
        <v>570</v>
      </c>
      <c r="X435" s="4">
        <v>65</v>
      </c>
    </row>
    <row r="436" spans="1:24" x14ac:dyDescent="0.3">
      <c r="A436" s="1" t="s">
        <v>824</v>
      </c>
      <c r="B436" s="1" t="s">
        <v>54</v>
      </c>
      <c r="C436" s="1" t="s">
        <v>19</v>
      </c>
      <c r="D436" s="1" t="s">
        <v>31</v>
      </c>
      <c r="E436" s="4">
        <v>20</v>
      </c>
      <c r="F436" s="4">
        <v>9</v>
      </c>
      <c r="G436" s="1" t="s">
        <v>14</v>
      </c>
      <c r="H436" s="1" t="s">
        <v>37</v>
      </c>
      <c r="I436" s="5" t="s">
        <v>825</v>
      </c>
      <c r="J436" s="4">
        <v>43</v>
      </c>
      <c r="O436" s="1" t="s">
        <v>828</v>
      </c>
      <c r="P436" s="1" t="s">
        <v>29</v>
      </c>
      <c r="Q436" s="1" t="s">
        <v>55</v>
      </c>
      <c r="R436" s="1" t="s">
        <v>13</v>
      </c>
      <c r="S436" s="4">
        <v>15</v>
      </c>
      <c r="T436" s="4">
        <v>9</v>
      </c>
      <c r="U436" s="1" t="s">
        <v>32</v>
      </c>
      <c r="V436" s="1" t="s">
        <v>40</v>
      </c>
      <c r="W436" s="5" t="s">
        <v>829</v>
      </c>
      <c r="X436" s="4">
        <v>64</v>
      </c>
    </row>
    <row r="437" spans="1:24" x14ac:dyDescent="0.3">
      <c r="A437" s="1" t="s">
        <v>826</v>
      </c>
      <c r="B437" s="1" t="s">
        <v>51</v>
      </c>
      <c r="C437" s="1" t="s">
        <v>55</v>
      </c>
      <c r="D437" s="1" t="s">
        <v>31</v>
      </c>
      <c r="E437" s="4">
        <v>15</v>
      </c>
      <c r="F437" s="4">
        <v>10</v>
      </c>
      <c r="G437" s="1" t="s">
        <v>43</v>
      </c>
      <c r="H437" s="1" t="s">
        <v>37</v>
      </c>
      <c r="I437" s="5" t="s">
        <v>174</v>
      </c>
      <c r="J437" s="4">
        <v>42</v>
      </c>
      <c r="O437" s="1" t="s">
        <v>830</v>
      </c>
      <c r="P437" s="1" t="s">
        <v>23</v>
      </c>
      <c r="Q437" s="1" t="s">
        <v>58</v>
      </c>
      <c r="R437" s="1" t="s">
        <v>31</v>
      </c>
      <c r="S437" s="4">
        <v>17</v>
      </c>
      <c r="T437" s="4">
        <v>9</v>
      </c>
      <c r="U437" s="1" t="s">
        <v>43</v>
      </c>
      <c r="V437" s="1" t="s">
        <v>61</v>
      </c>
      <c r="W437" s="5" t="s">
        <v>820</v>
      </c>
      <c r="X437" s="4">
        <v>59</v>
      </c>
    </row>
    <row r="438" spans="1:24" x14ac:dyDescent="0.3">
      <c r="A438" s="1" t="s">
        <v>827</v>
      </c>
      <c r="B438" s="1" t="s">
        <v>35</v>
      </c>
      <c r="C438" s="1" t="s">
        <v>12</v>
      </c>
      <c r="D438" s="1" t="s">
        <v>13</v>
      </c>
      <c r="E438" s="4">
        <v>14</v>
      </c>
      <c r="F438" s="4">
        <v>12</v>
      </c>
      <c r="G438" s="1" t="s">
        <v>25</v>
      </c>
      <c r="H438" s="1" t="s">
        <v>61</v>
      </c>
      <c r="I438" s="5" t="s">
        <v>570</v>
      </c>
      <c r="J438" s="4">
        <v>65</v>
      </c>
      <c r="O438" s="1" t="s">
        <v>831</v>
      </c>
      <c r="P438" s="1" t="s">
        <v>54</v>
      </c>
      <c r="Q438" s="1" t="s">
        <v>36</v>
      </c>
      <c r="R438" s="1" t="s">
        <v>31</v>
      </c>
      <c r="S438" s="4">
        <v>19</v>
      </c>
      <c r="T438" s="4">
        <v>9</v>
      </c>
      <c r="U438" s="1" t="s">
        <v>32</v>
      </c>
      <c r="V438" s="1" t="s">
        <v>15</v>
      </c>
      <c r="W438" s="5" t="s">
        <v>832</v>
      </c>
      <c r="X438" s="4">
        <v>35</v>
      </c>
    </row>
    <row r="439" spans="1:24" x14ac:dyDescent="0.3">
      <c r="A439" s="1" t="s">
        <v>828</v>
      </c>
      <c r="B439" s="1" t="s">
        <v>29</v>
      </c>
      <c r="C439" s="1" t="s">
        <v>55</v>
      </c>
      <c r="D439" s="1" t="s">
        <v>13</v>
      </c>
      <c r="E439" s="4">
        <v>15</v>
      </c>
      <c r="F439" s="4">
        <v>9</v>
      </c>
      <c r="G439" s="1" t="s">
        <v>32</v>
      </c>
      <c r="H439" s="1" t="s">
        <v>40</v>
      </c>
      <c r="I439" s="5" t="s">
        <v>829</v>
      </c>
      <c r="J439" s="4">
        <v>64</v>
      </c>
      <c r="O439" s="1" t="s">
        <v>833</v>
      </c>
      <c r="P439" s="1" t="s">
        <v>73</v>
      </c>
      <c r="Q439" s="1" t="s">
        <v>96</v>
      </c>
      <c r="R439" s="1" t="s">
        <v>31</v>
      </c>
      <c r="S439" s="4">
        <v>15</v>
      </c>
      <c r="T439" s="4">
        <v>10</v>
      </c>
      <c r="U439" s="1" t="s">
        <v>43</v>
      </c>
      <c r="V439" s="1" t="s">
        <v>76</v>
      </c>
      <c r="W439" s="5" t="s">
        <v>834</v>
      </c>
      <c r="X439" s="4">
        <v>37</v>
      </c>
    </row>
    <row r="440" spans="1:24" x14ac:dyDescent="0.3">
      <c r="A440" s="1" t="s">
        <v>830</v>
      </c>
      <c r="B440" s="1" t="s">
        <v>23</v>
      </c>
      <c r="C440" s="1" t="s">
        <v>58</v>
      </c>
      <c r="D440" s="1" t="s">
        <v>31</v>
      </c>
      <c r="E440" s="4">
        <v>17</v>
      </c>
      <c r="F440" s="4">
        <v>9</v>
      </c>
      <c r="G440" s="1" t="s">
        <v>43</v>
      </c>
      <c r="H440" s="1" t="s">
        <v>61</v>
      </c>
      <c r="I440" s="5" t="s">
        <v>820</v>
      </c>
      <c r="J440" s="4">
        <v>59</v>
      </c>
      <c r="O440" s="1" t="s">
        <v>835</v>
      </c>
      <c r="P440" s="1" t="s">
        <v>18</v>
      </c>
      <c r="Q440" s="1" t="s">
        <v>55</v>
      </c>
      <c r="R440" s="1" t="s">
        <v>31</v>
      </c>
      <c r="S440" s="4">
        <v>16</v>
      </c>
      <c r="T440" s="4">
        <v>10</v>
      </c>
      <c r="U440" s="1" t="s">
        <v>14</v>
      </c>
      <c r="V440" s="1" t="s">
        <v>61</v>
      </c>
      <c r="W440" s="5" t="s">
        <v>411</v>
      </c>
      <c r="X440" s="4">
        <v>52</v>
      </c>
    </row>
    <row r="441" spans="1:24" x14ac:dyDescent="0.3">
      <c r="A441" s="1" t="s">
        <v>831</v>
      </c>
      <c r="B441" s="1" t="s">
        <v>54</v>
      </c>
      <c r="C441" s="1" t="s">
        <v>36</v>
      </c>
      <c r="D441" s="1" t="s">
        <v>31</v>
      </c>
      <c r="E441" s="4">
        <v>19</v>
      </c>
      <c r="F441" s="4">
        <v>9</v>
      </c>
      <c r="G441" s="1" t="s">
        <v>32</v>
      </c>
      <c r="H441" s="1" t="s">
        <v>15</v>
      </c>
      <c r="I441" s="5" t="s">
        <v>832</v>
      </c>
      <c r="J441" s="4">
        <v>35</v>
      </c>
      <c r="O441" s="1" t="s">
        <v>836</v>
      </c>
      <c r="P441" s="1" t="s">
        <v>18</v>
      </c>
      <c r="Q441" s="1" t="s">
        <v>58</v>
      </c>
      <c r="R441" s="1" t="s">
        <v>13</v>
      </c>
      <c r="S441" s="4">
        <v>16</v>
      </c>
      <c r="T441" s="4">
        <v>9</v>
      </c>
      <c r="U441" s="1" t="s">
        <v>14</v>
      </c>
      <c r="V441" s="1" t="s">
        <v>37</v>
      </c>
      <c r="W441" s="5" t="s">
        <v>837</v>
      </c>
      <c r="X441" s="4">
        <v>64</v>
      </c>
    </row>
    <row r="442" spans="1:24" x14ac:dyDescent="0.3">
      <c r="A442" s="1" t="s">
        <v>833</v>
      </c>
      <c r="B442" s="1" t="s">
        <v>73</v>
      </c>
      <c r="C442" s="1" t="s">
        <v>96</v>
      </c>
      <c r="D442" s="1" t="s">
        <v>31</v>
      </c>
      <c r="E442" s="4">
        <v>15</v>
      </c>
      <c r="F442" s="4">
        <v>10</v>
      </c>
      <c r="G442" s="1" t="s">
        <v>43</v>
      </c>
      <c r="H442" s="1" t="s">
        <v>76</v>
      </c>
      <c r="I442" s="5" t="s">
        <v>834</v>
      </c>
      <c r="J442" s="4">
        <v>37</v>
      </c>
      <c r="O442" s="1" t="s">
        <v>838</v>
      </c>
      <c r="P442" s="1" t="s">
        <v>29</v>
      </c>
      <c r="Q442" s="1" t="s">
        <v>36</v>
      </c>
      <c r="R442" s="1" t="s">
        <v>31</v>
      </c>
      <c r="S442" s="4">
        <v>17</v>
      </c>
      <c r="T442" s="4">
        <v>10</v>
      </c>
      <c r="U442" s="1" t="s">
        <v>25</v>
      </c>
      <c r="V442" s="1" t="s">
        <v>15</v>
      </c>
      <c r="W442" s="5" t="s">
        <v>839</v>
      </c>
      <c r="X442" s="4">
        <v>35</v>
      </c>
    </row>
    <row r="443" spans="1:24" x14ac:dyDescent="0.3">
      <c r="A443" s="1" t="s">
        <v>835</v>
      </c>
      <c r="B443" s="1" t="s">
        <v>18</v>
      </c>
      <c r="C443" s="1" t="s">
        <v>55</v>
      </c>
      <c r="D443" s="1" t="s">
        <v>31</v>
      </c>
      <c r="E443" s="4">
        <v>16</v>
      </c>
      <c r="F443" s="4">
        <v>10</v>
      </c>
      <c r="G443" s="1" t="s">
        <v>14</v>
      </c>
      <c r="H443" s="1" t="s">
        <v>61</v>
      </c>
      <c r="I443" s="5" t="s">
        <v>411</v>
      </c>
      <c r="J443" s="4">
        <v>52</v>
      </c>
      <c r="O443" s="1" t="s">
        <v>840</v>
      </c>
      <c r="P443" s="1" t="s">
        <v>29</v>
      </c>
      <c r="Q443" s="1" t="s">
        <v>12</v>
      </c>
      <c r="R443" s="1" t="s">
        <v>31</v>
      </c>
      <c r="S443" s="4">
        <v>20</v>
      </c>
      <c r="T443" s="4">
        <v>10</v>
      </c>
      <c r="U443" s="1" t="s">
        <v>43</v>
      </c>
      <c r="V443" s="1" t="s">
        <v>15</v>
      </c>
      <c r="W443" s="5" t="s">
        <v>841</v>
      </c>
      <c r="X443" s="4">
        <v>37</v>
      </c>
    </row>
    <row r="444" spans="1:24" x14ac:dyDescent="0.3">
      <c r="A444" s="1" t="s">
        <v>836</v>
      </c>
      <c r="B444" s="1" t="s">
        <v>18</v>
      </c>
      <c r="C444" s="1" t="s">
        <v>58</v>
      </c>
      <c r="D444" s="1" t="s">
        <v>13</v>
      </c>
      <c r="E444" s="4">
        <v>16</v>
      </c>
      <c r="F444" s="4">
        <v>9</v>
      </c>
      <c r="G444" s="1" t="s">
        <v>14</v>
      </c>
      <c r="H444" s="1" t="s">
        <v>37</v>
      </c>
      <c r="I444" s="5" t="s">
        <v>837</v>
      </c>
      <c r="J444" s="4">
        <v>64</v>
      </c>
      <c r="O444" s="1" t="s">
        <v>842</v>
      </c>
      <c r="P444" s="1" t="s">
        <v>23</v>
      </c>
      <c r="Q444" s="1" t="s">
        <v>30</v>
      </c>
      <c r="R444" s="1" t="s">
        <v>13</v>
      </c>
      <c r="S444" s="4">
        <v>15</v>
      </c>
      <c r="T444" s="4">
        <v>9</v>
      </c>
      <c r="U444" s="1" t="s">
        <v>32</v>
      </c>
      <c r="V444" s="1" t="s">
        <v>37</v>
      </c>
      <c r="W444" s="5" t="s">
        <v>477</v>
      </c>
      <c r="X444" s="4">
        <v>51</v>
      </c>
    </row>
    <row r="445" spans="1:24" x14ac:dyDescent="0.3">
      <c r="A445" s="1" t="s">
        <v>838</v>
      </c>
      <c r="B445" s="1" t="s">
        <v>29</v>
      </c>
      <c r="C445" s="1" t="s">
        <v>36</v>
      </c>
      <c r="D445" s="1" t="s">
        <v>31</v>
      </c>
      <c r="E445" s="4">
        <v>17</v>
      </c>
      <c r="F445" s="4">
        <v>10</v>
      </c>
      <c r="G445" s="1" t="s">
        <v>25</v>
      </c>
      <c r="H445" s="1" t="s">
        <v>15</v>
      </c>
      <c r="I445" s="5" t="s">
        <v>839</v>
      </c>
      <c r="J445" s="4">
        <v>35</v>
      </c>
      <c r="O445" s="1" t="s">
        <v>843</v>
      </c>
      <c r="P445" s="1" t="s">
        <v>54</v>
      </c>
      <c r="Q445" s="1" t="s">
        <v>12</v>
      </c>
      <c r="R445" s="1" t="s">
        <v>31</v>
      </c>
      <c r="S445" s="4">
        <v>17</v>
      </c>
      <c r="T445" s="4">
        <v>10</v>
      </c>
      <c r="U445" s="1" t="s">
        <v>25</v>
      </c>
      <c r="V445" s="1" t="s">
        <v>40</v>
      </c>
      <c r="W445" s="5" t="s">
        <v>844</v>
      </c>
      <c r="X445" s="4">
        <v>43</v>
      </c>
    </row>
    <row r="446" spans="1:24" x14ac:dyDescent="0.3">
      <c r="A446" s="1" t="s">
        <v>840</v>
      </c>
      <c r="B446" s="1" t="s">
        <v>29</v>
      </c>
      <c r="C446" s="1" t="s">
        <v>12</v>
      </c>
      <c r="D446" s="1" t="s">
        <v>31</v>
      </c>
      <c r="E446" s="4">
        <v>20</v>
      </c>
      <c r="F446" s="4">
        <v>10</v>
      </c>
      <c r="G446" s="1" t="s">
        <v>43</v>
      </c>
      <c r="H446" s="1" t="s">
        <v>15</v>
      </c>
      <c r="I446" s="5" t="s">
        <v>841</v>
      </c>
      <c r="J446" s="4">
        <v>37</v>
      </c>
      <c r="O446" s="1" t="s">
        <v>845</v>
      </c>
      <c r="P446" s="1" t="s">
        <v>11</v>
      </c>
      <c r="Q446" s="1" t="s">
        <v>19</v>
      </c>
      <c r="R446" s="1" t="s">
        <v>31</v>
      </c>
      <c r="S446" s="4">
        <v>19</v>
      </c>
      <c r="T446" s="4">
        <v>11</v>
      </c>
      <c r="U446" s="1" t="s">
        <v>43</v>
      </c>
      <c r="V446" s="1" t="s">
        <v>76</v>
      </c>
      <c r="W446" s="5" t="s">
        <v>282</v>
      </c>
      <c r="X446" s="4">
        <v>44</v>
      </c>
    </row>
    <row r="447" spans="1:24" x14ac:dyDescent="0.3">
      <c r="A447" s="1" t="s">
        <v>842</v>
      </c>
      <c r="B447" s="1" t="s">
        <v>23</v>
      </c>
      <c r="C447" s="1" t="s">
        <v>30</v>
      </c>
      <c r="D447" s="1" t="s">
        <v>13</v>
      </c>
      <c r="E447" s="4">
        <v>15</v>
      </c>
      <c r="F447" s="4">
        <v>9</v>
      </c>
      <c r="G447" s="1" t="s">
        <v>32</v>
      </c>
      <c r="H447" s="1" t="s">
        <v>37</v>
      </c>
      <c r="I447" s="5" t="s">
        <v>477</v>
      </c>
      <c r="J447" s="4">
        <v>51</v>
      </c>
      <c r="O447" s="1" t="s">
        <v>846</v>
      </c>
      <c r="P447" s="1" t="s">
        <v>35</v>
      </c>
      <c r="Q447" s="1" t="s">
        <v>79</v>
      </c>
      <c r="R447" s="1" t="s">
        <v>13</v>
      </c>
      <c r="S447" s="4">
        <v>17</v>
      </c>
      <c r="T447" s="4">
        <v>12</v>
      </c>
      <c r="U447" s="1" t="s">
        <v>25</v>
      </c>
      <c r="V447" s="1" t="s">
        <v>46</v>
      </c>
      <c r="W447" s="5" t="s">
        <v>847</v>
      </c>
      <c r="X447" s="4">
        <v>41</v>
      </c>
    </row>
    <row r="448" spans="1:24" x14ac:dyDescent="0.3">
      <c r="A448" s="1" t="s">
        <v>843</v>
      </c>
      <c r="B448" s="1" t="s">
        <v>54</v>
      </c>
      <c r="C448" s="1" t="s">
        <v>12</v>
      </c>
      <c r="D448" s="1" t="s">
        <v>31</v>
      </c>
      <c r="E448" s="4">
        <v>17</v>
      </c>
      <c r="F448" s="4">
        <v>10</v>
      </c>
      <c r="G448" s="1" t="s">
        <v>25</v>
      </c>
      <c r="H448" s="1" t="s">
        <v>40</v>
      </c>
      <c r="I448" s="5" t="s">
        <v>844</v>
      </c>
      <c r="J448" s="4">
        <v>43</v>
      </c>
      <c r="O448" s="1" t="s">
        <v>848</v>
      </c>
      <c r="P448" s="1" t="s">
        <v>18</v>
      </c>
      <c r="Q448" s="1" t="s">
        <v>24</v>
      </c>
      <c r="R448" s="1" t="s">
        <v>31</v>
      </c>
      <c r="S448" s="4">
        <v>16</v>
      </c>
      <c r="T448" s="4">
        <v>10</v>
      </c>
      <c r="U448" s="1" t="s">
        <v>25</v>
      </c>
      <c r="V448" s="1" t="s">
        <v>61</v>
      </c>
      <c r="W448" s="5" t="s">
        <v>849</v>
      </c>
      <c r="X448" s="4">
        <v>78</v>
      </c>
    </row>
    <row r="449" spans="1:24" x14ac:dyDescent="0.3">
      <c r="A449" s="1" t="s">
        <v>845</v>
      </c>
      <c r="B449" s="1" t="s">
        <v>11</v>
      </c>
      <c r="C449" s="1" t="s">
        <v>19</v>
      </c>
      <c r="D449" s="1" t="s">
        <v>31</v>
      </c>
      <c r="E449" s="4">
        <v>19</v>
      </c>
      <c r="F449" s="4">
        <v>11</v>
      </c>
      <c r="G449" s="1" t="s">
        <v>43</v>
      </c>
      <c r="H449" s="1" t="s">
        <v>76</v>
      </c>
      <c r="I449" s="5" t="s">
        <v>282</v>
      </c>
      <c r="J449" s="4">
        <v>44</v>
      </c>
      <c r="O449" s="1" t="s">
        <v>850</v>
      </c>
      <c r="P449" s="1" t="s">
        <v>51</v>
      </c>
      <c r="Q449" s="1" t="s">
        <v>96</v>
      </c>
      <c r="R449" s="1" t="s">
        <v>13</v>
      </c>
      <c r="S449" s="4">
        <v>14</v>
      </c>
      <c r="T449" s="4">
        <v>9</v>
      </c>
      <c r="U449" s="1" t="s">
        <v>25</v>
      </c>
      <c r="V449" s="1" t="s">
        <v>26</v>
      </c>
      <c r="W449" s="5" t="s">
        <v>851</v>
      </c>
      <c r="X449" s="4">
        <v>90</v>
      </c>
    </row>
    <row r="450" spans="1:24" x14ac:dyDescent="0.3">
      <c r="A450" s="1" t="s">
        <v>846</v>
      </c>
      <c r="B450" s="1" t="s">
        <v>35</v>
      </c>
      <c r="C450" s="1" t="s">
        <v>79</v>
      </c>
      <c r="D450" s="1" t="s">
        <v>13</v>
      </c>
      <c r="E450" s="4">
        <v>17</v>
      </c>
      <c r="F450" s="4">
        <v>12</v>
      </c>
      <c r="G450" s="1" t="s">
        <v>25</v>
      </c>
      <c r="H450" s="1" t="s">
        <v>46</v>
      </c>
      <c r="I450" s="5" t="s">
        <v>847</v>
      </c>
      <c r="J450" s="4">
        <v>41</v>
      </c>
      <c r="O450" s="1" t="s">
        <v>852</v>
      </c>
      <c r="P450" s="1" t="s">
        <v>29</v>
      </c>
      <c r="Q450" s="1" t="s">
        <v>55</v>
      </c>
      <c r="R450" s="1" t="s">
        <v>13</v>
      </c>
      <c r="S450" s="4">
        <v>15</v>
      </c>
      <c r="T450" s="4">
        <v>9</v>
      </c>
      <c r="U450" s="1" t="s">
        <v>14</v>
      </c>
      <c r="V450" s="1" t="s">
        <v>20</v>
      </c>
      <c r="W450" s="5" t="s">
        <v>853</v>
      </c>
      <c r="X450" s="4">
        <v>74</v>
      </c>
    </row>
    <row r="451" spans="1:24" x14ac:dyDescent="0.3">
      <c r="A451" s="1" t="s">
        <v>848</v>
      </c>
      <c r="B451" s="1" t="s">
        <v>18</v>
      </c>
      <c r="C451" s="1" t="s">
        <v>24</v>
      </c>
      <c r="D451" s="1" t="s">
        <v>31</v>
      </c>
      <c r="E451" s="4">
        <v>16</v>
      </c>
      <c r="F451" s="4">
        <v>10</v>
      </c>
      <c r="G451" s="1" t="s">
        <v>25</v>
      </c>
      <c r="H451" s="1" t="s">
        <v>61</v>
      </c>
      <c r="I451" s="5" t="s">
        <v>849</v>
      </c>
      <c r="J451" s="4">
        <v>78</v>
      </c>
      <c r="O451" s="1" t="s">
        <v>854</v>
      </c>
      <c r="P451" s="1" t="s">
        <v>51</v>
      </c>
      <c r="Q451" s="1" t="s">
        <v>55</v>
      </c>
      <c r="R451" s="1" t="s">
        <v>13</v>
      </c>
      <c r="S451" s="4">
        <v>15</v>
      </c>
      <c r="T451" s="4">
        <v>11</v>
      </c>
      <c r="U451" s="1" t="s">
        <v>14</v>
      </c>
      <c r="V451" s="1" t="s">
        <v>61</v>
      </c>
      <c r="W451" s="5" t="s">
        <v>855</v>
      </c>
      <c r="X451" s="4">
        <v>84</v>
      </c>
    </row>
    <row r="452" spans="1:24" x14ac:dyDescent="0.3">
      <c r="A452" s="1" t="s">
        <v>850</v>
      </c>
      <c r="B452" s="1" t="s">
        <v>51</v>
      </c>
      <c r="C452" s="1" t="s">
        <v>96</v>
      </c>
      <c r="D452" s="1" t="s">
        <v>13</v>
      </c>
      <c r="E452" s="4">
        <v>14</v>
      </c>
      <c r="F452" s="4">
        <v>9</v>
      </c>
      <c r="G452" s="1" t="s">
        <v>25</v>
      </c>
      <c r="H452" s="1" t="s">
        <v>26</v>
      </c>
      <c r="I452" s="5" t="s">
        <v>851</v>
      </c>
      <c r="J452" s="4">
        <v>90</v>
      </c>
      <c r="O452" s="1" t="s">
        <v>856</v>
      </c>
      <c r="P452" s="1" t="s">
        <v>29</v>
      </c>
      <c r="Q452" s="1" t="s">
        <v>85</v>
      </c>
      <c r="R452" s="1" t="s">
        <v>13</v>
      </c>
      <c r="S452" s="4">
        <v>16</v>
      </c>
      <c r="T452" s="4">
        <v>9</v>
      </c>
      <c r="U452" s="1" t="s">
        <v>14</v>
      </c>
      <c r="V452" s="1" t="s">
        <v>61</v>
      </c>
      <c r="W452" s="5" t="s">
        <v>262</v>
      </c>
      <c r="X452" s="4">
        <v>78</v>
      </c>
    </row>
    <row r="453" spans="1:24" x14ac:dyDescent="0.3">
      <c r="A453" s="1" t="s">
        <v>852</v>
      </c>
      <c r="B453" s="1" t="s">
        <v>29</v>
      </c>
      <c r="C453" s="1" t="s">
        <v>55</v>
      </c>
      <c r="D453" s="1" t="s">
        <v>13</v>
      </c>
      <c r="E453" s="4">
        <v>15</v>
      </c>
      <c r="F453" s="4">
        <v>9</v>
      </c>
      <c r="G453" s="1" t="s">
        <v>14</v>
      </c>
      <c r="H453" s="1" t="s">
        <v>20</v>
      </c>
      <c r="I453" s="5" t="s">
        <v>853</v>
      </c>
      <c r="J453" s="4">
        <v>74</v>
      </c>
      <c r="O453" s="1" t="s">
        <v>857</v>
      </c>
      <c r="P453" s="1" t="s">
        <v>18</v>
      </c>
      <c r="Q453" s="1" t="s">
        <v>96</v>
      </c>
      <c r="R453" s="1" t="s">
        <v>13</v>
      </c>
      <c r="S453" s="4">
        <v>20</v>
      </c>
      <c r="T453" s="4">
        <v>11</v>
      </c>
      <c r="U453" s="1" t="s">
        <v>32</v>
      </c>
      <c r="V453" s="1" t="s">
        <v>61</v>
      </c>
      <c r="W453" s="5" t="s">
        <v>570</v>
      </c>
      <c r="X453" s="4">
        <v>94</v>
      </c>
    </row>
    <row r="454" spans="1:24" x14ac:dyDescent="0.3">
      <c r="A454" s="1" t="s">
        <v>854</v>
      </c>
      <c r="B454" s="1" t="s">
        <v>51</v>
      </c>
      <c r="C454" s="1" t="s">
        <v>55</v>
      </c>
      <c r="D454" s="1" t="s">
        <v>13</v>
      </c>
      <c r="E454" s="4">
        <v>15</v>
      </c>
      <c r="F454" s="4">
        <v>11</v>
      </c>
      <c r="G454" s="1" t="s">
        <v>14</v>
      </c>
      <c r="H454" s="1" t="s">
        <v>61</v>
      </c>
      <c r="I454" s="5" t="s">
        <v>855</v>
      </c>
      <c r="J454" s="4">
        <v>84</v>
      </c>
      <c r="O454" s="1" t="s">
        <v>858</v>
      </c>
      <c r="P454" s="1" t="s">
        <v>35</v>
      </c>
      <c r="Q454" s="1" t="s">
        <v>12</v>
      </c>
      <c r="R454" s="1" t="s">
        <v>31</v>
      </c>
      <c r="S454" s="4">
        <v>19</v>
      </c>
      <c r="T454" s="4">
        <v>9</v>
      </c>
      <c r="U454" s="1" t="s">
        <v>43</v>
      </c>
      <c r="V454" s="1" t="s">
        <v>26</v>
      </c>
      <c r="W454" s="5" t="s">
        <v>859</v>
      </c>
      <c r="X454" s="4">
        <v>88</v>
      </c>
    </row>
    <row r="455" spans="1:24" x14ac:dyDescent="0.3">
      <c r="A455" s="1" t="s">
        <v>856</v>
      </c>
      <c r="B455" s="1" t="s">
        <v>29</v>
      </c>
      <c r="C455" s="1" t="s">
        <v>85</v>
      </c>
      <c r="D455" s="1" t="s">
        <v>13</v>
      </c>
      <c r="E455" s="4">
        <v>16</v>
      </c>
      <c r="F455" s="4">
        <v>9</v>
      </c>
      <c r="G455" s="1" t="s">
        <v>14</v>
      </c>
      <c r="H455" s="1" t="s">
        <v>61</v>
      </c>
      <c r="I455" s="5" t="s">
        <v>262</v>
      </c>
      <c r="J455" s="4">
        <v>78</v>
      </c>
      <c r="O455" s="1" t="s">
        <v>860</v>
      </c>
      <c r="P455" s="1" t="s">
        <v>68</v>
      </c>
      <c r="Q455" s="1" t="s">
        <v>12</v>
      </c>
      <c r="R455" s="1" t="s">
        <v>13</v>
      </c>
      <c r="S455" s="4">
        <v>16</v>
      </c>
      <c r="T455" s="4">
        <v>12</v>
      </c>
      <c r="U455" s="1" t="s">
        <v>14</v>
      </c>
      <c r="V455" s="1" t="s">
        <v>37</v>
      </c>
      <c r="W455" s="5" t="s">
        <v>861</v>
      </c>
      <c r="X455" s="4">
        <v>84</v>
      </c>
    </row>
    <row r="456" spans="1:24" x14ac:dyDescent="0.3">
      <c r="A456" s="1" t="s">
        <v>857</v>
      </c>
      <c r="B456" s="1" t="s">
        <v>18</v>
      </c>
      <c r="C456" s="1" t="s">
        <v>96</v>
      </c>
      <c r="D456" s="1" t="s">
        <v>13</v>
      </c>
      <c r="E456" s="4">
        <v>20</v>
      </c>
      <c r="F456" s="4">
        <v>11</v>
      </c>
      <c r="G456" s="1" t="s">
        <v>32</v>
      </c>
      <c r="H456" s="1" t="s">
        <v>61</v>
      </c>
      <c r="I456" s="5" t="s">
        <v>570</v>
      </c>
      <c r="J456" s="4">
        <v>94</v>
      </c>
      <c r="O456" s="1" t="s">
        <v>862</v>
      </c>
      <c r="P456" s="1" t="s">
        <v>51</v>
      </c>
      <c r="Q456" s="1" t="s">
        <v>24</v>
      </c>
      <c r="R456" s="1" t="s">
        <v>13</v>
      </c>
      <c r="S456" s="4">
        <v>17</v>
      </c>
      <c r="T456" s="4">
        <v>9</v>
      </c>
      <c r="U456" s="1" t="s">
        <v>43</v>
      </c>
      <c r="V456" s="1" t="s">
        <v>15</v>
      </c>
      <c r="W456" s="5" t="s">
        <v>863</v>
      </c>
      <c r="X456" s="4">
        <v>86</v>
      </c>
    </row>
    <row r="457" spans="1:24" x14ac:dyDescent="0.3">
      <c r="A457" s="1" t="s">
        <v>858</v>
      </c>
      <c r="B457" s="1" t="s">
        <v>35</v>
      </c>
      <c r="C457" s="1" t="s">
        <v>12</v>
      </c>
      <c r="D457" s="1" t="s">
        <v>31</v>
      </c>
      <c r="E457" s="4">
        <v>19</v>
      </c>
      <c r="F457" s="4">
        <v>9</v>
      </c>
      <c r="G457" s="1" t="s">
        <v>43</v>
      </c>
      <c r="H457" s="1" t="s">
        <v>26</v>
      </c>
      <c r="I457" s="5" t="s">
        <v>859</v>
      </c>
      <c r="J457" s="4">
        <v>88</v>
      </c>
      <c r="O457" s="1" t="s">
        <v>864</v>
      </c>
      <c r="P457" s="1" t="s">
        <v>35</v>
      </c>
      <c r="Q457" s="1" t="s">
        <v>58</v>
      </c>
      <c r="R457" s="1" t="s">
        <v>13</v>
      </c>
      <c r="S457" s="4">
        <v>17</v>
      </c>
      <c r="T457" s="4">
        <v>10</v>
      </c>
      <c r="U457" s="1" t="s">
        <v>14</v>
      </c>
      <c r="V457" s="1" t="s">
        <v>20</v>
      </c>
      <c r="W457" s="5" t="s">
        <v>865</v>
      </c>
      <c r="X457" s="4">
        <v>92</v>
      </c>
    </row>
    <row r="458" spans="1:24" x14ac:dyDescent="0.3">
      <c r="A458" s="1" t="s">
        <v>860</v>
      </c>
      <c r="B458" s="1" t="s">
        <v>68</v>
      </c>
      <c r="C458" s="1" t="s">
        <v>12</v>
      </c>
      <c r="D458" s="1" t="s">
        <v>13</v>
      </c>
      <c r="E458" s="4">
        <v>16</v>
      </c>
      <c r="F458" s="4">
        <v>12</v>
      </c>
      <c r="G458" s="1" t="s">
        <v>14</v>
      </c>
      <c r="H458" s="1" t="s">
        <v>37</v>
      </c>
      <c r="I458" s="5" t="s">
        <v>861</v>
      </c>
      <c r="J458" s="4">
        <v>84</v>
      </c>
      <c r="O458" s="1" t="s">
        <v>866</v>
      </c>
      <c r="P458" s="1" t="s">
        <v>18</v>
      </c>
      <c r="Q458" s="1" t="s">
        <v>24</v>
      </c>
      <c r="R458" s="1" t="s">
        <v>13</v>
      </c>
      <c r="S458" s="4">
        <v>15</v>
      </c>
      <c r="T458" s="4">
        <v>11</v>
      </c>
      <c r="U458" s="1" t="s">
        <v>14</v>
      </c>
      <c r="V458" s="1" t="s">
        <v>61</v>
      </c>
      <c r="W458" s="5" t="s">
        <v>867</v>
      </c>
      <c r="X458" s="4">
        <v>97</v>
      </c>
    </row>
    <row r="459" spans="1:24" x14ac:dyDescent="0.3">
      <c r="A459" s="1" t="s">
        <v>862</v>
      </c>
      <c r="B459" s="1" t="s">
        <v>51</v>
      </c>
      <c r="C459" s="1" t="s">
        <v>24</v>
      </c>
      <c r="D459" s="1" t="s">
        <v>13</v>
      </c>
      <c r="E459" s="4">
        <v>17</v>
      </c>
      <c r="F459" s="4">
        <v>9</v>
      </c>
      <c r="G459" s="1" t="s">
        <v>43</v>
      </c>
      <c r="H459" s="1" t="s">
        <v>15</v>
      </c>
      <c r="I459" s="5" t="s">
        <v>863</v>
      </c>
      <c r="J459" s="4">
        <v>86</v>
      </c>
      <c r="O459" s="1" t="s">
        <v>868</v>
      </c>
      <c r="P459" s="1" t="s">
        <v>84</v>
      </c>
      <c r="Q459" s="1" t="s">
        <v>30</v>
      </c>
      <c r="R459" s="1" t="s">
        <v>31</v>
      </c>
      <c r="S459" s="4">
        <v>15</v>
      </c>
      <c r="T459" s="4">
        <v>9</v>
      </c>
      <c r="U459" s="1" t="s">
        <v>43</v>
      </c>
      <c r="V459" s="1" t="s">
        <v>61</v>
      </c>
      <c r="W459" s="5" t="s">
        <v>151</v>
      </c>
      <c r="X459" s="4">
        <v>45</v>
      </c>
    </row>
    <row r="460" spans="1:24" x14ac:dyDescent="0.3">
      <c r="A460" s="1" t="s">
        <v>864</v>
      </c>
      <c r="B460" s="1" t="s">
        <v>35</v>
      </c>
      <c r="C460" s="1" t="s">
        <v>58</v>
      </c>
      <c r="D460" s="1" t="s">
        <v>13</v>
      </c>
      <c r="E460" s="4">
        <v>17</v>
      </c>
      <c r="F460" s="4">
        <v>10</v>
      </c>
      <c r="G460" s="1" t="s">
        <v>14</v>
      </c>
      <c r="H460" s="1" t="s">
        <v>20</v>
      </c>
      <c r="I460" s="5" t="s">
        <v>865</v>
      </c>
      <c r="J460" s="4">
        <v>92</v>
      </c>
      <c r="O460" s="1" t="s">
        <v>869</v>
      </c>
      <c r="P460" s="1" t="s">
        <v>73</v>
      </c>
      <c r="Q460" s="1" t="s">
        <v>96</v>
      </c>
      <c r="R460" s="1" t="s">
        <v>31</v>
      </c>
      <c r="S460" s="4">
        <v>17</v>
      </c>
      <c r="T460" s="4">
        <v>9</v>
      </c>
      <c r="U460" s="1" t="s">
        <v>43</v>
      </c>
      <c r="V460" s="1" t="s">
        <v>26</v>
      </c>
      <c r="W460" s="5" t="s">
        <v>870</v>
      </c>
      <c r="X460" s="4">
        <v>53</v>
      </c>
    </row>
    <row r="461" spans="1:24" x14ac:dyDescent="0.3">
      <c r="A461" s="1" t="s">
        <v>866</v>
      </c>
      <c r="B461" s="1" t="s">
        <v>18</v>
      </c>
      <c r="C461" s="1" t="s">
        <v>24</v>
      </c>
      <c r="D461" s="1" t="s">
        <v>13</v>
      </c>
      <c r="E461" s="4">
        <v>15</v>
      </c>
      <c r="F461" s="4">
        <v>11</v>
      </c>
      <c r="G461" s="1" t="s">
        <v>14</v>
      </c>
      <c r="H461" s="1" t="s">
        <v>61</v>
      </c>
      <c r="I461" s="5" t="s">
        <v>867</v>
      </c>
      <c r="J461" s="4">
        <v>97</v>
      </c>
      <c r="O461" s="1" t="s">
        <v>871</v>
      </c>
      <c r="P461" s="1" t="s">
        <v>11</v>
      </c>
      <c r="Q461" s="1" t="s">
        <v>12</v>
      </c>
      <c r="R461" s="1" t="s">
        <v>13</v>
      </c>
      <c r="S461" s="4">
        <v>20</v>
      </c>
      <c r="T461" s="4">
        <v>10</v>
      </c>
      <c r="U461" s="1" t="s">
        <v>25</v>
      </c>
      <c r="V461" s="1" t="s">
        <v>76</v>
      </c>
      <c r="W461" s="5" t="s">
        <v>872</v>
      </c>
      <c r="X461" s="4">
        <v>66</v>
      </c>
    </row>
    <row r="462" spans="1:24" x14ac:dyDescent="0.3">
      <c r="A462" s="1" t="s">
        <v>868</v>
      </c>
      <c r="B462" s="1" t="s">
        <v>84</v>
      </c>
      <c r="C462" s="1" t="s">
        <v>30</v>
      </c>
      <c r="D462" s="1" t="s">
        <v>31</v>
      </c>
      <c r="E462" s="4">
        <v>15</v>
      </c>
      <c r="F462" s="4">
        <v>9</v>
      </c>
      <c r="G462" s="1" t="s">
        <v>43</v>
      </c>
      <c r="H462" s="1" t="s">
        <v>61</v>
      </c>
      <c r="I462" s="5" t="s">
        <v>151</v>
      </c>
      <c r="J462" s="4">
        <v>45</v>
      </c>
      <c r="O462" s="1" t="s">
        <v>873</v>
      </c>
      <c r="P462" s="1" t="s">
        <v>18</v>
      </c>
      <c r="Q462" s="1" t="s">
        <v>79</v>
      </c>
      <c r="R462" s="1" t="s">
        <v>31</v>
      </c>
      <c r="S462" s="4">
        <v>19</v>
      </c>
      <c r="T462" s="4">
        <v>12</v>
      </c>
      <c r="U462" s="1" t="s">
        <v>32</v>
      </c>
      <c r="V462" s="1" t="s">
        <v>76</v>
      </c>
      <c r="W462" s="5" t="s">
        <v>742</v>
      </c>
      <c r="X462" s="4">
        <v>83</v>
      </c>
    </row>
    <row r="463" spans="1:24" x14ac:dyDescent="0.3">
      <c r="A463" s="1" t="s">
        <v>869</v>
      </c>
      <c r="B463" s="1" t="s">
        <v>73</v>
      </c>
      <c r="C463" s="1" t="s">
        <v>96</v>
      </c>
      <c r="D463" s="1" t="s">
        <v>31</v>
      </c>
      <c r="E463" s="4">
        <v>17</v>
      </c>
      <c r="F463" s="4">
        <v>9</v>
      </c>
      <c r="G463" s="1" t="s">
        <v>43</v>
      </c>
      <c r="H463" s="1" t="s">
        <v>26</v>
      </c>
      <c r="I463" s="5" t="s">
        <v>870</v>
      </c>
      <c r="J463" s="4">
        <v>53</v>
      </c>
      <c r="O463" s="1" t="s">
        <v>874</v>
      </c>
      <c r="P463" s="1" t="s">
        <v>35</v>
      </c>
      <c r="Q463" s="1" t="s">
        <v>36</v>
      </c>
      <c r="R463" s="1" t="s">
        <v>13</v>
      </c>
      <c r="S463" s="4">
        <v>16</v>
      </c>
      <c r="T463" s="4">
        <v>10</v>
      </c>
      <c r="U463" s="1" t="s">
        <v>14</v>
      </c>
      <c r="V463" s="1" t="s">
        <v>61</v>
      </c>
      <c r="W463" s="5" t="s">
        <v>875</v>
      </c>
      <c r="X463" s="4">
        <v>35</v>
      </c>
    </row>
    <row r="464" spans="1:24" x14ac:dyDescent="0.3">
      <c r="A464" s="1" t="s">
        <v>871</v>
      </c>
      <c r="B464" s="1" t="s">
        <v>11</v>
      </c>
      <c r="C464" s="1" t="s">
        <v>12</v>
      </c>
      <c r="D464" s="1" t="s">
        <v>13</v>
      </c>
      <c r="E464" s="4">
        <v>20</v>
      </c>
      <c r="F464" s="4">
        <v>10</v>
      </c>
      <c r="G464" s="1" t="s">
        <v>25</v>
      </c>
      <c r="H464" s="1" t="s">
        <v>76</v>
      </c>
      <c r="I464" s="5" t="s">
        <v>872</v>
      </c>
      <c r="J464" s="4">
        <v>66</v>
      </c>
      <c r="O464" s="1" t="s">
        <v>876</v>
      </c>
      <c r="P464" s="1" t="s">
        <v>18</v>
      </c>
      <c r="Q464" s="1" t="s">
        <v>24</v>
      </c>
      <c r="R464" s="1" t="s">
        <v>31</v>
      </c>
      <c r="S464" s="4">
        <v>16</v>
      </c>
      <c r="T464" s="4">
        <v>9</v>
      </c>
      <c r="U464" s="1" t="s">
        <v>43</v>
      </c>
      <c r="V464" s="1" t="s">
        <v>26</v>
      </c>
      <c r="W464" s="5" t="s">
        <v>515</v>
      </c>
      <c r="X464" s="4">
        <v>48</v>
      </c>
    </row>
    <row r="465" spans="1:24" x14ac:dyDescent="0.3">
      <c r="A465" s="1" t="s">
        <v>873</v>
      </c>
      <c r="B465" s="1" t="s">
        <v>18</v>
      </c>
      <c r="C465" s="1" t="s">
        <v>79</v>
      </c>
      <c r="D465" s="1" t="s">
        <v>31</v>
      </c>
      <c r="E465" s="4">
        <v>19</v>
      </c>
      <c r="F465" s="4">
        <v>12</v>
      </c>
      <c r="G465" s="1" t="s">
        <v>32</v>
      </c>
      <c r="H465" s="1" t="s">
        <v>76</v>
      </c>
      <c r="I465" s="5" t="s">
        <v>742</v>
      </c>
      <c r="J465" s="4">
        <v>83</v>
      </c>
      <c r="O465" s="1" t="s">
        <v>877</v>
      </c>
      <c r="P465" s="1" t="s">
        <v>73</v>
      </c>
      <c r="Q465" s="1" t="s">
        <v>85</v>
      </c>
      <c r="R465" s="1" t="s">
        <v>13</v>
      </c>
      <c r="S465" s="4">
        <v>19</v>
      </c>
      <c r="T465" s="4">
        <v>10</v>
      </c>
      <c r="U465" s="1" t="s">
        <v>25</v>
      </c>
      <c r="V465" s="1" t="s">
        <v>26</v>
      </c>
      <c r="W465" s="5" t="s">
        <v>878</v>
      </c>
      <c r="X465" s="4">
        <v>81</v>
      </c>
    </row>
    <row r="466" spans="1:24" x14ac:dyDescent="0.3">
      <c r="A466" s="1" t="s">
        <v>874</v>
      </c>
      <c r="B466" s="1" t="s">
        <v>35</v>
      </c>
      <c r="C466" s="1" t="s">
        <v>36</v>
      </c>
      <c r="D466" s="1" t="s">
        <v>13</v>
      </c>
      <c r="E466" s="4">
        <v>16</v>
      </c>
      <c r="F466" s="4">
        <v>10</v>
      </c>
      <c r="G466" s="1" t="s">
        <v>14</v>
      </c>
      <c r="H466" s="1" t="s">
        <v>61</v>
      </c>
      <c r="I466" s="5" t="s">
        <v>875</v>
      </c>
      <c r="J466" s="4">
        <v>35</v>
      </c>
      <c r="O466" s="1" t="s">
        <v>879</v>
      </c>
      <c r="P466" s="1" t="s">
        <v>18</v>
      </c>
      <c r="Q466" s="1" t="s">
        <v>85</v>
      </c>
      <c r="R466" s="1" t="s">
        <v>13</v>
      </c>
      <c r="S466" s="4">
        <v>15</v>
      </c>
      <c r="T466" s="4">
        <v>11</v>
      </c>
      <c r="U466" s="1" t="s">
        <v>32</v>
      </c>
      <c r="V466" s="1" t="s">
        <v>37</v>
      </c>
      <c r="W466" s="5" t="s">
        <v>880</v>
      </c>
      <c r="X466" s="4">
        <v>86</v>
      </c>
    </row>
    <row r="467" spans="1:24" x14ac:dyDescent="0.3">
      <c r="A467" s="1" t="s">
        <v>876</v>
      </c>
      <c r="B467" s="1" t="s">
        <v>18</v>
      </c>
      <c r="C467" s="1" t="s">
        <v>24</v>
      </c>
      <c r="D467" s="1" t="s">
        <v>31</v>
      </c>
      <c r="E467" s="4">
        <v>16</v>
      </c>
      <c r="F467" s="4">
        <v>9</v>
      </c>
      <c r="G467" s="1" t="s">
        <v>43</v>
      </c>
      <c r="H467" s="1" t="s">
        <v>26</v>
      </c>
      <c r="I467" s="5" t="s">
        <v>515</v>
      </c>
      <c r="J467" s="4">
        <v>48</v>
      </c>
      <c r="O467" s="1" t="s">
        <v>881</v>
      </c>
      <c r="P467" s="1" t="s">
        <v>73</v>
      </c>
      <c r="Q467" s="1" t="s">
        <v>24</v>
      </c>
      <c r="R467" s="1" t="s">
        <v>31</v>
      </c>
      <c r="S467" s="4">
        <v>14</v>
      </c>
      <c r="T467" s="4">
        <v>12</v>
      </c>
      <c r="U467" s="1" t="s">
        <v>25</v>
      </c>
      <c r="V467" s="1" t="s">
        <v>46</v>
      </c>
      <c r="W467" s="5" t="s">
        <v>882</v>
      </c>
      <c r="X467" s="4">
        <v>58</v>
      </c>
    </row>
    <row r="468" spans="1:24" x14ac:dyDescent="0.3">
      <c r="A468" s="1" t="s">
        <v>877</v>
      </c>
      <c r="B468" s="1" t="s">
        <v>73</v>
      </c>
      <c r="C468" s="1" t="s">
        <v>85</v>
      </c>
      <c r="D468" s="1" t="s">
        <v>13</v>
      </c>
      <c r="E468" s="4">
        <v>19</v>
      </c>
      <c r="F468" s="4">
        <v>10</v>
      </c>
      <c r="G468" s="1" t="s">
        <v>25</v>
      </c>
      <c r="H468" s="1" t="s">
        <v>26</v>
      </c>
      <c r="I468" s="5" t="s">
        <v>878</v>
      </c>
      <c r="J468" s="4">
        <v>81</v>
      </c>
      <c r="O468" s="1" t="s">
        <v>883</v>
      </c>
      <c r="P468" s="1" t="s">
        <v>23</v>
      </c>
      <c r="Q468" s="1" t="s">
        <v>85</v>
      </c>
      <c r="R468" s="1" t="s">
        <v>13</v>
      </c>
      <c r="S468" s="4">
        <v>19</v>
      </c>
      <c r="T468" s="4">
        <v>9</v>
      </c>
      <c r="U468" s="1" t="s">
        <v>43</v>
      </c>
      <c r="V468" s="1" t="s">
        <v>20</v>
      </c>
      <c r="W468" s="5" t="s">
        <v>884</v>
      </c>
      <c r="X468" s="4">
        <v>69</v>
      </c>
    </row>
    <row r="469" spans="1:24" x14ac:dyDescent="0.3">
      <c r="A469" s="1" t="s">
        <v>879</v>
      </c>
      <c r="B469" s="1" t="s">
        <v>18</v>
      </c>
      <c r="C469" s="1" t="s">
        <v>85</v>
      </c>
      <c r="D469" s="1" t="s">
        <v>13</v>
      </c>
      <c r="E469" s="4">
        <v>15</v>
      </c>
      <c r="F469" s="4">
        <v>11</v>
      </c>
      <c r="G469" s="1" t="s">
        <v>32</v>
      </c>
      <c r="H469" s="1" t="s">
        <v>37</v>
      </c>
      <c r="I469" s="5" t="s">
        <v>880</v>
      </c>
      <c r="J469" s="4">
        <v>86</v>
      </c>
      <c r="O469" s="1" t="s">
        <v>885</v>
      </c>
      <c r="P469" s="1" t="s">
        <v>51</v>
      </c>
      <c r="Q469" s="1" t="s">
        <v>55</v>
      </c>
      <c r="R469" s="1" t="s">
        <v>13</v>
      </c>
      <c r="S469" s="4">
        <v>16</v>
      </c>
      <c r="T469" s="4">
        <v>11</v>
      </c>
      <c r="U469" s="1" t="s">
        <v>32</v>
      </c>
      <c r="V469" s="1" t="s">
        <v>76</v>
      </c>
      <c r="W469" s="5" t="s">
        <v>886</v>
      </c>
      <c r="X469" s="4">
        <v>65</v>
      </c>
    </row>
    <row r="470" spans="1:24" x14ac:dyDescent="0.3">
      <c r="A470" s="1" t="s">
        <v>881</v>
      </c>
      <c r="B470" s="1" t="s">
        <v>73</v>
      </c>
      <c r="C470" s="1" t="s">
        <v>24</v>
      </c>
      <c r="D470" s="1" t="s">
        <v>31</v>
      </c>
      <c r="E470" s="4">
        <v>14</v>
      </c>
      <c r="F470" s="4">
        <v>12</v>
      </c>
      <c r="G470" s="1" t="s">
        <v>25</v>
      </c>
      <c r="H470" s="1" t="s">
        <v>46</v>
      </c>
      <c r="I470" s="5" t="s">
        <v>882</v>
      </c>
      <c r="J470" s="4">
        <v>58</v>
      </c>
      <c r="O470" s="1" t="s">
        <v>887</v>
      </c>
      <c r="P470" s="1" t="s">
        <v>11</v>
      </c>
      <c r="Q470" s="1" t="s">
        <v>30</v>
      </c>
      <c r="R470" s="1" t="s">
        <v>31</v>
      </c>
      <c r="S470" s="4">
        <v>17</v>
      </c>
      <c r="T470" s="4">
        <v>9</v>
      </c>
      <c r="U470" s="1" t="s">
        <v>14</v>
      </c>
      <c r="V470" s="1" t="s">
        <v>76</v>
      </c>
      <c r="W470" s="5" t="s">
        <v>653</v>
      </c>
      <c r="X470" s="4">
        <v>53</v>
      </c>
    </row>
    <row r="471" spans="1:24" x14ac:dyDescent="0.3">
      <c r="A471" s="1" t="s">
        <v>883</v>
      </c>
      <c r="B471" s="1" t="s">
        <v>23</v>
      </c>
      <c r="C471" s="1" t="s">
        <v>85</v>
      </c>
      <c r="D471" s="1" t="s">
        <v>13</v>
      </c>
      <c r="E471" s="4">
        <v>19</v>
      </c>
      <c r="F471" s="4">
        <v>9</v>
      </c>
      <c r="G471" s="1" t="s">
        <v>43</v>
      </c>
      <c r="H471" s="1" t="s">
        <v>20</v>
      </c>
      <c r="I471" s="5" t="s">
        <v>884</v>
      </c>
      <c r="J471" s="4">
        <v>69</v>
      </c>
      <c r="O471" s="1" t="s">
        <v>888</v>
      </c>
      <c r="P471" s="1" t="s">
        <v>23</v>
      </c>
      <c r="Q471" s="1" t="s">
        <v>58</v>
      </c>
      <c r="R471" s="1" t="s">
        <v>31</v>
      </c>
      <c r="S471" s="4">
        <v>18</v>
      </c>
      <c r="T471" s="4">
        <v>10</v>
      </c>
      <c r="U471" s="1" t="s">
        <v>14</v>
      </c>
      <c r="V471" s="1" t="s">
        <v>20</v>
      </c>
      <c r="W471" s="5" t="s">
        <v>153</v>
      </c>
      <c r="X471" s="4">
        <v>92</v>
      </c>
    </row>
    <row r="472" spans="1:24" x14ac:dyDescent="0.3">
      <c r="A472" s="1" t="s">
        <v>885</v>
      </c>
      <c r="B472" s="1" t="s">
        <v>51</v>
      </c>
      <c r="C472" s="1" t="s">
        <v>55</v>
      </c>
      <c r="D472" s="1" t="s">
        <v>13</v>
      </c>
      <c r="E472" s="4">
        <v>16</v>
      </c>
      <c r="F472" s="4">
        <v>11</v>
      </c>
      <c r="G472" s="1" t="s">
        <v>32</v>
      </c>
      <c r="H472" s="1" t="s">
        <v>76</v>
      </c>
      <c r="I472" s="5" t="s">
        <v>886</v>
      </c>
      <c r="J472" s="4">
        <v>65</v>
      </c>
      <c r="O472" s="1" t="s">
        <v>889</v>
      </c>
      <c r="P472" s="1" t="s">
        <v>68</v>
      </c>
      <c r="Q472" s="1" t="s">
        <v>19</v>
      </c>
      <c r="R472" s="1" t="s">
        <v>31</v>
      </c>
      <c r="S472" s="4">
        <v>18</v>
      </c>
      <c r="T472" s="4">
        <v>12</v>
      </c>
      <c r="U472" s="1" t="s">
        <v>32</v>
      </c>
      <c r="V472" s="1" t="s">
        <v>46</v>
      </c>
      <c r="W472" s="5" t="s">
        <v>890</v>
      </c>
      <c r="X472" s="4">
        <v>88</v>
      </c>
    </row>
    <row r="473" spans="1:24" x14ac:dyDescent="0.3">
      <c r="A473" s="1" t="s">
        <v>887</v>
      </c>
      <c r="B473" s="1" t="s">
        <v>11</v>
      </c>
      <c r="C473" s="1" t="s">
        <v>30</v>
      </c>
      <c r="D473" s="1" t="s">
        <v>31</v>
      </c>
      <c r="E473" s="4">
        <v>17</v>
      </c>
      <c r="F473" s="4">
        <v>9</v>
      </c>
      <c r="G473" s="1" t="s">
        <v>14</v>
      </c>
      <c r="H473" s="1" t="s">
        <v>76</v>
      </c>
      <c r="I473" s="5" t="s">
        <v>653</v>
      </c>
      <c r="J473" s="4">
        <v>53</v>
      </c>
      <c r="O473" s="1" t="s">
        <v>891</v>
      </c>
      <c r="P473" s="1" t="s">
        <v>68</v>
      </c>
      <c r="Q473" s="1" t="s">
        <v>79</v>
      </c>
      <c r="R473" s="1" t="s">
        <v>31</v>
      </c>
      <c r="S473" s="4">
        <v>17</v>
      </c>
      <c r="T473" s="4">
        <v>10</v>
      </c>
      <c r="U473" s="1" t="s">
        <v>32</v>
      </c>
      <c r="V473" s="1" t="s">
        <v>61</v>
      </c>
      <c r="W473" s="5" t="s">
        <v>892</v>
      </c>
      <c r="X473" s="4">
        <v>56</v>
      </c>
    </row>
    <row r="474" spans="1:24" x14ac:dyDescent="0.3">
      <c r="A474" s="1" t="s">
        <v>888</v>
      </c>
      <c r="B474" s="1" t="s">
        <v>23</v>
      </c>
      <c r="C474" s="1" t="s">
        <v>58</v>
      </c>
      <c r="D474" s="1" t="s">
        <v>31</v>
      </c>
      <c r="E474" s="4">
        <v>18</v>
      </c>
      <c r="F474" s="4">
        <v>10</v>
      </c>
      <c r="G474" s="1" t="s">
        <v>14</v>
      </c>
      <c r="H474" s="1" t="s">
        <v>20</v>
      </c>
      <c r="I474" s="5" t="s">
        <v>153</v>
      </c>
      <c r="J474" s="4">
        <v>92</v>
      </c>
      <c r="O474" s="1" t="s">
        <v>893</v>
      </c>
      <c r="P474" s="1" t="s">
        <v>29</v>
      </c>
      <c r="Q474" s="1" t="s">
        <v>30</v>
      </c>
      <c r="R474" s="1" t="s">
        <v>13</v>
      </c>
      <c r="S474" s="4">
        <v>17</v>
      </c>
      <c r="T474" s="4">
        <v>9</v>
      </c>
      <c r="U474" s="1" t="s">
        <v>14</v>
      </c>
      <c r="V474" s="1" t="s">
        <v>46</v>
      </c>
      <c r="W474" s="5" t="s">
        <v>423</v>
      </c>
      <c r="X474" s="4">
        <v>46</v>
      </c>
    </row>
    <row r="475" spans="1:24" x14ac:dyDescent="0.3">
      <c r="A475" s="1" t="s">
        <v>889</v>
      </c>
      <c r="B475" s="1" t="s">
        <v>68</v>
      </c>
      <c r="C475" s="1" t="s">
        <v>19</v>
      </c>
      <c r="D475" s="1" t="s">
        <v>31</v>
      </c>
      <c r="E475" s="4">
        <v>18</v>
      </c>
      <c r="F475" s="4">
        <v>12</v>
      </c>
      <c r="G475" s="1" t="s">
        <v>32</v>
      </c>
      <c r="H475" s="1" t="s">
        <v>46</v>
      </c>
      <c r="I475" s="5" t="s">
        <v>890</v>
      </c>
      <c r="J475" s="4">
        <v>88</v>
      </c>
      <c r="O475" s="1" t="s">
        <v>894</v>
      </c>
      <c r="P475" s="1" t="s">
        <v>23</v>
      </c>
      <c r="Q475" s="1" t="s">
        <v>79</v>
      </c>
      <c r="R475" s="1" t="s">
        <v>31</v>
      </c>
      <c r="S475" s="4">
        <v>20</v>
      </c>
      <c r="T475" s="4">
        <v>9</v>
      </c>
      <c r="U475" s="1" t="s">
        <v>14</v>
      </c>
      <c r="V475" s="1" t="s">
        <v>26</v>
      </c>
      <c r="W475" s="5" t="s">
        <v>895</v>
      </c>
      <c r="X475" s="4">
        <v>36</v>
      </c>
    </row>
    <row r="476" spans="1:24" x14ac:dyDescent="0.3">
      <c r="A476" s="1" t="s">
        <v>891</v>
      </c>
      <c r="B476" s="1" t="s">
        <v>68</v>
      </c>
      <c r="C476" s="1" t="s">
        <v>79</v>
      </c>
      <c r="D476" s="1" t="s">
        <v>31</v>
      </c>
      <c r="E476" s="4">
        <v>17</v>
      </c>
      <c r="F476" s="4">
        <v>10</v>
      </c>
      <c r="G476" s="1" t="s">
        <v>32</v>
      </c>
      <c r="H476" s="1" t="s">
        <v>61</v>
      </c>
      <c r="I476" s="5" t="s">
        <v>892</v>
      </c>
      <c r="J476" s="4">
        <v>56</v>
      </c>
      <c r="O476" s="1" t="s">
        <v>896</v>
      </c>
      <c r="P476" s="1" t="s">
        <v>11</v>
      </c>
      <c r="Q476" s="1" t="s">
        <v>36</v>
      </c>
      <c r="R476" s="1" t="s">
        <v>13</v>
      </c>
      <c r="S476" s="4">
        <v>15</v>
      </c>
      <c r="T476" s="4">
        <v>11</v>
      </c>
      <c r="U476" s="1" t="s">
        <v>14</v>
      </c>
      <c r="V476" s="1" t="s">
        <v>26</v>
      </c>
      <c r="W476" s="5" t="s">
        <v>897</v>
      </c>
      <c r="X476" s="4">
        <v>95</v>
      </c>
    </row>
    <row r="477" spans="1:24" x14ac:dyDescent="0.3">
      <c r="A477" s="1" t="s">
        <v>893</v>
      </c>
      <c r="B477" s="1" t="s">
        <v>29</v>
      </c>
      <c r="C477" s="1" t="s">
        <v>30</v>
      </c>
      <c r="D477" s="1" t="s">
        <v>13</v>
      </c>
      <c r="E477" s="4">
        <v>17</v>
      </c>
      <c r="F477" s="4">
        <v>9</v>
      </c>
      <c r="G477" s="1" t="s">
        <v>14</v>
      </c>
      <c r="H477" s="1" t="s">
        <v>46</v>
      </c>
      <c r="I477" s="5" t="s">
        <v>423</v>
      </c>
      <c r="J477" s="4">
        <v>46</v>
      </c>
      <c r="O477" s="1" t="s">
        <v>898</v>
      </c>
      <c r="P477" s="1" t="s">
        <v>18</v>
      </c>
      <c r="Q477" s="1" t="s">
        <v>19</v>
      </c>
      <c r="R477" s="1" t="s">
        <v>13</v>
      </c>
      <c r="S477" s="4">
        <v>17</v>
      </c>
      <c r="T477" s="4">
        <v>10</v>
      </c>
      <c r="U477" s="1" t="s">
        <v>25</v>
      </c>
      <c r="V477" s="1" t="s">
        <v>61</v>
      </c>
      <c r="W477" s="5" t="s">
        <v>471</v>
      </c>
      <c r="X477" s="4">
        <v>58</v>
      </c>
    </row>
    <row r="478" spans="1:24" x14ac:dyDescent="0.3">
      <c r="A478" s="1" t="s">
        <v>894</v>
      </c>
      <c r="B478" s="1" t="s">
        <v>23</v>
      </c>
      <c r="C478" s="1" t="s">
        <v>79</v>
      </c>
      <c r="D478" s="1" t="s">
        <v>31</v>
      </c>
      <c r="E478" s="4">
        <v>20</v>
      </c>
      <c r="F478" s="4">
        <v>9</v>
      </c>
      <c r="G478" s="1" t="s">
        <v>14</v>
      </c>
      <c r="H478" s="1" t="s">
        <v>26</v>
      </c>
      <c r="I478" s="5" t="s">
        <v>895</v>
      </c>
      <c r="J478" s="4">
        <v>36</v>
      </c>
      <c r="O478" s="1" t="s">
        <v>899</v>
      </c>
      <c r="P478" s="1" t="s">
        <v>11</v>
      </c>
      <c r="Q478" s="1" t="s">
        <v>79</v>
      </c>
      <c r="R478" s="1" t="s">
        <v>13</v>
      </c>
      <c r="S478" s="4">
        <v>15</v>
      </c>
      <c r="T478" s="4">
        <v>10</v>
      </c>
      <c r="U478" s="1" t="s">
        <v>14</v>
      </c>
      <c r="V478" s="1" t="s">
        <v>37</v>
      </c>
      <c r="W478" s="5" t="s">
        <v>900</v>
      </c>
      <c r="X478" s="4">
        <v>88</v>
      </c>
    </row>
    <row r="479" spans="1:24" x14ac:dyDescent="0.3">
      <c r="A479" s="1" t="s">
        <v>896</v>
      </c>
      <c r="B479" s="1" t="s">
        <v>11</v>
      </c>
      <c r="C479" s="1" t="s">
        <v>36</v>
      </c>
      <c r="D479" s="1" t="s">
        <v>13</v>
      </c>
      <c r="E479" s="4">
        <v>15</v>
      </c>
      <c r="F479" s="4">
        <v>11</v>
      </c>
      <c r="G479" s="1" t="s">
        <v>14</v>
      </c>
      <c r="H479" s="1" t="s">
        <v>26</v>
      </c>
      <c r="I479" s="5" t="s">
        <v>897</v>
      </c>
      <c r="J479" s="4">
        <v>95</v>
      </c>
      <c r="O479" s="1" t="s">
        <v>901</v>
      </c>
      <c r="P479" s="1" t="s">
        <v>68</v>
      </c>
      <c r="Q479" s="1" t="s">
        <v>19</v>
      </c>
      <c r="R479" s="1" t="s">
        <v>31</v>
      </c>
      <c r="S479" s="4">
        <v>18</v>
      </c>
      <c r="T479" s="4">
        <v>11</v>
      </c>
      <c r="U479" s="1" t="s">
        <v>14</v>
      </c>
      <c r="V479" s="1" t="s">
        <v>40</v>
      </c>
      <c r="W479" s="5" t="s">
        <v>139</v>
      </c>
      <c r="X479" s="4">
        <v>75</v>
      </c>
    </row>
    <row r="480" spans="1:24" x14ac:dyDescent="0.3">
      <c r="A480" s="1" t="s">
        <v>898</v>
      </c>
      <c r="B480" s="1" t="s">
        <v>18</v>
      </c>
      <c r="C480" s="1" t="s">
        <v>19</v>
      </c>
      <c r="D480" s="1" t="s">
        <v>13</v>
      </c>
      <c r="E480" s="4">
        <v>17</v>
      </c>
      <c r="F480" s="4">
        <v>10</v>
      </c>
      <c r="G480" s="1" t="s">
        <v>25</v>
      </c>
      <c r="H480" s="1" t="s">
        <v>61</v>
      </c>
      <c r="I480" s="5" t="s">
        <v>471</v>
      </c>
      <c r="J480" s="4">
        <v>58</v>
      </c>
      <c r="O480" s="1" t="s">
        <v>902</v>
      </c>
      <c r="P480" s="1" t="s">
        <v>35</v>
      </c>
      <c r="Q480" s="1" t="s">
        <v>12</v>
      </c>
      <c r="R480" s="1" t="s">
        <v>31</v>
      </c>
      <c r="S480" s="4">
        <v>14</v>
      </c>
      <c r="T480" s="4">
        <v>11</v>
      </c>
      <c r="U480" s="1" t="s">
        <v>14</v>
      </c>
      <c r="V480" s="1" t="s">
        <v>37</v>
      </c>
      <c r="W480" s="5" t="s">
        <v>271</v>
      </c>
      <c r="X480" s="4">
        <v>59</v>
      </c>
    </row>
    <row r="481" spans="1:24" x14ac:dyDescent="0.3">
      <c r="A481" s="1" t="s">
        <v>899</v>
      </c>
      <c r="B481" s="1" t="s">
        <v>11</v>
      </c>
      <c r="C481" s="1" t="s">
        <v>79</v>
      </c>
      <c r="D481" s="1" t="s">
        <v>13</v>
      </c>
      <c r="E481" s="4">
        <v>15</v>
      </c>
      <c r="F481" s="4">
        <v>10</v>
      </c>
      <c r="G481" s="1" t="s">
        <v>14</v>
      </c>
      <c r="H481" s="1" t="s">
        <v>37</v>
      </c>
      <c r="I481" s="5" t="s">
        <v>900</v>
      </c>
      <c r="J481" s="4">
        <v>88</v>
      </c>
      <c r="O481" s="1" t="s">
        <v>903</v>
      </c>
      <c r="P481" s="1" t="s">
        <v>54</v>
      </c>
      <c r="Q481" s="1" t="s">
        <v>30</v>
      </c>
      <c r="R481" s="1" t="s">
        <v>31</v>
      </c>
      <c r="S481" s="4">
        <v>20</v>
      </c>
      <c r="T481" s="4">
        <v>12</v>
      </c>
      <c r="U481" s="1" t="s">
        <v>43</v>
      </c>
      <c r="V481" s="1" t="s">
        <v>40</v>
      </c>
      <c r="W481" s="5" t="s">
        <v>904</v>
      </c>
      <c r="X481" s="4">
        <v>55</v>
      </c>
    </row>
    <row r="482" spans="1:24" x14ac:dyDescent="0.3">
      <c r="A482" s="1" t="s">
        <v>901</v>
      </c>
      <c r="B482" s="1" t="s">
        <v>68</v>
      </c>
      <c r="C482" s="1" t="s">
        <v>19</v>
      </c>
      <c r="D482" s="1" t="s">
        <v>31</v>
      </c>
      <c r="E482" s="4">
        <v>18</v>
      </c>
      <c r="F482" s="4">
        <v>11</v>
      </c>
      <c r="G482" s="1" t="s">
        <v>14</v>
      </c>
      <c r="H482" s="1" t="s">
        <v>40</v>
      </c>
      <c r="I482" s="5" t="s">
        <v>139</v>
      </c>
      <c r="J482" s="4">
        <v>75</v>
      </c>
      <c r="O482" s="1" t="s">
        <v>905</v>
      </c>
      <c r="P482" s="1" t="s">
        <v>54</v>
      </c>
      <c r="Q482" s="1" t="s">
        <v>30</v>
      </c>
      <c r="R482" s="1" t="s">
        <v>13</v>
      </c>
      <c r="S482" s="4">
        <v>16</v>
      </c>
      <c r="T482" s="4">
        <v>12</v>
      </c>
      <c r="U482" s="1" t="s">
        <v>43</v>
      </c>
      <c r="V482" s="1" t="s">
        <v>40</v>
      </c>
      <c r="W482" s="5" t="s">
        <v>556</v>
      </c>
      <c r="X482" s="4">
        <v>81</v>
      </c>
    </row>
    <row r="483" spans="1:24" x14ac:dyDescent="0.3">
      <c r="A483" s="1" t="s">
        <v>902</v>
      </c>
      <c r="B483" s="1" t="s">
        <v>35</v>
      </c>
      <c r="C483" s="1" t="s">
        <v>12</v>
      </c>
      <c r="D483" s="1" t="s">
        <v>31</v>
      </c>
      <c r="E483" s="4">
        <v>14</v>
      </c>
      <c r="F483" s="4">
        <v>11</v>
      </c>
      <c r="G483" s="1" t="s">
        <v>14</v>
      </c>
      <c r="H483" s="1" t="s">
        <v>37</v>
      </c>
      <c r="I483" s="5" t="s">
        <v>271</v>
      </c>
      <c r="J483" s="4">
        <v>59</v>
      </c>
      <c r="O483" s="1" t="s">
        <v>906</v>
      </c>
      <c r="P483" s="1" t="s">
        <v>73</v>
      </c>
      <c r="Q483" s="1" t="s">
        <v>36</v>
      </c>
      <c r="R483" s="1" t="s">
        <v>13</v>
      </c>
      <c r="S483" s="4">
        <v>17</v>
      </c>
      <c r="T483" s="4">
        <v>12</v>
      </c>
      <c r="U483" s="1" t="s">
        <v>25</v>
      </c>
      <c r="V483" s="1" t="s">
        <v>76</v>
      </c>
      <c r="W483" s="5" t="s">
        <v>907</v>
      </c>
      <c r="X483" s="4">
        <v>75</v>
      </c>
    </row>
    <row r="484" spans="1:24" x14ac:dyDescent="0.3">
      <c r="A484" s="1" t="s">
        <v>903</v>
      </c>
      <c r="B484" s="1" t="s">
        <v>54</v>
      </c>
      <c r="C484" s="1" t="s">
        <v>30</v>
      </c>
      <c r="D484" s="1" t="s">
        <v>31</v>
      </c>
      <c r="E484" s="4">
        <v>20</v>
      </c>
      <c r="F484" s="4">
        <v>12</v>
      </c>
      <c r="G484" s="1" t="s">
        <v>43</v>
      </c>
      <c r="H484" s="1" t="s">
        <v>40</v>
      </c>
      <c r="I484" s="5" t="s">
        <v>904</v>
      </c>
      <c r="J484" s="4">
        <v>55</v>
      </c>
      <c r="O484" s="1" t="s">
        <v>908</v>
      </c>
      <c r="P484" s="1" t="s">
        <v>11</v>
      </c>
      <c r="Q484" s="1" t="s">
        <v>79</v>
      </c>
      <c r="R484" s="1" t="s">
        <v>31</v>
      </c>
      <c r="S484" s="4">
        <v>14</v>
      </c>
      <c r="T484" s="4">
        <v>10</v>
      </c>
      <c r="U484" s="1" t="s">
        <v>14</v>
      </c>
      <c r="V484" s="1" t="s">
        <v>46</v>
      </c>
      <c r="W484" s="5" t="s">
        <v>909</v>
      </c>
      <c r="X484" s="4">
        <v>55</v>
      </c>
    </row>
    <row r="485" spans="1:24" x14ac:dyDescent="0.3">
      <c r="A485" s="1" t="s">
        <v>905</v>
      </c>
      <c r="B485" s="1" t="s">
        <v>54</v>
      </c>
      <c r="C485" s="1" t="s">
        <v>30</v>
      </c>
      <c r="D485" s="1" t="s">
        <v>13</v>
      </c>
      <c r="E485" s="4">
        <v>16</v>
      </c>
      <c r="F485" s="4">
        <v>12</v>
      </c>
      <c r="G485" s="1" t="s">
        <v>43</v>
      </c>
      <c r="H485" s="1" t="s">
        <v>40</v>
      </c>
      <c r="I485" s="5" t="s">
        <v>556</v>
      </c>
      <c r="J485" s="4">
        <v>81</v>
      </c>
      <c r="O485" s="1" t="s">
        <v>910</v>
      </c>
      <c r="P485" s="1" t="s">
        <v>84</v>
      </c>
      <c r="Q485" s="1" t="s">
        <v>12</v>
      </c>
      <c r="R485" s="1" t="s">
        <v>31</v>
      </c>
      <c r="S485" s="4">
        <v>18</v>
      </c>
      <c r="T485" s="4">
        <v>11</v>
      </c>
      <c r="U485" s="1" t="s">
        <v>25</v>
      </c>
      <c r="V485" s="1" t="s">
        <v>15</v>
      </c>
      <c r="W485" s="5" t="s">
        <v>911</v>
      </c>
      <c r="X485" s="4">
        <v>87</v>
      </c>
    </row>
    <row r="486" spans="1:24" x14ac:dyDescent="0.3">
      <c r="A486" s="1" t="s">
        <v>906</v>
      </c>
      <c r="B486" s="1" t="s">
        <v>73</v>
      </c>
      <c r="C486" s="1" t="s">
        <v>36</v>
      </c>
      <c r="D486" s="1" t="s">
        <v>13</v>
      </c>
      <c r="E486" s="4">
        <v>17</v>
      </c>
      <c r="F486" s="4">
        <v>12</v>
      </c>
      <c r="G486" s="1" t="s">
        <v>25</v>
      </c>
      <c r="H486" s="1" t="s">
        <v>76</v>
      </c>
      <c r="I486" s="5" t="s">
        <v>907</v>
      </c>
      <c r="J486" s="4">
        <v>75</v>
      </c>
      <c r="O486" s="1" t="s">
        <v>912</v>
      </c>
      <c r="P486" s="1" t="s">
        <v>23</v>
      </c>
      <c r="Q486" s="1" t="s">
        <v>79</v>
      </c>
      <c r="R486" s="1" t="s">
        <v>31</v>
      </c>
      <c r="S486" s="4">
        <v>17</v>
      </c>
      <c r="T486" s="4">
        <v>12</v>
      </c>
      <c r="U486" s="1" t="s">
        <v>32</v>
      </c>
      <c r="V486" s="1" t="s">
        <v>46</v>
      </c>
      <c r="W486" s="5" t="s">
        <v>400</v>
      </c>
      <c r="X486" s="4">
        <v>70</v>
      </c>
    </row>
    <row r="487" spans="1:24" x14ac:dyDescent="0.3">
      <c r="A487" s="1" t="s">
        <v>908</v>
      </c>
      <c r="B487" s="1" t="s">
        <v>11</v>
      </c>
      <c r="C487" s="1" t="s">
        <v>79</v>
      </c>
      <c r="D487" s="1" t="s">
        <v>31</v>
      </c>
      <c r="E487" s="4">
        <v>14</v>
      </c>
      <c r="F487" s="4">
        <v>10</v>
      </c>
      <c r="G487" s="1" t="s">
        <v>14</v>
      </c>
      <c r="H487" s="1" t="s">
        <v>46</v>
      </c>
      <c r="I487" s="5" t="s">
        <v>909</v>
      </c>
      <c r="J487" s="4">
        <v>55</v>
      </c>
      <c r="O487" s="1" t="s">
        <v>913</v>
      </c>
      <c r="P487" s="1" t="s">
        <v>68</v>
      </c>
      <c r="Q487" s="1" t="s">
        <v>58</v>
      </c>
      <c r="R487" s="1" t="s">
        <v>13</v>
      </c>
      <c r="S487" s="4">
        <v>14</v>
      </c>
      <c r="T487" s="4">
        <v>10</v>
      </c>
      <c r="U487" s="1" t="s">
        <v>14</v>
      </c>
      <c r="V487" s="1" t="s">
        <v>15</v>
      </c>
      <c r="W487" s="5" t="s">
        <v>914</v>
      </c>
      <c r="X487" s="4">
        <v>69</v>
      </c>
    </row>
    <row r="488" spans="1:24" x14ac:dyDescent="0.3">
      <c r="A488" s="1" t="s">
        <v>910</v>
      </c>
      <c r="B488" s="1" t="s">
        <v>84</v>
      </c>
      <c r="C488" s="1" t="s">
        <v>12</v>
      </c>
      <c r="D488" s="1" t="s">
        <v>31</v>
      </c>
      <c r="E488" s="4">
        <v>18</v>
      </c>
      <c r="F488" s="4">
        <v>11</v>
      </c>
      <c r="G488" s="1" t="s">
        <v>25</v>
      </c>
      <c r="H488" s="1" t="s">
        <v>15</v>
      </c>
      <c r="I488" s="5" t="s">
        <v>911</v>
      </c>
      <c r="J488" s="4">
        <v>87</v>
      </c>
      <c r="O488" s="1" t="s">
        <v>915</v>
      </c>
      <c r="P488" s="1" t="s">
        <v>23</v>
      </c>
      <c r="Q488" s="1" t="s">
        <v>58</v>
      </c>
      <c r="R488" s="1" t="s">
        <v>31</v>
      </c>
      <c r="S488" s="4">
        <v>17</v>
      </c>
      <c r="T488" s="4">
        <v>9</v>
      </c>
      <c r="U488" s="1" t="s">
        <v>25</v>
      </c>
      <c r="V488" s="1" t="s">
        <v>46</v>
      </c>
      <c r="W488" s="5" t="s">
        <v>916</v>
      </c>
      <c r="X488" s="4">
        <v>85</v>
      </c>
    </row>
    <row r="489" spans="1:24" x14ac:dyDescent="0.3">
      <c r="A489" s="1" t="s">
        <v>912</v>
      </c>
      <c r="B489" s="1" t="s">
        <v>23</v>
      </c>
      <c r="C489" s="1" t="s">
        <v>79</v>
      </c>
      <c r="D489" s="1" t="s">
        <v>31</v>
      </c>
      <c r="E489" s="4">
        <v>17</v>
      </c>
      <c r="F489" s="4">
        <v>12</v>
      </c>
      <c r="G489" s="1" t="s">
        <v>32</v>
      </c>
      <c r="H489" s="1" t="s">
        <v>46</v>
      </c>
      <c r="I489" s="5" t="s">
        <v>400</v>
      </c>
      <c r="J489" s="4">
        <v>70</v>
      </c>
      <c r="O489" s="1" t="s">
        <v>917</v>
      </c>
      <c r="P489" s="1" t="s">
        <v>11</v>
      </c>
      <c r="Q489" s="1" t="s">
        <v>96</v>
      </c>
      <c r="R489" s="1" t="s">
        <v>31</v>
      </c>
      <c r="S489" s="4">
        <v>19</v>
      </c>
      <c r="T489" s="4">
        <v>11</v>
      </c>
      <c r="U489" s="1" t="s">
        <v>43</v>
      </c>
      <c r="V489" s="1" t="s">
        <v>26</v>
      </c>
      <c r="W489" s="5" t="s">
        <v>918</v>
      </c>
      <c r="X489" s="4">
        <v>87</v>
      </c>
    </row>
    <row r="490" spans="1:24" x14ac:dyDescent="0.3">
      <c r="A490" s="1" t="s">
        <v>913</v>
      </c>
      <c r="B490" s="1" t="s">
        <v>68</v>
      </c>
      <c r="C490" s="1" t="s">
        <v>58</v>
      </c>
      <c r="D490" s="1" t="s">
        <v>13</v>
      </c>
      <c r="E490" s="4">
        <v>14</v>
      </c>
      <c r="F490" s="4">
        <v>10</v>
      </c>
      <c r="G490" s="1" t="s">
        <v>14</v>
      </c>
      <c r="H490" s="1" t="s">
        <v>15</v>
      </c>
      <c r="I490" s="5" t="s">
        <v>914</v>
      </c>
      <c r="J490" s="4">
        <v>69</v>
      </c>
      <c r="O490" s="1" t="s">
        <v>919</v>
      </c>
      <c r="P490" s="1" t="s">
        <v>23</v>
      </c>
      <c r="Q490" s="1" t="s">
        <v>19</v>
      </c>
      <c r="R490" s="1" t="s">
        <v>13</v>
      </c>
      <c r="S490" s="4">
        <v>14</v>
      </c>
      <c r="T490" s="4">
        <v>12</v>
      </c>
      <c r="U490" s="1" t="s">
        <v>14</v>
      </c>
      <c r="V490" s="1" t="s">
        <v>15</v>
      </c>
      <c r="W490" s="5" t="s">
        <v>920</v>
      </c>
      <c r="X490" s="4">
        <v>92</v>
      </c>
    </row>
    <row r="491" spans="1:24" x14ac:dyDescent="0.3">
      <c r="A491" s="1" t="s">
        <v>915</v>
      </c>
      <c r="B491" s="1" t="s">
        <v>23</v>
      </c>
      <c r="C491" s="1" t="s">
        <v>58</v>
      </c>
      <c r="D491" s="1" t="s">
        <v>31</v>
      </c>
      <c r="E491" s="4">
        <v>17</v>
      </c>
      <c r="F491" s="4">
        <v>9</v>
      </c>
      <c r="G491" s="1" t="s">
        <v>25</v>
      </c>
      <c r="H491" s="1" t="s">
        <v>46</v>
      </c>
      <c r="I491" s="5" t="s">
        <v>916</v>
      </c>
      <c r="J491" s="4">
        <v>85</v>
      </c>
      <c r="O491" s="1" t="s">
        <v>921</v>
      </c>
      <c r="P491" s="1" t="s">
        <v>18</v>
      </c>
      <c r="Q491" s="1" t="s">
        <v>24</v>
      </c>
      <c r="R491" s="1" t="s">
        <v>13</v>
      </c>
      <c r="S491" s="4">
        <v>19</v>
      </c>
      <c r="T491" s="4">
        <v>10</v>
      </c>
      <c r="U491" s="1" t="s">
        <v>14</v>
      </c>
      <c r="V491" s="1" t="s">
        <v>20</v>
      </c>
      <c r="W491" s="5" t="s">
        <v>922</v>
      </c>
      <c r="X491" s="4">
        <v>58</v>
      </c>
    </row>
    <row r="492" spans="1:24" x14ac:dyDescent="0.3">
      <c r="A492" s="1" t="s">
        <v>917</v>
      </c>
      <c r="B492" s="1" t="s">
        <v>11</v>
      </c>
      <c r="C492" s="1" t="s">
        <v>96</v>
      </c>
      <c r="D492" s="1" t="s">
        <v>31</v>
      </c>
      <c r="E492" s="4">
        <v>19</v>
      </c>
      <c r="F492" s="4">
        <v>11</v>
      </c>
      <c r="G492" s="1" t="s">
        <v>43</v>
      </c>
      <c r="H492" s="1" t="s">
        <v>26</v>
      </c>
      <c r="I492" s="5" t="s">
        <v>918</v>
      </c>
      <c r="J492" s="4">
        <v>87</v>
      </c>
      <c r="O492" s="1" t="s">
        <v>923</v>
      </c>
      <c r="P492" s="1" t="s">
        <v>68</v>
      </c>
      <c r="Q492" s="1" t="s">
        <v>55</v>
      </c>
      <c r="R492" s="1" t="s">
        <v>31</v>
      </c>
      <c r="S492" s="4">
        <v>16</v>
      </c>
      <c r="T492" s="4">
        <v>12</v>
      </c>
      <c r="U492" s="1" t="s">
        <v>43</v>
      </c>
      <c r="V492" s="1" t="s">
        <v>37</v>
      </c>
      <c r="W492" s="5" t="s">
        <v>924</v>
      </c>
      <c r="X492" s="4">
        <v>77</v>
      </c>
    </row>
    <row r="493" spans="1:24" x14ac:dyDescent="0.3">
      <c r="A493" s="1" t="s">
        <v>919</v>
      </c>
      <c r="B493" s="1" t="s">
        <v>23</v>
      </c>
      <c r="C493" s="1" t="s">
        <v>19</v>
      </c>
      <c r="D493" s="1" t="s">
        <v>13</v>
      </c>
      <c r="E493" s="4">
        <v>14</v>
      </c>
      <c r="F493" s="4">
        <v>12</v>
      </c>
      <c r="G493" s="1" t="s">
        <v>14</v>
      </c>
      <c r="H493" s="1" t="s">
        <v>15</v>
      </c>
      <c r="I493" s="5" t="s">
        <v>920</v>
      </c>
      <c r="J493" s="4">
        <v>92</v>
      </c>
      <c r="O493" s="1" t="s">
        <v>925</v>
      </c>
      <c r="P493" s="1" t="s">
        <v>68</v>
      </c>
      <c r="Q493" s="1" t="s">
        <v>30</v>
      </c>
      <c r="R493" s="1" t="s">
        <v>31</v>
      </c>
      <c r="S493" s="4">
        <v>18</v>
      </c>
      <c r="T493" s="4">
        <v>9</v>
      </c>
      <c r="U493" s="1" t="s">
        <v>32</v>
      </c>
      <c r="V493" s="1" t="s">
        <v>20</v>
      </c>
      <c r="W493" s="5" t="s">
        <v>732</v>
      </c>
      <c r="X493" s="4">
        <v>86</v>
      </c>
    </row>
    <row r="494" spans="1:24" x14ac:dyDescent="0.3">
      <c r="A494" s="1" t="s">
        <v>921</v>
      </c>
      <c r="B494" s="1" t="s">
        <v>18</v>
      </c>
      <c r="C494" s="1" t="s">
        <v>24</v>
      </c>
      <c r="D494" s="1" t="s">
        <v>13</v>
      </c>
      <c r="E494" s="4">
        <v>19</v>
      </c>
      <c r="F494" s="4">
        <v>10</v>
      </c>
      <c r="G494" s="1" t="s">
        <v>14</v>
      </c>
      <c r="H494" s="1" t="s">
        <v>20</v>
      </c>
      <c r="I494" s="5" t="s">
        <v>922</v>
      </c>
      <c r="J494" s="4">
        <v>58</v>
      </c>
      <c r="O494" s="1" t="s">
        <v>926</v>
      </c>
      <c r="P494" s="1" t="s">
        <v>73</v>
      </c>
      <c r="Q494" s="1" t="s">
        <v>85</v>
      </c>
      <c r="R494" s="1" t="s">
        <v>13</v>
      </c>
      <c r="S494" s="4">
        <v>14</v>
      </c>
      <c r="T494" s="4">
        <v>9</v>
      </c>
      <c r="U494" s="1" t="s">
        <v>32</v>
      </c>
      <c r="V494" s="1" t="s">
        <v>20</v>
      </c>
      <c r="W494" s="5" t="s">
        <v>927</v>
      </c>
      <c r="X494" s="4">
        <v>94</v>
      </c>
    </row>
    <row r="495" spans="1:24" x14ac:dyDescent="0.3">
      <c r="A495" s="1" t="s">
        <v>923</v>
      </c>
      <c r="B495" s="1" t="s">
        <v>68</v>
      </c>
      <c r="C495" s="1" t="s">
        <v>55</v>
      </c>
      <c r="D495" s="1" t="s">
        <v>31</v>
      </c>
      <c r="E495" s="4">
        <v>16</v>
      </c>
      <c r="F495" s="4">
        <v>12</v>
      </c>
      <c r="G495" s="1" t="s">
        <v>43</v>
      </c>
      <c r="H495" s="1" t="s">
        <v>37</v>
      </c>
      <c r="I495" s="5" t="s">
        <v>924</v>
      </c>
      <c r="J495" s="4">
        <v>77</v>
      </c>
      <c r="O495" s="1" t="s">
        <v>928</v>
      </c>
      <c r="P495" s="1" t="s">
        <v>23</v>
      </c>
      <c r="Q495" s="1" t="s">
        <v>55</v>
      </c>
      <c r="R495" s="1" t="s">
        <v>13</v>
      </c>
      <c r="S495" s="4">
        <v>20</v>
      </c>
      <c r="T495" s="4">
        <v>11</v>
      </c>
      <c r="U495" s="1" t="s">
        <v>14</v>
      </c>
      <c r="V495" s="1" t="s">
        <v>15</v>
      </c>
      <c r="W495" s="5" t="s">
        <v>608</v>
      </c>
      <c r="X495" s="4">
        <v>49</v>
      </c>
    </row>
    <row r="496" spans="1:24" x14ac:dyDescent="0.3">
      <c r="A496" s="1" t="s">
        <v>925</v>
      </c>
      <c r="B496" s="1" t="s">
        <v>68</v>
      </c>
      <c r="C496" s="1" t="s">
        <v>30</v>
      </c>
      <c r="D496" s="1" t="s">
        <v>31</v>
      </c>
      <c r="E496" s="4">
        <v>18</v>
      </c>
      <c r="F496" s="4">
        <v>9</v>
      </c>
      <c r="G496" s="1" t="s">
        <v>32</v>
      </c>
      <c r="H496" s="1" t="s">
        <v>20</v>
      </c>
      <c r="I496" s="5" t="s">
        <v>732</v>
      </c>
      <c r="J496" s="4">
        <v>86</v>
      </c>
      <c r="O496" s="1" t="s">
        <v>929</v>
      </c>
      <c r="P496" s="1" t="s">
        <v>35</v>
      </c>
      <c r="Q496" s="1" t="s">
        <v>30</v>
      </c>
      <c r="R496" s="1" t="s">
        <v>13</v>
      </c>
      <c r="S496" s="4">
        <v>15</v>
      </c>
      <c r="T496" s="4">
        <v>12</v>
      </c>
      <c r="U496" s="1" t="s">
        <v>32</v>
      </c>
      <c r="V496" s="1" t="s">
        <v>26</v>
      </c>
      <c r="W496" s="5" t="s">
        <v>262</v>
      </c>
      <c r="X496" s="4">
        <v>55</v>
      </c>
    </row>
    <row r="497" spans="1:24" x14ac:dyDescent="0.3">
      <c r="A497" s="1" t="s">
        <v>926</v>
      </c>
      <c r="B497" s="1" t="s">
        <v>73</v>
      </c>
      <c r="C497" s="1" t="s">
        <v>85</v>
      </c>
      <c r="D497" s="1" t="s">
        <v>13</v>
      </c>
      <c r="E497" s="4">
        <v>14</v>
      </c>
      <c r="F497" s="4">
        <v>9</v>
      </c>
      <c r="G497" s="1" t="s">
        <v>32</v>
      </c>
      <c r="H497" s="1" t="s">
        <v>20</v>
      </c>
      <c r="I497" s="5" t="s">
        <v>927</v>
      </c>
      <c r="J497" s="4">
        <v>94</v>
      </c>
      <c r="O497" s="1" t="s">
        <v>930</v>
      </c>
      <c r="P497" s="1" t="s">
        <v>35</v>
      </c>
      <c r="Q497" s="1" t="s">
        <v>96</v>
      </c>
      <c r="R497" s="1" t="s">
        <v>31</v>
      </c>
      <c r="S497" s="4">
        <v>20</v>
      </c>
      <c r="T497" s="4">
        <v>9</v>
      </c>
      <c r="U497" s="1" t="s">
        <v>25</v>
      </c>
      <c r="V497" s="1" t="s">
        <v>61</v>
      </c>
      <c r="W497" s="5" t="s">
        <v>342</v>
      </c>
      <c r="X497" s="4">
        <v>62</v>
      </c>
    </row>
    <row r="498" spans="1:24" x14ac:dyDescent="0.3">
      <c r="A498" s="1" t="s">
        <v>928</v>
      </c>
      <c r="B498" s="1" t="s">
        <v>23</v>
      </c>
      <c r="C498" s="1" t="s">
        <v>55</v>
      </c>
      <c r="D498" s="1" t="s">
        <v>13</v>
      </c>
      <c r="E498" s="4">
        <v>20</v>
      </c>
      <c r="F498" s="4">
        <v>11</v>
      </c>
      <c r="G498" s="1" t="s">
        <v>14</v>
      </c>
      <c r="H498" s="1" t="s">
        <v>15</v>
      </c>
      <c r="I498" s="5" t="s">
        <v>608</v>
      </c>
      <c r="J498" s="4">
        <v>49</v>
      </c>
      <c r="O498" s="1" t="s">
        <v>931</v>
      </c>
      <c r="P498" s="1" t="s">
        <v>23</v>
      </c>
      <c r="Q498" s="1" t="s">
        <v>36</v>
      </c>
      <c r="R498" s="1" t="s">
        <v>13</v>
      </c>
      <c r="S498" s="4">
        <v>20</v>
      </c>
      <c r="T498" s="4">
        <v>9</v>
      </c>
      <c r="U498" s="1" t="s">
        <v>43</v>
      </c>
      <c r="V498" s="1" t="s">
        <v>40</v>
      </c>
      <c r="W498" s="5" t="s">
        <v>932</v>
      </c>
      <c r="X498" s="4">
        <v>85</v>
      </c>
    </row>
    <row r="499" spans="1:24" x14ac:dyDescent="0.3">
      <c r="A499" s="1" t="s">
        <v>929</v>
      </c>
      <c r="B499" s="1" t="s">
        <v>35</v>
      </c>
      <c r="C499" s="1" t="s">
        <v>30</v>
      </c>
      <c r="D499" s="1" t="s">
        <v>13</v>
      </c>
      <c r="E499" s="4">
        <v>15</v>
      </c>
      <c r="F499" s="4">
        <v>12</v>
      </c>
      <c r="G499" s="1" t="s">
        <v>32</v>
      </c>
      <c r="H499" s="1" t="s">
        <v>26</v>
      </c>
      <c r="I499" s="5" t="s">
        <v>262</v>
      </c>
      <c r="J499" s="4">
        <v>55</v>
      </c>
      <c r="O499" s="1" t="s">
        <v>933</v>
      </c>
      <c r="P499" s="1" t="s">
        <v>51</v>
      </c>
      <c r="Q499" s="1" t="s">
        <v>96</v>
      </c>
      <c r="R499" s="1" t="s">
        <v>13</v>
      </c>
      <c r="S499" s="4">
        <v>20</v>
      </c>
      <c r="T499" s="4">
        <v>11</v>
      </c>
      <c r="U499" s="1" t="s">
        <v>25</v>
      </c>
      <c r="V499" s="1" t="s">
        <v>15</v>
      </c>
      <c r="W499" s="5" t="s">
        <v>494</v>
      </c>
      <c r="X499" s="4">
        <v>42</v>
      </c>
    </row>
    <row r="500" spans="1:24" x14ac:dyDescent="0.3">
      <c r="A500" s="1" t="s">
        <v>930</v>
      </c>
      <c r="B500" s="1" t="s">
        <v>35</v>
      </c>
      <c r="C500" s="1" t="s">
        <v>96</v>
      </c>
      <c r="D500" s="1" t="s">
        <v>31</v>
      </c>
      <c r="E500" s="4">
        <v>20</v>
      </c>
      <c r="F500" s="4">
        <v>9</v>
      </c>
      <c r="G500" s="1" t="s">
        <v>25</v>
      </c>
      <c r="H500" s="1" t="s">
        <v>61</v>
      </c>
      <c r="I500" s="5" t="s">
        <v>342</v>
      </c>
      <c r="J500" s="4">
        <v>62</v>
      </c>
      <c r="O500" s="1" t="s">
        <v>934</v>
      </c>
      <c r="P500" s="1" t="s">
        <v>51</v>
      </c>
      <c r="Q500" s="1" t="s">
        <v>58</v>
      </c>
      <c r="R500" s="1" t="s">
        <v>31</v>
      </c>
      <c r="S500" s="4">
        <v>18</v>
      </c>
      <c r="T500" s="4">
        <v>11</v>
      </c>
      <c r="U500" s="1" t="s">
        <v>14</v>
      </c>
      <c r="V500" s="1" t="s">
        <v>37</v>
      </c>
      <c r="W500" s="5" t="s">
        <v>806</v>
      </c>
      <c r="X500" s="4">
        <v>88</v>
      </c>
    </row>
    <row r="501" spans="1:24" x14ac:dyDescent="0.3">
      <c r="A501" s="1" t="s">
        <v>931</v>
      </c>
      <c r="B501" s="1" t="s">
        <v>23</v>
      </c>
      <c r="C501" s="1" t="s">
        <v>36</v>
      </c>
      <c r="D501" s="1" t="s">
        <v>13</v>
      </c>
      <c r="E501" s="4">
        <v>20</v>
      </c>
      <c r="F501" s="4">
        <v>9</v>
      </c>
      <c r="G501" s="1" t="s">
        <v>43</v>
      </c>
      <c r="H501" s="1" t="s">
        <v>40</v>
      </c>
      <c r="I501" s="5" t="s">
        <v>932</v>
      </c>
      <c r="J501" s="4">
        <v>85</v>
      </c>
      <c r="O501" s="1" t="s">
        <v>935</v>
      </c>
      <c r="P501" s="1" t="s">
        <v>18</v>
      </c>
      <c r="Q501" s="1" t="s">
        <v>12</v>
      </c>
      <c r="R501" s="1" t="s">
        <v>13</v>
      </c>
      <c r="S501" s="4">
        <v>20</v>
      </c>
      <c r="T501" s="4">
        <v>11</v>
      </c>
      <c r="U501" s="1" t="s">
        <v>43</v>
      </c>
      <c r="V501" s="1" t="s">
        <v>46</v>
      </c>
      <c r="W501" s="5" t="s">
        <v>936</v>
      </c>
      <c r="X501" s="4">
        <v>94</v>
      </c>
    </row>
    <row r="502" spans="1:24" x14ac:dyDescent="0.3">
      <c r="A502" s="1" t="s">
        <v>933</v>
      </c>
      <c r="B502" s="1" t="s">
        <v>51</v>
      </c>
      <c r="C502" s="1" t="s">
        <v>96</v>
      </c>
      <c r="D502" s="1" t="s">
        <v>13</v>
      </c>
      <c r="E502" s="4">
        <v>20</v>
      </c>
      <c r="F502" s="4">
        <v>11</v>
      </c>
      <c r="G502" s="1" t="s">
        <v>25</v>
      </c>
      <c r="H502" s="1" t="s">
        <v>15</v>
      </c>
      <c r="I502" s="5" t="s">
        <v>494</v>
      </c>
      <c r="J502" s="4">
        <v>42</v>
      </c>
      <c r="O502" s="1" t="s">
        <v>937</v>
      </c>
      <c r="P502" s="1" t="s">
        <v>73</v>
      </c>
      <c r="Q502" s="1" t="s">
        <v>85</v>
      </c>
      <c r="R502" s="1" t="s">
        <v>31</v>
      </c>
      <c r="S502" s="4">
        <v>16</v>
      </c>
      <c r="T502" s="4">
        <v>10</v>
      </c>
      <c r="U502" s="1" t="s">
        <v>25</v>
      </c>
      <c r="V502" s="1" t="s">
        <v>76</v>
      </c>
      <c r="W502" s="5" t="s">
        <v>305</v>
      </c>
      <c r="X502" s="4">
        <v>90</v>
      </c>
    </row>
    <row r="503" spans="1:24" x14ac:dyDescent="0.3">
      <c r="A503" s="1" t="s">
        <v>934</v>
      </c>
      <c r="B503" s="1" t="s">
        <v>51</v>
      </c>
      <c r="C503" s="1" t="s">
        <v>58</v>
      </c>
      <c r="D503" s="1" t="s">
        <v>31</v>
      </c>
      <c r="E503" s="4">
        <v>18</v>
      </c>
      <c r="F503" s="4">
        <v>11</v>
      </c>
      <c r="G503" s="1" t="s">
        <v>14</v>
      </c>
      <c r="H503" s="1" t="s">
        <v>37</v>
      </c>
      <c r="I503" s="5" t="s">
        <v>806</v>
      </c>
      <c r="J503" s="4">
        <v>88</v>
      </c>
      <c r="O503" s="1" t="s">
        <v>938</v>
      </c>
      <c r="P503" s="1" t="s">
        <v>18</v>
      </c>
      <c r="Q503" s="1" t="s">
        <v>58</v>
      </c>
      <c r="R503" s="1" t="s">
        <v>13</v>
      </c>
      <c r="S503" s="4">
        <v>16</v>
      </c>
      <c r="T503" s="4">
        <v>12</v>
      </c>
      <c r="U503" s="1" t="s">
        <v>25</v>
      </c>
      <c r="V503" s="1" t="s">
        <v>26</v>
      </c>
      <c r="W503" s="5" t="s">
        <v>939</v>
      </c>
      <c r="X503" s="4">
        <v>41</v>
      </c>
    </row>
    <row r="504" spans="1:24" x14ac:dyDescent="0.3">
      <c r="A504" s="1" t="s">
        <v>935</v>
      </c>
      <c r="B504" s="1" t="s">
        <v>18</v>
      </c>
      <c r="C504" s="1" t="s">
        <v>12</v>
      </c>
      <c r="D504" s="1" t="s">
        <v>13</v>
      </c>
      <c r="E504" s="4">
        <v>20</v>
      </c>
      <c r="F504" s="4">
        <v>11</v>
      </c>
      <c r="G504" s="1" t="s">
        <v>43</v>
      </c>
      <c r="H504" s="1" t="s">
        <v>46</v>
      </c>
      <c r="I504" s="5" t="s">
        <v>936</v>
      </c>
      <c r="J504" s="4">
        <v>94</v>
      </c>
      <c r="O504" s="1" t="s">
        <v>940</v>
      </c>
      <c r="P504" s="1" t="s">
        <v>51</v>
      </c>
      <c r="Q504" s="1" t="s">
        <v>96</v>
      </c>
      <c r="R504" s="1" t="s">
        <v>31</v>
      </c>
      <c r="S504" s="4">
        <v>18</v>
      </c>
      <c r="T504" s="4">
        <v>9</v>
      </c>
      <c r="U504" s="1" t="s">
        <v>43</v>
      </c>
      <c r="V504" s="1" t="s">
        <v>76</v>
      </c>
      <c r="W504" s="5" t="s">
        <v>506</v>
      </c>
      <c r="X504" s="4">
        <v>36</v>
      </c>
    </row>
    <row r="505" spans="1:24" x14ac:dyDescent="0.3">
      <c r="A505" s="1" t="s">
        <v>937</v>
      </c>
      <c r="B505" s="1" t="s">
        <v>73</v>
      </c>
      <c r="C505" s="1" t="s">
        <v>85</v>
      </c>
      <c r="D505" s="1" t="s">
        <v>31</v>
      </c>
      <c r="E505" s="4">
        <v>16</v>
      </c>
      <c r="F505" s="4">
        <v>10</v>
      </c>
      <c r="G505" s="1" t="s">
        <v>25</v>
      </c>
      <c r="H505" s="1" t="s">
        <v>76</v>
      </c>
      <c r="I505" s="5" t="s">
        <v>305</v>
      </c>
      <c r="J505" s="4">
        <v>90</v>
      </c>
    </row>
    <row r="506" spans="1:24" x14ac:dyDescent="0.3">
      <c r="A506" s="1" t="s">
        <v>938</v>
      </c>
      <c r="B506" s="1" t="s">
        <v>18</v>
      </c>
      <c r="C506" s="1" t="s">
        <v>58</v>
      </c>
      <c r="D506" s="1" t="s">
        <v>13</v>
      </c>
      <c r="E506" s="4">
        <v>16</v>
      </c>
      <c r="F506" s="4">
        <v>12</v>
      </c>
      <c r="G506" s="1" t="s">
        <v>25</v>
      </c>
      <c r="H506" s="1" t="s">
        <v>26</v>
      </c>
      <c r="I506" s="5" t="s">
        <v>939</v>
      </c>
      <c r="J506" s="4">
        <v>41</v>
      </c>
    </row>
    <row r="507" spans="1:24" x14ac:dyDescent="0.3">
      <c r="A507" s="1" t="s">
        <v>940</v>
      </c>
      <c r="B507" s="1" t="s">
        <v>51</v>
      </c>
      <c r="C507" s="1" t="s">
        <v>96</v>
      </c>
      <c r="D507" s="1" t="s">
        <v>31</v>
      </c>
      <c r="E507" s="4">
        <v>18</v>
      </c>
      <c r="F507" s="4">
        <v>9</v>
      </c>
      <c r="G507" s="1" t="s">
        <v>43</v>
      </c>
      <c r="H507" s="1" t="s">
        <v>76</v>
      </c>
      <c r="I507" s="5" t="s">
        <v>506</v>
      </c>
      <c r="J507" s="4">
        <v>36</v>
      </c>
    </row>
  </sheetData>
  <conditionalFormatting sqref="B8:B507">
    <cfRule type="duplicateValues" dxfId="4" priority="2"/>
    <cfRule type="colorScale" priority="3">
      <colorScale>
        <cfvo type="min"/>
        <cfvo type="max"/>
        <color rgb="FFF8696B"/>
        <color rgb="FFFCFCFF"/>
      </colorScale>
    </cfRule>
  </conditionalFormatting>
  <conditionalFormatting sqref="J8:J507">
    <cfRule type="cellIs" dxfId="3" priority="12" operator="lessThan">
      <formula>40</formula>
    </cfRule>
    <cfRule type="cellIs" dxfId="2" priority="13" operator="greaterThan">
      <formula>90</formula>
    </cfRule>
    <cfRule type="cellIs" dxfId="1" priority="14" operator="greaterThan">
      <formula>90</formula>
    </cfRule>
    <cfRule type="cellIs" priority="15" operator="greaterThan">
      <formula>80</formula>
    </cfRule>
  </conditionalFormatting>
  <conditionalFormatting sqref="S5:S504">
    <cfRule type="cellIs" dxfId="0" priority="1" operator="greaterThan">
      <formula>18</formula>
    </cfRule>
  </conditionalFormatting>
  <conditionalFormatting sqref="X5:X504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1CF9-6C97-400E-83BA-3026DBBFC0D6}">
  <dimension ref="A1:T31"/>
  <sheetViews>
    <sheetView workbookViewId="0">
      <selection activeCell="K21" sqref="K21"/>
    </sheetView>
  </sheetViews>
  <sheetFormatPr defaultRowHeight="14.4" x14ac:dyDescent="0.3"/>
  <cols>
    <col min="2" max="2" width="12.5546875" bestFit="1" customWidth="1"/>
    <col min="3" max="3" width="18.44140625" bestFit="1" customWidth="1"/>
    <col min="6" max="6" width="12.5546875" bestFit="1" customWidth="1"/>
    <col min="7" max="7" width="15.88671875" bestFit="1" customWidth="1"/>
    <col min="9" max="10" width="12.5546875" bestFit="1" customWidth="1"/>
    <col min="11" max="11" width="13.88671875" bestFit="1" customWidth="1"/>
    <col min="14" max="14" width="18.44140625" bestFit="1" customWidth="1"/>
    <col min="15" max="15" width="15.5546875" bestFit="1" customWidth="1"/>
    <col min="16" max="16" width="9.21875" customWidth="1"/>
    <col min="17" max="17" width="10.77734375" bestFit="1" customWidth="1"/>
    <col min="18" max="18" width="18.44140625" bestFit="1" customWidth="1"/>
    <col min="19" max="20" width="12.5546875" bestFit="1" customWidth="1"/>
    <col min="21" max="21" width="12.6640625" bestFit="1" customWidth="1"/>
  </cols>
  <sheetData>
    <row r="1" spans="1:20" x14ac:dyDescent="0.3">
      <c r="A1" s="6" t="s">
        <v>977</v>
      </c>
    </row>
    <row r="3" spans="1:20" x14ac:dyDescent="0.3">
      <c r="B3" s="11" t="s">
        <v>986</v>
      </c>
      <c r="F3" s="11" t="s">
        <v>987</v>
      </c>
      <c r="J3" s="11" t="s">
        <v>988</v>
      </c>
      <c r="N3" s="11" t="s">
        <v>989</v>
      </c>
      <c r="S3" s="11" t="s">
        <v>990</v>
      </c>
    </row>
    <row r="5" spans="1:20" x14ac:dyDescent="0.3">
      <c r="B5" s="12" t="s">
        <v>991</v>
      </c>
      <c r="C5" t="s">
        <v>993</v>
      </c>
      <c r="F5" s="12" t="s">
        <v>991</v>
      </c>
      <c r="G5" t="s">
        <v>994</v>
      </c>
      <c r="J5" s="12" t="s">
        <v>991</v>
      </c>
      <c r="K5" t="s">
        <v>995</v>
      </c>
      <c r="N5" s="12" t="s">
        <v>994</v>
      </c>
      <c r="O5" s="12" t="s">
        <v>996</v>
      </c>
      <c r="S5" s="12" t="s">
        <v>991</v>
      </c>
      <c r="T5" t="s">
        <v>997</v>
      </c>
    </row>
    <row r="6" spans="1:20" x14ac:dyDescent="0.3">
      <c r="B6" s="13" t="s">
        <v>37</v>
      </c>
      <c r="C6" s="8">
        <v>66.84482758620689</v>
      </c>
      <c r="F6" s="13" t="s">
        <v>31</v>
      </c>
      <c r="G6">
        <v>271</v>
      </c>
      <c r="J6" s="14">
        <v>9</v>
      </c>
      <c r="K6" s="8">
        <v>17.021428571428572</v>
      </c>
      <c r="N6" s="12" t="s">
        <v>991</v>
      </c>
      <c r="O6" t="s">
        <v>31</v>
      </c>
      <c r="P6" t="s">
        <v>13</v>
      </c>
      <c r="Q6" t="s">
        <v>992</v>
      </c>
      <c r="S6" s="14">
        <v>9</v>
      </c>
      <c r="T6" s="8">
        <v>100</v>
      </c>
    </row>
    <row r="7" spans="1:20" x14ac:dyDescent="0.3">
      <c r="B7" s="13" t="s">
        <v>76</v>
      </c>
      <c r="C7" s="8">
        <v>66.681818181818187</v>
      </c>
      <c r="F7" s="13" t="s">
        <v>13</v>
      </c>
      <c r="G7">
        <v>229</v>
      </c>
      <c r="J7" s="14">
        <v>10</v>
      </c>
      <c r="K7" s="8">
        <v>17.139130434782608</v>
      </c>
      <c r="N7" s="13" t="s">
        <v>37</v>
      </c>
      <c r="O7">
        <v>36</v>
      </c>
      <c r="P7">
        <v>22</v>
      </c>
      <c r="Q7">
        <v>58</v>
      </c>
      <c r="S7" s="14">
        <v>10</v>
      </c>
      <c r="T7" s="8">
        <v>100</v>
      </c>
    </row>
    <row r="8" spans="1:20" x14ac:dyDescent="0.3">
      <c r="B8" s="13" t="s">
        <v>61</v>
      </c>
      <c r="C8" s="8">
        <v>66.69736842105263</v>
      </c>
      <c r="F8" s="13" t="s">
        <v>992</v>
      </c>
      <c r="G8">
        <v>500</v>
      </c>
      <c r="J8" s="14">
        <v>11</v>
      </c>
      <c r="K8" s="8">
        <v>16.923728813559322</v>
      </c>
      <c r="N8" s="13" t="s">
        <v>76</v>
      </c>
      <c r="O8">
        <v>41</v>
      </c>
      <c r="P8">
        <v>25</v>
      </c>
      <c r="Q8">
        <v>66</v>
      </c>
      <c r="S8" s="14">
        <v>11</v>
      </c>
      <c r="T8" s="8">
        <v>100</v>
      </c>
    </row>
    <row r="9" spans="1:20" x14ac:dyDescent="0.3">
      <c r="B9" s="13" t="s">
        <v>40</v>
      </c>
      <c r="C9" s="8">
        <v>65.140625</v>
      </c>
      <c r="J9" s="14">
        <v>12</v>
      </c>
      <c r="K9" s="8">
        <v>16.826771653543307</v>
      </c>
      <c r="N9" s="13" t="s">
        <v>61</v>
      </c>
      <c r="O9">
        <v>45</v>
      </c>
      <c r="P9">
        <v>31</v>
      </c>
      <c r="Q9">
        <v>76</v>
      </c>
      <c r="S9" s="14">
        <v>12</v>
      </c>
      <c r="T9" s="8">
        <v>100</v>
      </c>
    </row>
    <row r="10" spans="1:20" x14ac:dyDescent="0.3">
      <c r="B10" s="13" t="s">
        <v>20</v>
      </c>
      <c r="C10" s="8">
        <v>69.951612903225808</v>
      </c>
      <c r="J10" s="14" t="s">
        <v>992</v>
      </c>
      <c r="K10" s="8">
        <v>16.975999999999999</v>
      </c>
      <c r="N10" s="13" t="s">
        <v>40</v>
      </c>
      <c r="O10">
        <v>35</v>
      </c>
      <c r="P10">
        <v>29</v>
      </c>
      <c r="Q10">
        <v>64</v>
      </c>
      <c r="S10" s="14" t="s">
        <v>992</v>
      </c>
      <c r="T10" s="8">
        <v>100</v>
      </c>
    </row>
    <row r="11" spans="1:20" x14ac:dyDescent="0.3">
      <c r="B11" s="13" t="s">
        <v>26</v>
      </c>
      <c r="C11" s="8">
        <v>65.05263157894737</v>
      </c>
      <c r="N11" s="13" t="s">
        <v>20</v>
      </c>
      <c r="O11">
        <v>31</v>
      </c>
      <c r="P11">
        <v>31</v>
      </c>
      <c r="Q11">
        <v>62</v>
      </c>
    </row>
    <row r="12" spans="1:20" x14ac:dyDescent="0.3">
      <c r="B12" s="13" t="s">
        <v>46</v>
      </c>
      <c r="C12" s="8">
        <v>66.666666666666671</v>
      </c>
      <c r="N12" s="13" t="s">
        <v>26</v>
      </c>
      <c r="O12">
        <v>32</v>
      </c>
      <c r="P12">
        <v>25</v>
      </c>
      <c r="Q12">
        <v>57</v>
      </c>
    </row>
    <row r="13" spans="1:20" x14ac:dyDescent="0.3">
      <c r="B13" s="13" t="s">
        <v>15</v>
      </c>
      <c r="C13" s="8">
        <v>64.4375</v>
      </c>
      <c r="N13" s="13" t="s">
        <v>46</v>
      </c>
      <c r="O13">
        <v>30</v>
      </c>
      <c r="P13">
        <v>39</v>
      </c>
      <c r="Q13">
        <v>69</v>
      </c>
    </row>
    <row r="14" spans="1:20" x14ac:dyDescent="0.3">
      <c r="B14" s="13" t="s">
        <v>992</v>
      </c>
      <c r="C14" s="8">
        <v>66.507999999999996</v>
      </c>
      <c r="N14" s="13" t="s">
        <v>15</v>
      </c>
      <c r="O14">
        <v>21</v>
      </c>
      <c r="P14">
        <v>27</v>
      </c>
      <c r="Q14">
        <v>48</v>
      </c>
    </row>
    <row r="15" spans="1:20" x14ac:dyDescent="0.3">
      <c r="N15" s="13" t="s">
        <v>992</v>
      </c>
      <c r="O15">
        <v>271</v>
      </c>
      <c r="P15">
        <v>229</v>
      </c>
      <c r="Q15">
        <v>500</v>
      </c>
    </row>
    <row r="22" spans="2:7" x14ac:dyDescent="0.3">
      <c r="B22" s="12" t="s">
        <v>991</v>
      </c>
      <c r="C22" t="s">
        <v>994</v>
      </c>
      <c r="F22" s="12" t="s">
        <v>991</v>
      </c>
      <c r="G22" t="s">
        <v>993</v>
      </c>
    </row>
    <row r="23" spans="2:7" x14ac:dyDescent="0.3">
      <c r="B23" s="13" t="s">
        <v>15</v>
      </c>
      <c r="C23">
        <v>48</v>
      </c>
      <c r="F23" s="14">
        <v>9</v>
      </c>
      <c r="G23" s="8">
        <v>65.442857142857136</v>
      </c>
    </row>
    <row r="24" spans="2:7" x14ac:dyDescent="0.3">
      <c r="B24" s="13" t="s">
        <v>26</v>
      </c>
      <c r="C24">
        <v>57</v>
      </c>
      <c r="F24" s="14">
        <v>12</v>
      </c>
      <c r="G24" s="8">
        <v>65.937007874015748</v>
      </c>
    </row>
    <row r="25" spans="2:7" x14ac:dyDescent="0.3">
      <c r="B25" s="13" t="s">
        <v>37</v>
      </c>
      <c r="C25">
        <v>58</v>
      </c>
      <c r="F25" s="14">
        <v>10</v>
      </c>
      <c r="G25" s="8">
        <v>66.295652173913041</v>
      </c>
    </row>
    <row r="26" spans="2:7" x14ac:dyDescent="0.3">
      <c r="B26" s="13" t="s">
        <v>20</v>
      </c>
      <c r="C26">
        <v>62</v>
      </c>
      <c r="F26" s="14">
        <v>11</v>
      </c>
      <c r="G26" s="8">
        <v>68.593220338983045</v>
      </c>
    </row>
    <row r="27" spans="2:7" x14ac:dyDescent="0.3">
      <c r="B27" s="13" t="s">
        <v>40</v>
      </c>
      <c r="C27">
        <v>64</v>
      </c>
      <c r="F27" s="14" t="s">
        <v>992</v>
      </c>
      <c r="G27" s="8">
        <v>66.507999999999996</v>
      </c>
    </row>
    <row r="28" spans="2:7" x14ac:dyDescent="0.3">
      <c r="B28" s="13" t="s">
        <v>76</v>
      </c>
      <c r="C28">
        <v>66</v>
      </c>
    </row>
    <row r="29" spans="2:7" x14ac:dyDescent="0.3">
      <c r="B29" s="13" t="s">
        <v>46</v>
      </c>
      <c r="C29">
        <v>69</v>
      </c>
    </row>
    <row r="30" spans="2:7" x14ac:dyDescent="0.3">
      <c r="B30" s="13" t="s">
        <v>61</v>
      </c>
      <c r="C30">
        <v>76</v>
      </c>
    </row>
    <row r="31" spans="2:7" x14ac:dyDescent="0.3">
      <c r="B31" s="13" t="s">
        <v>992</v>
      </c>
      <c r="C31">
        <v>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C1C4-E641-475D-89BD-1C6752E6184E}">
  <dimension ref="A1:L9"/>
  <sheetViews>
    <sheetView topLeftCell="S1" workbookViewId="0">
      <selection activeCell="O3" sqref="O3"/>
    </sheetView>
  </sheetViews>
  <sheetFormatPr defaultRowHeight="14.4" x14ac:dyDescent="0.3"/>
  <cols>
    <col min="7" max="7" width="4" customWidth="1"/>
    <col min="8" max="8" width="8.88671875" hidden="1" customWidth="1"/>
    <col min="9" max="9" width="19.44140625" customWidth="1"/>
    <col min="10" max="10" width="23.33203125" customWidth="1"/>
    <col min="11" max="11" width="22.21875" customWidth="1"/>
    <col min="12" max="12" width="28.109375" customWidth="1"/>
  </cols>
  <sheetData>
    <row r="1" spans="1:12" x14ac:dyDescent="0.3">
      <c r="A1" s="6" t="s">
        <v>998</v>
      </c>
    </row>
    <row r="3" spans="1:12" x14ac:dyDescent="0.3">
      <c r="B3" s="11" t="s">
        <v>999</v>
      </c>
      <c r="I3" s="16" t="s">
        <v>999</v>
      </c>
      <c r="J3" s="16" t="s">
        <v>961</v>
      </c>
      <c r="K3" s="16" t="s">
        <v>959</v>
      </c>
      <c r="L3" s="16" t="s">
        <v>960</v>
      </c>
    </row>
    <row r="4" spans="1:12" x14ac:dyDescent="0.3">
      <c r="B4" s="11" t="s">
        <v>961</v>
      </c>
      <c r="I4" s="16">
        <v>500</v>
      </c>
      <c r="J4" s="17">
        <v>66.507999999999996</v>
      </c>
      <c r="K4" s="17">
        <v>100</v>
      </c>
      <c r="L4" s="17">
        <v>35</v>
      </c>
    </row>
    <row r="5" spans="1:12" x14ac:dyDescent="0.3">
      <c r="B5" s="11" t="s">
        <v>959</v>
      </c>
    </row>
    <row r="6" spans="1:12" x14ac:dyDescent="0.3">
      <c r="B6" s="11" t="s">
        <v>960</v>
      </c>
    </row>
    <row r="7" spans="1:12" x14ac:dyDescent="0.3">
      <c r="B7" s="11" t="s">
        <v>1000</v>
      </c>
    </row>
    <row r="8" spans="1:12" x14ac:dyDescent="0.3">
      <c r="B8" s="11" t="s">
        <v>1001</v>
      </c>
    </row>
    <row r="9" spans="1:12" x14ac:dyDescent="0.3">
      <c r="B9" s="11" t="s">
        <v>1002</v>
      </c>
    </row>
  </sheetData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12DD-7C4D-4E13-BA27-7F4C3623E738}">
  <dimension ref="A1:S507"/>
  <sheetViews>
    <sheetView tabSelected="1" workbookViewId="0">
      <selection activeCell="S15" sqref="S15"/>
    </sheetView>
  </sheetViews>
  <sheetFormatPr defaultRowHeight="14.4" x14ac:dyDescent="0.3"/>
  <cols>
    <col min="10" max="11" width="10.44140625" bestFit="1" customWidth="1"/>
    <col min="12" max="12" width="10.33203125" bestFit="1" customWidth="1"/>
  </cols>
  <sheetData>
    <row r="1" spans="1:19" ht="15" thickBot="1" x14ac:dyDescent="0.35">
      <c r="A1" s="20" t="s">
        <v>5</v>
      </c>
      <c r="B1" s="20" t="s">
        <v>1010</v>
      </c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15" thickBot="1" x14ac:dyDescent="0.35">
      <c r="A2" s="19">
        <v>9</v>
      </c>
      <c r="B2" s="19">
        <v>1000</v>
      </c>
    </row>
    <row r="3" spans="1:19" ht="15" thickBot="1" x14ac:dyDescent="0.35">
      <c r="A3" s="19">
        <v>10</v>
      </c>
      <c r="B3" s="19">
        <v>1200</v>
      </c>
      <c r="I3" s="18"/>
    </row>
    <row r="4" spans="1:19" ht="15" thickBot="1" x14ac:dyDescent="0.35">
      <c r="A4" s="19">
        <v>11</v>
      </c>
      <c r="B4" s="19">
        <v>1500</v>
      </c>
      <c r="P4" s="22" t="s">
        <v>1011</v>
      </c>
      <c r="Q4" t="s">
        <v>1015</v>
      </c>
    </row>
    <row r="5" spans="1:19" ht="15" thickBot="1" x14ac:dyDescent="0.35">
      <c r="A5" s="19">
        <v>12</v>
      </c>
      <c r="B5" s="19">
        <v>1800</v>
      </c>
      <c r="P5" s="22" t="s">
        <v>1012</v>
      </c>
      <c r="Q5" t="s">
        <v>1014</v>
      </c>
    </row>
    <row r="6" spans="1:19" x14ac:dyDescent="0.3">
      <c r="A6" s="21"/>
      <c r="P6" s="22" t="s">
        <v>1013</v>
      </c>
      <c r="Q6" t="s">
        <v>1016</v>
      </c>
    </row>
    <row r="7" spans="1:19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2" t="s">
        <v>1011</v>
      </c>
      <c r="L7" s="22" t="s">
        <v>1012</v>
      </c>
      <c r="M7" s="22" t="s">
        <v>1013</v>
      </c>
    </row>
    <row r="8" spans="1:19" x14ac:dyDescent="0.3">
      <c r="A8" s="1" t="s">
        <v>10</v>
      </c>
      <c r="B8" s="1" t="s">
        <v>11</v>
      </c>
      <c r="C8" s="1" t="s">
        <v>12</v>
      </c>
      <c r="D8" s="1" t="s">
        <v>13</v>
      </c>
      <c r="E8" s="4">
        <v>16</v>
      </c>
      <c r="F8" s="4">
        <v>10</v>
      </c>
      <c r="G8" s="1" t="s">
        <v>14</v>
      </c>
      <c r="H8" s="1" t="s">
        <v>15</v>
      </c>
      <c r="I8" s="5" t="s">
        <v>16</v>
      </c>
      <c r="J8" s="4">
        <v>37</v>
      </c>
      <c r="K8" s="1">
        <f>VLOOKUP($F8,$A$1:$B$5,2,0)</f>
        <v>1200</v>
      </c>
      <c r="L8" s="1">
        <f>INDEX($B$2:$B$5,MATCH($F8,$A$2:$A$5,0))</f>
        <v>1200</v>
      </c>
      <c r="M8" s="1">
        <f>_xlfn.XLOOKUP($F8,$A$2:$A$5,$B$2:$B$5)</f>
        <v>1200</v>
      </c>
    </row>
    <row r="9" spans="1:19" x14ac:dyDescent="0.3">
      <c r="A9" s="1" t="s">
        <v>17</v>
      </c>
      <c r="B9" s="1" t="s">
        <v>18</v>
      </c>
      <c r="C9" s="1" t="s">
        <v>19</v>
      </c>
      <c r="D9" s="1" t="s">
        <v>13</v>
      </c>
      <c r="E9" s="4">
        <v>15</v>
      </c>
      <c r="F9" s="4">
        <v>12</v>
      </c>
      <c r="G9" s="1" t="s">
        <v>14</v>
      </c>
      <c r="H9" s="1" t="s">
        <v>20</v>
      </c>
      <c r="I9" s="5" t="s">
        <v>21</v>
      </c>
      <c r="J9" s="4">
        <v>98</v>
      </c>
      <c r="K9" s="1">
        <f t="shared" ref="K9:K72" si="0">VLOOKUP($F9,$A$1:$B$5,2,0)</f>
        <v>1800</v>
      </c>
      <c r="L9" s="1">
        <f t="shared" ref="L9:L72" si="1">INDEX($B$2:$B$5,MATCH($F9,$A$2:$A$5,0))</f>
        <v>1800</v>
      </c>
      <c r="M9" s="1">
        <f t="shared" ref="M9:M72" si="2">_xlfn.XLOOKUP($F9,$A$2:$A$5,$B$2:$B$5)</f>
        <v>1800</v>
      </c>
    </row>
    <row r="10" spans="1:19" x14ac:dyDescent="0.3">
      <c r="A10" s="1" t="s">
        <v>22</v>
      </c>
      <c r="B10" s="1" t="s">
        <v>23</v>
      </c>
      <c r="C10" s="1" t="s">
        <v>24</v>
      </c>
      <c r="D10" s="1" t="s">
        <v>13</v>
      </c>
      <c r="E10" s="4">
        <v>14</v>
      </c>
      <c r="F10" s="4">
        <v>12</v>
      </c>
      <c r="G10" s="1" t="s">
        <v>25</v>
      </c>
      <c r="H10" s="1" t="s">
        <v>26</v>
      </c>
      <c r="I10" s="5" t="s">
        <v>27</v>
      </c>
      <c r="J10" s="4">
        <v>38</v>
      </c>
      <c r="K10" s="1">
        <f t="shared" si="0"/>
        <v>1800</v>
      </c>
      <c r="L10" s="1">
        <f t="shared" si="1"/>
        <v>1800</v>
      </c>
      <c r="M10" s="1">
        <f t="shared" si="2"/>
        <v>1800</v>
      </c>
    </row>
    <row r="11" spans="1:19" x14ac:dyDescent="0.3">
      <c r="A11" s="1" t="s">
        <v>28</v>
      </c>
      <c r="B11" s="1" t="s">
        <v>29</v>
      </c>
      <c r="C11" s="1" t="s">
        <v>30</v>
      </c>
      <c r="D11" s="1" t="s">
        <v>31</v>
      </c>
      <c r="E11" s="4">
        <v>20</v>
      </c>
      <c r="F11" s="4">
        <v>9</v>
      </c>
      <c r="G11" s="1" t="s">
        <v>32</v>
      </c>
      <c r="H11" s="1" t="s">
        <v>26</v>
      </c>
      <c r="I11" s="5" t="s">
        <v>33</v>
      </c>
      <c r="J11" s="4">
        <v>84</v>
      </c>
      <c r="K11" s="1">
        <f t="shared" si="0"/>
        <v>1000</v>
      </c>
      <c r="L11" s="1">
        <f t="shared" si="1"/>
        <v>1000</v>
      </c>
      <c r="M11" s="1">
        <f t="shared" si="2"/>
        <v>1000</v>
      </c>
    </row>
    <row r="12" spans="1:19" x14ac:dyDescent="0.3">
      <c r="A12" s="1" t="s">
        <v>34</v>
      </c>
      <c r="B12" s="1" t="s">
        <v>35</v>
      </c>
      <c r="C12" s="1" t="s">
        <v>36</v>
      </c>
      <c r="D12" s="1" t="s">
        <v>31</v>
      </c>
      <c r="E12" s="4">
        <v>17</v>
      </c>
      <c r="F12" s="4">
        <v>10</v>
      </c>
      <c r="G12" s="1" t="s">
        <v>32</v>
      </c>
      <c r="H12" s="1" t="s">
        <v>37</v>
      </c>
      <c r="I12" s="5" t="s">
        <v>38</v>
      </c>
      <c r="J12" s="4">
        <v>45</v>
      </c>
      <c r="K12" s="1">
        <f t="shared" si="0"/>
        <v>1200</v>
      </c>
      <c r="L12" s="1">
        <f t="shared" si="1"/>
        <v>1200</v>
      </c>
      <c r="M12" s="1">
        <f t="shared" si="2"/>
        <v>1200</v>
      </c>
    </row>
    <row r="13" spans="1:19" x14ac:dyDescent="0.3">
      <c r="A13" s="1" t="s">
        <v>39</v>
      </c>
      <c r="B13" s="1" t="s">
        <v>11</v>
      </c>
      <c r="C13" s="1" t="s">
        <v>12</v>
      </c>
      <c r="D13" s="1" t="s">
        <v>31</v>
      </c>
      <c r="E13" s="4">
        <v>19</v>
      </c>
      <c r="F13" s="4">
        <v>10</v>
      </c>
      <c r="G13" s="1" t="s">
        <v>14</v>
      </c>
      <c r="H13" s="1" t="s">
        <v>40</v>
      </c>
      <c r="I13" s="5" t="s">
        <v>41</v>
      </c>
      <c r="J13" s="4">
        <v>36</v>
      </c>
      <c r="K13" s="1">
        <f t="shared" si="0"/>
        <v>1200</v>
      </c>
      <c r="L13" s="1">
        <f t="shared" si="1"/>
        <v>1200</v>
      </c>
      <c r="M13" s="1">
        <f t="shared" si="2"/>
        <v>1200</v>
      </c>
    </row>
    <row r="14" spans="1:19" x14ac:dyDescent="0.3">
      <c r="A14" s="1" t="s">
        <v>42</v>
      </c>
      <c r="B14" s="1" t="s">
        <v>29</v>
      </c>
      <c r="C14" s="1" t="s">
        <v>24</v>
      </c>
      <c r="D14" s="1" t="s">
        <v>31</v>
      </c>
      <c r="E14" s="4">
        <v>20</v>
      </c>
      <c r="F14" s="4">
        <v>9</v>
      </c>
      <c r="G14" s="1" t="s">
        <v>43</v>
      </c>
      <c r="H14" s="1" t="s">
        <v>40</v>
      </c>
      <c r="I14" s="5" t="s">
        <v>44</v>
      </c>
      <c r="J14" s="4">
        <v>88</v>
      </c>
      <c r="K14" s="1">
        <f t="shared" si="0"/>
        <v>1000</v>
      </c>
      <c r="L14" s="1">
        <f t="shared" si="1"/>
        <v>1000</v>
      </c>
      <c r="M14" s="1">
        <f t="shared" si="2"/>
        <v>1000</v>
      </c>
    </row>
    <row r="15" spans="1:19" x14ac:dyDescent="0.3">
      <c r="A15" s="1" t="s">
        <v>45</v>
      </c>
      <c r="B15" s="1" t="s">
        <v>35</v>
      </c>
      <c r="C15" s="1" t="s">
        <v>12</v>
      </c>
      <c r="D15" s="1" t="s">
        <v>13</v>
      </c>
      <c r="E15" s="4">
        <v>19</v>
      </c>
      <c r="F15" s="4">
        <v>12</v>
      </c>
      <c r="G15" s="1" t="s">
        <v>32</v>
      </c>
      <c r="H15" s="1" t="s">
        <v>46</v>
      </c>
      <c r="I15" s="5" t="s">
        <v>47</v>
      </c>
      <c r="J15" s="4">
        <v>60</v>
      </c>
      <c r="K15" s="1">
        <f t="shared" si="0"/>
        <v>1800</v>
      </c>
      <c r="L15" s="1">
        <f t="shared" si="1"/>
        <v>1800</v>
      </c>
      <c r="M15" s="1">
        <f t="shared" si="2"/>
        <v>1800</v>
      </c>
    </row>
    <row r="16" spans="1:19" x14ac:dyDescent="0.3">
      <c r="A16" s="1" t="s">
        <v>48</v>
      </c>
      <c r="B16" s="1" t="s">
        <v>18</v>
      </c>
      <c r="C16" s="1" t="s">
        <v>30</v>
      </c>
      <c r="D16" s="1" t="s">
        <v>31</v>
      </c>
      <c r="E16" s="4">
        <v>19</v>
      </c>
      <c r="F16" s="4">
        <v>12</v>
      </c>
      <c r="G16" s="1" t="s">
        <v>14</v>
      </c>
      <c r="H16" s="1" t="s">
        <v>46</v>
      </c>
      <c r="I16" s="5" t="s">
        <v>49</v>
      </c>
      <c r="J16" s="4">
        <v>92</v>
      </c>
      <c r="K16" s="1">
        <f t="shared" si="0"/>
        <v>1800</v>
      </c>
      <c r="L16" s="1">
        <f t="shared" si="1"/>
        <v>1800</v>
      </c>
      <c r="M16" s="1">
        <f t="shared" si="2"/>
        <v>1800</v>
      </c>
    </row>
    <row r="17" spans="1:13" x14ac:dyDescent="0.3">
      <c r="A17" s="1" t="s">
        <v>50</v>
      </c>
      <c r="B17" s="1" t="s">
        <v>51</v>
      </c>
      <c r="C17" s="1" t="s">
        <v>24</v>
      </c>
      <c r="D17" s="1" t="s">
        <v>31</v>
      </c>
      <c r="E17" s="4">
        <v>15</v>
      </c>
      <c r="F17" s="4">
        <v>9</v>
      </c>
      <c r="G17" s="1" t="s">
        <v>43</v>
      </c>
      <c r="H17" s="1" t="s">
        <v>15</v>
      </c>
      <c r="I17" s="5" t="s">
        <v>52</v>
      </c>
      <c r="J17" s="4">
        <v>90</v>
      </c>
      <c r="K17" s="1">
        <f t="shared" si="0"/>
        <v>1000</v>
      </c>
      <c r="L17" s="1">
        <f t="shared" si="1"/>
        <v>1000</v>
      </c>
      <c r="M17" s="1">
        <f t="shared" si="2"/>
        <v>1000</v>
      </c>
    </row>
    <row r="18" spans="1:13" x14ac:dyDescent="0.3">
      <c r="A18" s="1" t="s">
        <v>53</v>
      </c>
      <c r="B18" s="1" t="s">
        <v>54</v>
      </c>
      <c r="C18" s="1" t="s">
        <v>55</v>
      </c>
      <c r="D18" s="1" t="s">
        <v>31</v>
      </c>
      <c r="E18" s="4">
        <v>20</v>
      </c>
      <c r="F18" s="4">
        <v>10</v>
      </c>
      <c r="G18" s="1" t="s">
        <v>25</v>
      </c>
      <c r="H18" s="1" t="s">
        <v>40</v>
      </c>
      <c r="I18" s="5" t="s">
        <v>56</v>
      </c>
      <c r="J18" s="4">
        <v>59</v>
      </c>
      <c r="K18" s="1">
        <f t="shared" si="0"/>
        <v>1200</v>
      </c>
      <c r="L18" s="1">
        <f t="shared" si="1"/>
        <v>1200</v>
      </c>
      <c r="M18" s="1">
        <f t="shared" si="2"/>
        <v>1200</v>
      </c>
    </row>
    <row r="19" spans="1:13" x14ac:dyDescent="0.3">
      <c r="A19" s="1" t="s">
        <v>57</v>
      </c>
      <c r="B19" s="1" t="s">
        <v>51</v>
      </c>
      <c r="C19" s="1" t="s">
        <v>58</v>
      </c>
      <c r="D19" s="1" t="s">
        <v>13</v>
      </c>
      <c r="E19" s="4">
        <v>14</v>
      </c>
      <c r="F19" s="4">
        <v>12</v>
      </c>
      <c r="G19" s="1" t="s">
        <v>32</v>
      </c>
      <c r="H19" s="1" t="s">
        <v>40</v>
      </c>
      <c r="I19" s="5" t="s">
        <v>59</v>
      </c>
      <c r="J19" s="4">
        <v>43</v>
      </c>
      <c r="K19" s="1">
        <f t="shared" si="0"/>
        <v>1800</v>
      </c>
      <c r="L19" s="1">
        <f t="shared" si="1"/>
        <v>1800</v>
      </c>
      <c r="M19" s="1">
        <f t="shared" si="2"/>
        <v>1800</v>
      </c>
    </row>
    <row r="20" spans="1:13" x14ac:dyDescent="0.3">
      <c r="A20" s="1" t="s">
        <v>60</v>
      </c>
      <c r="B20" s="1" t="s">
        <v>35</v>
      </c>
      <c r="C20" s="1" t="s">
        <v>55</v>
      </c>
      <c r="D20" s="1" t="s">
        <v>13</v>
      </c>
      <c r="E20" s="4">
        <v>15</v>
      </c>
      <c r="F20" s="4">
        <v>12</v>
      </c>
      <c r="G20" s="1" t="s">
        <v>14</v>
      </c>
      <c r="H20" s="1" t="s">
        <v>61</v>
      </c>
      <c r="I20" s="5" t="s">
        <v>62</v>
      </c>
      <c r="J20" s="4">
        <v>51</v>
      </c>
      <c r="K20" s="1">
        <f t="shared" si="0"/>
        <v>1800</v>
      </c>
      <c r="L20" s="1">
        <f t="shared" si="1"/>
        <v>1800</v>
      </c>
      <c r="M20" s="1">
        <f t="shared" si="2"/>
        <v>1800</v>
      </c>
    </row>
    <row r="21" spans="1:13" x14ac:dyDescent="0.3">
      <c r="A21" s="1" t="s">
        <v>63</v>
      </c>
      <c r="B21" s="1" t="s">
        <v>11</v>
      </c>
      <c r="C21" s="1" t="s">
        <v>55</v>
      </c>
      <c r="D21" s="1" t="s">
        <v>13</v>
      </c>
      <c r="E21" s="4">
        <v>16</v>
      </c>
      <c r="F21" s="4">
        <v>10</v>
      </c>
      <c r="G21" s="1" t="s">
        <v>25</v>
      </c>
      <c r="H21" s="1" t="s">
        <v>26</v>
      </c>
      <c r="I21" s="5" t="s">
        <v>64</v>
      </c>
      <c r="J21" s="4">
        <v>42</v>
      </c>
      <c r="K21" s="1">
        <f t="shared" si="0"/>
        <v>1200</v>
      </c>
      <c r="L21" s="1">
        <f t="shared" si="1"/>
        <v>1200</v>
      </c>
      <c r="M21" s="1">
        <f t="shared" si="2"/>
        <v>1200</v>
      </c>
    </row>
    <row r="22" spans="1:13" x14ac:dyDescent="0.3">
      <c r="A22" s="1" t="s">
        <v>65</v>
      </c>
      <c r="B22" s="1" t="s">
        <v>23</v>
      </c>
      <c r="C22" s="1" t="s">
        <v>30</v>
      </c>
      <c r="D22" s="1" t="s">
        <v>13</v>
      </c>
      <c r="E22" s="4">
        <v>20</v>
      </c>
      <c r="F22" s="4">
        <v>12</v>
      </c>
      <c r="G22" s="1" t="s">
        <v>14</v>
      </c>
      <c r="H22" s="1" t="s">
        <v>40</v>
      </c>
      <c r="I22" s="5" t="s">
        <v>66</v>
      </c>
      <c r="J22" s="4">
        <v>62</v>
      </c>
      <c r="K22" s="1">
        <f t="shared" si="0"/>
        <v>1800</v>
      </c>
      <c r="L22" s="1">
        <f t="shared" si="1"/>
        <v>1800</v>
      </c>
      <c r="M22" s="1">
        <f t="shared" si="2"/>
        <v>1800</v>
      </c>
    </row>
    <row r="23" spans="1:13" x14ac:dyDescent="0.3">
      <c r="A23" s="1" t="s">
        <v>67</v>
      </c>
      <c r="B23" s="1" t="s">
        <v>68</v>
      </c>
      <c r="C23" s="1" t="s">
        <v>19</v>
      </c>
      <c r="D23" s="1" t="s">
        <v>13</v>
      </c>
      <c r="E23" s="4">
        <v>20</v>
      </c>
      <c r="F23" s="4">
        <v>9</v>
      </c>
      <c r="G23" s="1" t="s">
        <v>14</v>
      </c>
      <c r="H23" s="1" t="s">
        <v>20</v>
      </c>
      <c r="I23" s="5" t="s">
        <v>69</v>
      </c>
      <c r="J23" s="4">
        <v>55</v>
      </c>
      <c r="K23" s="1">
        <f t="shared" si="0"/>
        <v>1000</v>
      </c>
      <c r="L23" s="1">
        <f t="shared" si="1"/>
        <v>1000</v>
      </c>
      <c r="M23" s="1">
        <f t="shared" si="2"/>
        <v>1000</v>
      </c>
    </row>
    <row r="24" spans="1:13" x14ac:dyDescent="0.3">
      <c r="A24" s="1" t="s">
        <v>70</v>
      </c>
      <c r="B24" s="1" t="s">
        <v>51</v>
      </c>
      <c r="C24" s="1" t="s">
        <v>36</v>
      </c>
      <c r="D24" s="1" t="s">
        <v>13</v>
      </c>
      <c r="E24" s="4">
        <v>14</v>
      </c>
      <c r="F24" s="4">
        <v>12</v>
      </c>
      <c r="G24" s="1" t="s">
        <v>25</v>
      </c>
      <c r="H24" s="1" t="s">
        <v>37</v>
      </c>
      <c r="I24" s="5" t="s">
        <v>71</v>
      </c>
      <c r="J24" s="4">
        <v>42</v>
      </c>
      <c r="K24" s="1">
        <f t="shared" si="0"/>
        <v>1800</v>
      </c>
      <c r="L24" s="1">
        <f t="shared" si="1"/>
        <v>1800</v>
      </c>
      <c r="M24" s="1">
        <f t="shared" si="2"/>
        <v>1800</v>
      </c>
    </row>
    <row r="25" spans="1:13" x14ac:dyDescent="0.3">
      <c r="A25" s="1" t="s">
        <v>72</v>
      </c>
      <c r="B25" s="1" t="s">
        <v>73</v>
      </c>
      <c r="C25" s="1" t="s">
        <v>58</v>
      </c>
      <c r="D25" s="1" t="s">
        <v>31</v>
      </c>
      <c r="E25" s="4">
        <v>19</v>
      </c>
      <c r="F25" s="4">
        <v>9</v>
      </c>
      <c r="G25" s="1" t="s">
        <v>32</v>
      </c>
      <c r="H25" s="1" t="s">
        <v>46</v>
      </c>
      <c r="I25" s="5" t="s">
        <v>74</v>
      </c>
      <c r="J25" s="4">
        <v>76</v>
      </c>
      <c r="K25" s="1">
        <f t="shared" si="0"/>
        <v>1000</v>
      </c>
      <c r="L25" s="1">
        <f t="shared" si="1"/>
        <v>1000</v>
      </c>
      <c r="M25" s="1">
        <f t="shared" si="2"/>
        <v>1000</v>
      </c>
    </row>
    <row r="26" spans="1:13" x14ac:dyDescent="0.3">
      <c r="A26" s="1" t="s">
        <v>75</v>
      </c>
      <c r="B26" s="1" t="s">
        <v>29</v>
      </c>
      <c r="C26" s="1" t="s">
        <v>58</v>
      </c>
      <c r="D26" s="1" t="s">
        <v>31</v>
      </c>
      <c r="E26" s="4">
        <v>17</v>
      </c>
      <c r="F26" s="4">
        <v>12</v>
      </c>
      <c r="G26" s="1" t="s">
        <v>32</v>
      </c>
      <c r="H26" s="1" t="s">
        <v>76</v>
      </c>
      <c r="I26" s="5" t="s">
        <v>77</v>
      </c>
      <c r="J26" s="4">
        <v>66</v>
      </c>
      <c r="K26" s="1">
        <f t="shared" si="0"/>
        <v>1800</v>
      </c>
      <c r="L26" s="1">
        <f t="shared" si="1"/>
        <v>1800</v>
      </c>
      <c r="M26" s="1">
        <f t="shared" si="2"/>
        <v>1800</v>
      </c>
    </row>
    <row r="27" spans="1:13" x14ac:dyDescent="0.3">
      <c r="A27" s="1" t="s">
        <v>78</v>
      </c>
      <c r="B27" s="1" t="s">
        <v>68</v>
      </c>
      <c r="C27" s="1" t="s">
        <v>79</v>
      </c>
      <c r="D27" s="1" t="s">
        <v>31</v>
      </c>
      <c r="E27" s="4">
        <v>15</v>
      </c>
      <c r="F27" s="4">
        <v>10</v>
      </c>
      <c r="G27" s="1" t="s">
        <v>14</v>
      </c>
      <c r="H27" s="1" t="s">
        <v>20</v>
      </c>
      <c r="I27" s="5" t="s">
        <v>80</v>
      </c>
      <c r="J27" s="4">
        <v>59</v>
      </c>
      <c r="K27" s="1">
        <f t="shared" si="0"/>
        <v>1200</v>
      </c>
      <c r="L27" s="1">
        <f t="shared" si="1"/>
        <v>1200</v>
      </c>
      <c r="M27" s="1">
        <f t="shared" si="2"/>
        <v>1200</v>
      </c>
    </row>
    <row r="28" spans="1:13" x14ac:dyDescent="0.3">
      <c r="A28" s="1" t="s">
        <v>81</v>
      </c>
      <c r="B28" s="1" t="s">
        <v>29</v>
      </c>
      <c r="C28" s="1" t="s">
        <v>58</v>
      </c>
      <c r="D28" s="1" t="s">
        <v>31</v>
      </c>
      <c r="E28" s="4">
        <v>19</v>
      </c>
      <c r="F28" s="4">
        <v>9</v>
      </c>
      <c r="G28" s="1" t="s">
        <v>14</v>
      </c>
      <c r="H28" s="1" t="s">
        <v>61</v>
      </c>
      <c r="I28" s="5" t="s">
        <v>82</v>
      </c>
      <c r="J28" s="4">
        <v>50</v>
      </c>
      <c r="K28" s="1">
        <f t="shared" si="0"/>
        <v>1000</v>
      </c>
      <c r="L28" s="1">
        <f t="shared" si="1"/>
        <v>1000</v>
      </c>
      <c r="M28" s="1">
        <f t="shared" si="2"/>
        <v>1000</v>
      </c>
    </row>
    <row r="29" spans="1:13" x14ac:dyDescent="0.3">
      <c r="A29" s="1" t="s">
        <v>83</v>
      </c>
      <c r="B29" s="1" t="s">
        <v>84</v>
      </c>
      <c r="C29" s="1" t="s">
        <v>85</v>
      </c>
      <c r="D29" s="1" t="s">
        <v>31</v>
      </c>
      <c r="E29" s="4">
        <v>16</v>
      </c>
      <c r="F29" s="4">
        <v>9</v>
      </c>
      <c r="G29" s="1" t="s">
        <v>43</v>
      </c>
      <c r="H29" s="1" t="s">
        <v>37</v>
      </c>
      <c r="I29" s="5" t="s">
        <v>86</v>
      </c>
      <c r="J29" s="4">
        <v>52</v>
      </c>
      <c r="K29" s="1">
        <f t="shared" si="0"/>
        <v>1000</v>
      </c>
      <c r="L29" s="1">
        <f t="shared" si="1"/>
        <v>1000</v>
      </c>
      <c r="M29" s="1">
        <f t="shared" si="2"/>
        <v>1000</v>
      </c>
    </row>
    <row r="30" spans="1:13" x14ac:dyDescent="0.3">
      <c r="A30" s="1" t="s">
        <v>87</v>
      </c>
      <c r="B30" s="1" t="s">
        <v>18</v>
      </c>
      <c r="C30" s="1" t="s">
        <v>12</v>
      </c>
      <c r="D30" s="1" t="s">
        <v>13</v>
      </c>
      <c r="E30" s="4">
        <v>20</v>
      </c>
      <c r="F30" s="4">
        <v>12</v>
      </c>
      <c r="G30" s="1" t="s">
        <v>32</v>
      </c>
      <c r="H30" s="1" t="s">
        <v>26</v>
      </c>
      <c r="I30" s="5" t="s">
        <v>88</v>
      </c>
      <c r="J30" s="4">
        <v>86</v>
      </c>
      <c r="K30" s="1">
        <f t="shared" si="0"/>
        <v>1800</v>
      </c>
      <c r="L30" s="1">
        <f t="shared" si="1"/>
        <v>1800</v>
      </c>
      <c r="M30" s="1">
        <f t="shared" si="2"/>
        <v>1800</v>
      </c>
    </row>
    <row r="31" spans="1:13" x14ac:dyDescent="0.3">
      <c r="A31" s="1" t="s">
        <v>89</v>
      </c>
      <c r="B31" s="1" t="s">
        <v>68</v>
      </c>
      <c r="C31" s="1" t="s">
        <v>85</v>
      </c>
      <c r="D31" s="1" t="s">
        <v>31</v>
      </c>
      <c r="E31" s="4">
        <v>16</v>
      </c>
      <c r="F31" s="4">
        <v>9</v>
      </c>
      <c r="G31" s="1" t="s">
        <v>43</v>
      </c>
      <c r="H31" s="1" t="s">
        <v>20</v>
      </c>
      <c r="I31" s="5" t="s">
        <v>90</v>
      </c>
      <c r="J31" s="4">
        <v>52</v>
      </c>
      <c r="K31" s="1">
        <f t="shared" si="0"/>
        <v>1000</v>
      </c>
      <c r="L31" s="1">
        <f t="shared" si="1"/>
        <v>1000</v>
      </c>
      <c r="M31" s="1">
        <f t="shared" si="2"/>
        <v>1000</v>
      </c>
    </row>
    <row r="32" spans="1:13" x14ac:dyDescent="0.3">
      <c r="A32" s="1" t="s">
        <v>91</v>
      </c>
      <c r="B32" s="1" t="s">
        <v>73</v>
      </c>
      <c r="C32" s="1" t="s">
        <v>12</v>
      </c>
      <c r="D32" s="1" t="s">
        <v>13</v>
      </c>
      <c r="E32" s="4">
        <v>20</v>
      </c>
      <c r="F32" s="4">
        <v>10</v>
      </c>
      <c r="G32" s="1" t="s">
        <v>43</v>
      </c>
      <c r="H32" s="1" t="s">
        <v>46</v>
      </c>
      <c r="I32" s="5" t="s">
        <v>92</v>
      </c>
      <c r="J32" s="4">
        <v>82</v>
      </c>
      <c r="K32" s="1">
        <f t="shared" si="0"/>
        <v>1200</v>
      </c>
      <c r="L32" s="1">
        <f t="shared" si="1"/>
        <v>1200</v>
      </c>
      <c r="M32" s="1">
        <f t="shared" si="2"/>
        <v>1200</v>
      </c>
    </row>
    <row r="33" spans="1:13" x14ac:dyDescent="0.3">
      <c r="A33" s="1" t="s">
        <v>93</v>
      </c>
      <c r="B33" s="1" t="s">
        <v>29</v>
      </c>
      <c r="C33" s="1" t="s">
        <v>24</v>
      </c>
      <c r="D33" s="1" t="s">
        <v>31</v>
      </c>
      <c r="E33" s="4">
        <v>14</v>
      </c>
      <c r="F33" s="4">
        <v>12</v>
      </c>
      <c r="G33" s="1" t="s">
        <v>32</v>
      </c>
      <c r="H33" s="1" t="s">
        <v>61</v>
      </c>
      <c r="I33" s="5" t="s">
        <v>94</v>
      </c>
      <c r="J33" s="4">
        <v>72</v>
      </c>
      <c r="K33" s="1">
        <f t="shared" si="0"/>
        <v>1800</v>
      </c>
      <c r="L33" s="1">
        <f t="shared" si="1"/>
        <v>1800</v>
      </c>
      <c r="M33" s="1">
        <f t="shared" si="2"/>
        <v>1800</v>
      </c>
    </row>
    <row r="34" spans="1:13" x14ac:dyDescent="0.3">
      <c r="A34" s="1" t="s">
        <v>95</v>
      </c>
      <c r="B34" s="1" t="s">
        <v>18</v>
      </c>
      <c r="C34" s="1" t="s">
        <v>96</v>
      </c>
      <c r="D34" s="1" t="s">
        <v>13</v>
      </c>
      <c r="E34" s="4">
        <v>19</v>
      </c>
      <c r="F34" s="4">
        <v>12</v>
      </c>
      <c r="G34" s="1" t="s">
        <v>14</v>
      </c>
      <c r="H34" s="1" t="s">
        <v>15</v>
      </c>
      <c r="I34" s="5" t="s">
        <v>97</v>
      </c>
      <c r="J34" s="4">
        <v>56</v>
      </c>
      <c r="K34" s="1">
        <f t="shared" si="0"/>
        <v>1800</v>
      </c>
      <c r="L34" s="1">
        <f t="shared" si="1"/>
        <v>1800</v>
      </c>
      <c r="M34" s="1">
        <f t="shared" si="2"/>
        <v>1800</v>
      </c>
    </row>
    <row r="35" spans="1:13" x14ac:dyDescent="0.3">
      <c r="A35" s="1" t="s">
        <v>98</v>
      </c>
      <c r="B35" s="1" t="s">
        <v>68</v>
      </c>
      <c r="C35" s="1" t="s">
        <v>55</v>
      </c>
      <c r="D35" s="1" t="s">
        <v>13</v>
      </c>
      <c r="E35" s="4">
        <v>19</v>
      </c>
      <c r="F35" s="4">
        <v>11</v>
      </c>
      <c r="G35" s="1" t="s">
        <v>43</v>
      </c>
      <c r="H35" s="1" t="s">
        <v>15</v>
      </c>
      <c r="I35" s="5" t="s">
        <v>99</v>
      </c>
      <c r="J35" s="4">
        <v>56</v>
      </c>
      <c r="K35" s="1">
        <f t="shared" si="0"/>
        <v>1500</v>
      </c>
      <c r="L35" s="1">
        <f t="shared" si="1"/>
        <v>1500</v>
      </c>
      <c r="M35" s="1">
        <f t="shared" si="2"/>
        <v>1500</v>
      </c>
    </row>
    <row r="36" spans="1:13" x14ac:dyDescent="0.3">
      <c r="A36" s="1" t="s">
        <v>100</v>
      </c>
      <c r="B36" s="1" t="s">
        <v>35</v>
      </c>
      <c r="C36" s="1" t="s">
        <v>12</v>
      </c>
      <c r="D36" s="1" t="s">
        <v>31</v>
      </c>
      <c r="E36" s="4">
        <v>19</v>
      </c>
      <c r="F36" s="4">
        <v>12</v>
      </c>
      <c r="G36" s="1" t="s">
        <v>25</v>
      </c>
      <c r="H36" s="1" t="s">
        <v>76</v>
      </c>
      <c r="I36" s="5" t="s">
        <v>101</v>
      </c>
      <c r="J36" s="4">
        <v>54</v>
      </c>
      <c r="K36" s="1">
        <f t="shared" si="0"/>
        <v>1800</v>
      </c>
      <c r="L36" s="1">
        <f t="shared" si="1"/>
        <v>1800</v>
      </c>
      <c r="M36" s="1">
        <f t="shared" si="2"/>
        <v>1800</v>
      </c>
    </row>
    <row r="37" spans="1:13" x14ac:dyDescent="0.3">
      <c r="A37" s="1" t="s">
        <v>102</v>
      </c>
      <c r="B37" s="1" t="s">
        <v>35</v>
      </c>
      <c r="C37" s="1" t="s">
        <v>12</v>
      </c>
      <c r="D37" s="1" t="s">
        <v>13</v>
      </c>
      <c r="E37" s="4">
        <v>20</v>
      </c>
      <c r="F37" s="4">
        <v>11</v>
      </c>
      <c r="G37" s="1" t="s">
        <v>14</v>
      </c>
      <c r="H37" s="1" t="s">
        <v>26</v>
      </c>
      <c r="I37" s="5" t="s">
        <v>103</v>
      </c>
      <c r="J37" s="4">
        <v>70</v>
      </c>
      <c r="K37" s="1">
        <f t="shared" si="0"/>
        <v>1500</v>
      </c>
      <c r="L37" s="1">
        <f t="shared" si="1"/>
        <v>1500</v>
      </c>
      <c r="M37" s="1">
        <f t="shared" si="2"/>
        <v>1500</v>
      </c>
    </row>
    <row r="38" spans="1:13" x14ac:dyDescent="0.3">
      <c r="A38" s="1" t="s">
        <v>104</v>
      </c>
      <c r="B38" s="1" t="s">
        <v>29</v>
      </c>
      <c r="C38" s="1" t="s">
        <v>79</v>
      </c>
      <c r="D38" s="1" t="s">
        <v>31</v>
      </c>
      <c r="E38" s="4">
        <v>18</v>
      </c>
      <c r="F38" s="4">
        <v>10</v>
      </c>
      <c r="G38" s="1" t="s">
        <v>25</v>
      </c>
      <c r="H38" s="1" t="s">
        <v>61</v>
      </c>
      <c r="I38" s="5" t="s">
        <v>105</v>
      </c>
      <c r="J38" s="4">
        <v>57</v>
      </c>
      <c r="K38" s="1">
        <f t="shared" si="0"/>
        <v>1200</v>
      </c>
      <c r="L38" s="1">
        <f t="shared" si="1"/>
        <v>1200</v>
      </c>
      <c r="M38" s="1">
        <f t="shared" si="2"/>
        <v>1200</v>
      </c>
    </row>
    <row r="39" spans="1:13" x14ac:dyDescent="0.3">
      <c r="A39" s="1" t="s">
        <v>106</v>
      </c>
      <c r="B39" s="1" t="s">
        <v>51</v>
      </c>
      <c r="C39" s="1" t="s">
        <v>55</v>
      </c>
      <c r="D39" s="1" t="s">
        <v>13</v>
      </c>
      <c r="E39" s="4">
        <v>20</v>
      </c>
      <c r="F39" s="4">
        <v>9</v>
      </c>
      <c r="G39" s="1" t="s">
        <v>32</v>
      </c>
      <c r="H39" s="1" t="s">
        <v>26</v>
      </c>
      <c r="I39" s="5" t="s">
        <v>107</v>
      </c>
      <c r="J39" s="4">
        <v>91</v>
      </c>
      <c r="K39" s="1">
        <f t="shared" si="0"/>
        <v>1000</v>
      </c>
      <c r="L39" s="1">
        <f t="shared" si="1"/>
        <v>1000</v>
      </c>
      <c r="M39" s="1">
        <f t="shared" si="2"/>
        <v>1000</v>
      </c>
    </row>
    <row r="40" spans="1:13" x14ac:dyDescent="0.3">
      <c r="A40" s="1" t="s">
        <v>108</v>
      </c>
      <c r="B40" s="1" t="s">
        <v>29</v>
      </c>
      <c r="C40" s="1" t="s">
        <v>96</v>
      </c>
      <c r="D40" s="1" t="s">
        <v>31</v>
      </c>
      <c r="E40" s="4">
        <v>15</v>
      </c>
      <c r="F40" s="4">
        <v>11</v>
      </c>
      <c r="G40" s="1" t="s">
        <v>43</v>
      </c>
      <c r="H40" s="1" t="s">
        <v>26</v>
      </c>
      <c r="I40" s="5" t="s">
        <v>109</v>
      </c>
      <c r="J40" s="4">
        <v>77</v>
      </c>
      <c r="K40" s="1">
        <f t="shared" si="0"/>
        <v>1500</v>
      </c>
      <c r="L40" s="1">
        <f t="shared" si="1"/>
        <v>1500</v>
      </c>
      <c r="M40" s="1">
        <f t="shared" si="2"/>
        <v>1500</v>
      </c>
    </row>
    <row r="41" spans="1:13" x14ac:dyDescent="0.3">
      <c r="A41" s="1" t="s">
        <v>110</v>
      </c>
      <c r="B41" s="1" t="s">
        <v>51</v>
      </c>
      <c r="C41" s="1" t="s">
        <v>58</v>
      </c>
      <c r="D41" s="1" t="s">
        <v>31</v>
      </c>
      <c r="E41" s="4">
        <v>14</v>
      </c>
      <c r="F41" s="4">
        <v>10</v>
      </c>
      <c r="G41" s="1" t="s">
        <v>32</v>
      </c>
      <c r="H41" s="1" t="s">
        <v>76</v>
      </c>
      <c r="I41" s="5" t="s">
        <v>111</v>
      </c>
      <c r="J41" s="4">
        <v>60</v>
      </c>
      <c r="K41" s="1">
        <f t="shared" si="0"/>
        <v>1200</v>
      </c>
      <c r="L41" s="1">
        <f t="shared" si="1"/>
        <v>1200</v>
      </c>
      <c r="M41" s="1">
        <f t="shared" si="2"/>
        <v>1200</v>
      </c>
    </row>
    <row r="42" spans="1:13" x14ac:dyDescent="0.3">
      <c r="A42" s="1" t="s">
        <v>112</v>
      </c>
      <c r="B42" s="1" t="s">
        <v>73</v>
      </c>
      <c r="C42" s="1" t="s">
        <v>30</v>
      </c>
      <c r="D42" s="1" t="s">
        <v>13</v>
      </c>
      <c r="E42" s="4">
        <v>15</v>
      </c>
      <c r="F42" s="4">
        <v>9</v>
      </c>
      <c r="G42" s="1" t="s">
        <v>14</v>
      </c>
      <c r="H42" s="1" t="s">
        <v>26</v>
      </c>
      <c r="I42" s="5" t="s">
        <v>113</v>
      </c>
      <c r="J42" s="4">
        <v>58</v>
      </c>
      <c r="K42" s="1">
        <f t="shared" si="0"/>
        <v>1000</v>
      </c>
      <c r="L42" s="1">
        <f t="shared" si="1"/>
        <v>1000</v>
      </c>
      <c r="M42" s="1">
        <f t="shared" si="2"/>
        <v>1000</v>
      </c>
    </row>
    <row r="43" spans="1:13" x14ac:dyDescent="0.3">
      <c r="A43" s="1" t="s">
        <v>114</v>
      </c>
      <c r="B43" s="1" t="s">
        <v>73</v>
      </c>
      <c r="C43" s="1" t="s">
        <v>58</v>
      </c>
      <c r="D43" s="1" t="s">
        <v>13</v>
      </c>
      <c r="E43" s="4">
        <v>20</v>
      </c>
      <c r="F43" s="4">
        <v>9</v>
      </c>
      <c r="G43" s="1" t="s">
        <v>25</v>
      </c>
      <c r="H43" s="1" t="s">
        <v>46</v>
      </c>
      <c r="I43" s="5" t="s">
        <v>115</v>
      </c>
      <c r="J43" s="4">
        <v>40</v>
      </c>
      <c r="K43" s="1">
        <f t="shared" si="0"/>
        <v>1000</v>
      </c>
      <c r="L43" s="1">
        <f t="shared" si="1"/>
        <v>1000</v>
      </c>
      <c r="M43" s="1">
        <f t="shared" si="2"/>
        <v>1000</v>
      </c>
    </row>
    <row r="44" spans="1:13" x14ac:dyDescent="0.3">
      <c r="A44" s="1" t="s">
        <v>116</v>
      </c>
      <c r="B44" s="1" t="s">
        <v>84</v>
      </c>
      <c r="C44" s="1" t="s">
        <v>19</v>
      </c>
      <c r="D44" s="1" t="s">
        <v>13</v>
      </c>
      <c r="E44" s="4">
        <v>19</v>
      </c>
      <c r="F44" s="4">
        <v>12</v>
      </c>
      <c r="G44" s="1" t="s">
        <v>14</v>
      </c>
      <c r="H44" s="1" t="s">
        <v>20</v>
      </c>
      <c r="I44" s="5" t="s">
        <v>117</v>
      </c>
      <c r="J44" s="4">
        <v>56</v>
      </c>
      <c r="K44" s="1">
        <f t="shared" si="0"/>
        <v>1800</v>
      </c>
      <c r="L44" s="1">
        <f t="shared" si="1"/>
        <v>1800</v>
      </c>
      <c r="M44" s="1">
        <f t="shared" si="2"/>
        <v>1800</v>
      </c>
    </row>
    <row r="45" spans="1:13" x14ac:dyDescent="0.3">
      <c r="A45" s="1" t="s">
        <v>118</v>
      </c>
      <c r="B45" s="1" t="s">
        <v>84</v>
      </c>
      <c r="C45" s="1" t="s">
        <v>58</v>
      </c>
      <c r="D45" s="1" t="s">
        <v>31</v>
      </c>
      <c r="E45" s="4">
        <v>20</v>
      </c>
      <c r="F45" s="4">
        <v>10</v>
      </c>
      <c r="G45" s="1" t="s">
        <v>32</v>
      </c>
      <c r="H45" s="1" t="s">
        <v>26</v>
      </c>
      <c r="I45" s="5" t="s">
        <v>119</v>
      </c>
      <c r="J45" s="4">
        <v>52</v>
      </c>
      <c r="K45" s="1">
        <f t="shared" si="0"/>
        <v>1200</v>
      </c>
      <c r="L45" s="1">
        <f t="shared" si="1"/>
        <v>1200</v>
      </c>
      <c r="M45" s="1">
        <f t="shared" si="2"/>
        <v>1200</v>
      </c>
    </row>
    <row r="46" spans="1:13" x14ac:dyDescent="0.3">
      <c r="A46" s="1" t="s">
        <v>120</v>
      </c>
      <c r="B46" s="1" t="s">
        <v>35</v>
      </c>
      <c r="C46" s="1" t="s">
        <v>36</v>
      </c>
      <c r="D46" s="1" t="s">
        <v>31</v>
      </c>
      <c r="E46" s="4">
        <v>20</v>
      </c>
      <c r="F46" s="4">
        <v>10</v>
      </c>
      <c r="G46" s="1" t="s">
        <v>43</v>
      </c>
      <c r="H46" s="1" t="s">
        <v>61</v>
      </c>
      <c r="I46" s="5" t="s">
        <v>121</v>
      </c>
      <c r="J46" s="4">
        <v>37</v>
      </c>
      <c r="K46" s="1">
        <f t="shared" si="0"/>
        <v>1200</v>
      </c>
      <c r="L46" s="1">
        <f t="shared" si="1"/>
        <v>1200</v>
      </c>
      <c r="M46" s="1">
        <f t="shared" si="2"/>
        <v>1200</v>
      </c>
    </row>
    <row r="47" spans="1:13" x14ac:dyDescent="0.3">
      <c r="A47" s="1" t="s">
        <v>122</v>
      </c>
      <c r="B47" s="1" t="s">
        <v>18</v>
      </c>
      <c r="C47" s="1" t="s">
        <v>19</v>
      </c>
      <c r="D47" s="1" t="s">
        <v>13</v>
      </c>
      <c r="E47" s="4">
        <v>15</v>
      </c>
      <c r="F47" s="4">
        <v>10</v>
      </c>
      <c r="G47" s="1" t="s">
        <v>32</v>
      </c>
      <c r="H47" s="1" t="s">
        <v>20</v>
      </c>
      <c r="I47" s="5" t="s">
        <v>123</v>
      </c>
      <c r="J47" s="4">
        <v>51</v>
      </c>
      <c r="K47" s="1">
        <f t="shared" si="0"/>
        <v>1200</v>
      </c>
      <c r="L47" s="1">
        <f t="shared" si="1"/>
        <v>1200</v>
      </c>
      <c r="M47" s="1">
        <f t="shared" si="2"/>
        <v>1200</v>
      </c>
    </row>
    <row r="48" spans="1:13" x14ac:dyDescent="0.3">
      <c r="A48" s="1" t="s">
        <v>124</v>
      </c>
      <c r="B48" s="1" t="s">
        <v>68</v>
      </c>
      <c r="C48" s="1" t="s">
        <v>36</v>
      </c>
      <c r="D48" s="1" t="s">
        <v>13</v>
      </c>
      <c r="E48" s="4">
        <v>18</v>
      </c>
      <c r="F48" s="4">
        <v>10</v>
      </c>
      <c r="G48" s="1" t="s">
        <v>43</v>
      </c>
      <c r="H48" s="1" t="s">
        <v>20</v>
      </c>
      <c r="I48" s="5" t="s">
        <v>125</v>
      </c>
      <c r="J48" s="4">
        <v>66</v>
      </c>
      <c r="K48" s="1">
        <f t="shared" si="0"/>
        <v>1200</v>
      </c>
      <c r="L48" s="1">
        <f t="shared" si="1"/>
        <v>1200</v>
      </c>
      <c r="M48" s="1">
        <f t="shared" si="2"/>
        <v>1200</v>
      </c>
    </row>
    <row r="49" spans="1:13" x14ac:dyDescent="0.3">
      <c r="A49" s="1" t="s">
        <v>126</v>
      </c>
      <c r="B49" s="1" t="s">
        <v>18</v>
      </c>
      <c r="C49" s="1" t="s">
        <v>24</v>
      </c>
      <c r="D49" s="1" t="s">
        <v>13</v>
      </c>
      <c r="E49" s="4">
        <v>15</v>
      </c>
      <c r="F49" s="4">
        <v>9</v>
      </c>
      <c r="G49" s="1" t="s">
        <v>25</v>
      </c>
      <c r="H49" s="1" t="s">
        <v>76</v>
      </c>
      <c r="I49" s="5" t="s">
        <v>127</v>
      </c>
      <c r="J49" s="4">
        <v>59</v>
      </c>
      <c r="K49" s="1">
        <f t="shared" si="0"/>
        <v>1000</v>
      </c>
      <c r="L49" s="1">
        <f t="shared" si="1"/>
        <v>1000</v>
      </c>
      <c r="M49" s="1">
        <f t="shared" si="2"/>
        <v>1000</v>
      </c>
    </row>
    <row r="50" spans="1:13" x14ac:dyDescent="0.3">
      <c r="A50" s="1" t="s">
        <v>128</v>
      </c>
      <c r="B50" s="1" t="s">
        <v>11</v>
      </c>
      <c r="C50" s="1" t="s">
        <v>24</v>
      </c>
      <c r="D50" s="1" t="s">
        <v>31</v>
      </c>
      <c r="E50" s="4">
        <v>17</v>
      </c>
      <c r="F50" s="4">
        <v>12</v>
      </c>
      <c r="G50" s="1" t="s">
        <v>32</v>
      </c>
      <c r="H50" s="1" t="s">
        <v>15</v>
      </c>
      <c r="I50" s="5" t="s">
        <v>129</v>
      </c>
      <c r="J50" s="4">
        <v>68</v>
      </c>
      <c r="K50" s="1">
        <f t="shared" si="0"/>
        <v>1800</v>
      </c>
      <c r="L50" s="1">
        <f t="shared" si="1"/>
        <v>1800</v>
      </c>
      <c r="M50" s="1">
        <f t="shared" si="2"/>
        <v>1800</v>
      </c>
    </row>
    <row r="51" spans="1:13" x14ac:dyDescent="0.3">
      <c r="A51" s="1" t="s">
        <v>130</v>
      </c>
      <c r="B51" s="1" t="s">
        <v>73</v>
      </c>
      <c r="C51" s="1" t="s">
        <v>30</v>
      </c>
      <c r="D51" s="1" t="s">
        <v>13</v>
      </c>
      <c r="E51" s="4">
        <v>17</v>
      </c>
      <c r="F51" s="4">
        <v>12</v>
      </c>
      <c r="G51" s="1" t="s">
        <v>25</v>
      </c>
      <c r="H51" s="1" t="s">
        <v>40</v>
      </c>
      <c r="I51" s="5" t="s">
        <v>131</v>
      </c>
      <c r="J51" s="4">
        <v>82</v>
      </c>
      <c r="K51" s="1">
        <f t="shared" si="0"/>
        <v>1800</v>
      </c>
      <c r="L51" s="1">
        <f t="shared" si="1"/>
        <v>1800</v>
      </c>
      <c r="M51" s="1">
        <f t="shared" si="2"/>
        <v>1800</v>
      </c>
    </row>
    <row r="52" spans="1:13" x14ac:dyDescent="0.3">
      <c r="A52" s="1" t="s">
        <v>132</v>
      </c>
      <c r="B52" s="1" t="s">
        <v>29</v>
      </c>
      <c r="C52" s="1" t="s">
        <v>12</v>
      </c>
      <c r="D52" s="1" t="s">
        <v>13</v>
      </c>
      <c r="E52" s="4">
        <v>17</v>
      </c>
      <c r="F52" s="4">
        <v>10</v>
      </c>
      <c r="G52" s="1" t="s">
        <v>25</v>
      </c>
      <c r="H52" s="1" t="s">
        <v>37</v>
      </c>
      <c r="I52" s="5" t="s">
        <v>133</v>
      </c>
      <c r="J52" s="4">
        <v>88</v>
      </c>
      <c r="K52" s="1">
        <f t="shared" si="0"/>
        <v>1200</v>
      </c>
      <c r="L52" s="1">
        <f t="shared" si="1"/>
        <v>1200</v>
      </c>
      <c r="M52" s="1">
        <f t="shared" si="2"/>
        <v>1200</v>
      </c>
    </row>
    <row r="53" spans="1:13" x14ac:dyDescent="0.3">
      <c r="A53" s="1" t="s">
        <v>134</v>
      </c>
      <c r="B53" s="1" t="s">
        <v>23</v>
      </c>
      <c r="C53" s="1" t="s">
        <v>30</v>
      </c>
      <c r="D53" s="1" t="s">
        <v>31</v>
      </c>
      <c r="E53" s="4">
        <v>20</v>
      </c>
      <c r="F53" s="4">
        <v>9</v>
      </c>
      <c r="G53" s="1" t="s">
        <v>14</v>
      </c>
      <c r="H53" s="1" t="s">
        <v>15</v>
      </c>
      <c r="I53" s="5" t="s">
        <v>135</v>
      </c>
      <c r="J53" s="4">
        <v>50</v>
      </c>
      <c r="K53" s="1">
        <f t="shared" si="0"/>
        <v>1000</v>
      </c>
      <c r="L53" s="1">
        <f t="shared" si="1"/>
        <v>1000</v>
      </c>
      <c r="M53" s="1">
        <f t="shared" si="2"/>
        <v>1000</v>
      </c>
    </row>
    <row r="54" spans="1:13" x14ac:dyDescent="0.3">
      <c r="A54" s="1" t="s">
        <v>136</v>
      </c>
      <c r="B54" s="1" t="s">
        <v>11</v>
      </c>
      <c r="C54" s="1" t="s">
        <v>79</v>
      </c>
      <c r="D54" s="1" t="s">
        <v>13</v>
      </c>
      <c r="E54" s="4">
        <v>14</v>
      </c>
      <c r="F54" s="4">
        <v>10</v>
      </c>
      <c r="G54" s="1" t="s">
        <v>43</v>
      </c>
      <c r="H54" s="1" t="s">
        <v>61</v>
      </c>
      <c r="I54" s="5" t="s">
        <v>137</v>
      </c>
      <c r="J54" s="4">
        <v>65</v>
      </c>
      <c r="K54" s="1">
        <f t="shared" si="0"/>
        <v>1200</v>
      </c>
      <c r="L54" s="1">
        <f t="shared" si="1"/>
        <v>1200</v>
      </c>
      <c r="M54" s="1">
        <f t="shared" si="2"/>
        <v>1200</v>
      </c>
    </row>
    <row r="55" spans="1:13" x14ac:dyDescent="0.3">
      <c r="A55" s="1" t="s">
        <v>138</v>
      </c>
      <c r="B55" s="1" t="s">
        <v>51</v>
      </c>
      <c r="C55" s="1" t="s">
        <v>85</v>
      </c>
      <c r="D55" s="1" t="s">
        <v>13</v>
      </c>
      <c r="E55" s="4">
        <v>18</v>
      </c>
      <c r="F55" s="4">
        <v>11</v>
      </c>
      <c r="G55" s="1" t="s">
        <v>43</v>
      </c>
      <c r="H55" s="1" t="s">
        <v>61</v>
      </c>
      <c r="I55" s="5" t="s">
        <v>139</v>
      </c>
      <c r="J55" s="4">
        <v>100</v>
      </c>
      <c r="K55" s="1">
        <f t="shared" si="0"/>
        <v>1500</v>
      </c>
      <c r="L55" s="1">
        <f t="shared" si="1"/>
        <v>1500</v>
      </c>
      <c r="M55" s="1">
        <f t="shared" si="2"/>
        <v>1500</v>
      </c>
    </row>
    <row r="56" spans="1:13" x14ac:dyDescent="0.3">
      <c r="A56" s="1" t="s">
        <v>140</v>
      </c>
      <c r="B56" s="1" t="s">
        <v>35</v>
      </c>
      <c r="C56" s="1" t="s">
        <v>30</v>
      </c>
      <c r="D56" s="1" t="s">
        <v>31</v>
      </c>
      <c r="E56" s="4">
        <v>19</v>
      </c>
      <c r="F56" s="4">
        <v>10</v>
      </c>
      <c r="G56" s="1" t="s">
        <v>32</v>
      </c>
      <c r="H56" s="1" t="s">
        <v>76</v>
      </c>
      <c r="I56" s="5" t="s">
        <v>141</v>
      </c>
      <c r="J56" s="4">
        <v>93</v>
      </c>
      <c r="K56" s="1">
        <f t="shared" si="0"/>
        <v>1200</v>
      </c>
      <c r="L56" s="1">
        <f t="shared" si="1"/>
        <v>1200</v>
      </c>
      <c r="M56" s="1">
        <f t="shared" si="2"/>
        <v>1200</v>
      </c>
    </row>
    <row r="57" spans="1:13" x14ac:dyDescent="0.3">
      <c r="A57" s="1" t="s">
        <v>142</v>
      </c>
      <c r="B57" s="1" t="s">
        <v>29</v>
      </c>
      <c r="C57" s="1" t="s">
        <v>96</v>
      </c>
      <c r="D57" s="1" t="s">
        <v>31</v>
      </c>
      <c r="E57" s="4">
        <v>16</v>
      </c>
      <c r="F57" s="4">
        <v>12</v>
      </c>
      <c r="G57" s="1" t="s">
        <v>14</v>
      </c>
      <c r="H57" s="1" t="s">
        <v>37</v>
      </c>
      <c r="I57" s="5" t="s">
        <v>143</v>
      </c>
      <c r="J57" s="4">
        <v>85</v>
      </c>
      <c r="K57" s="1">
        <f t="shared" si="0"/>
        <v>1800</v>
      </c>
      <c r="L57" s="1">
        <f t="shared" si="1"/>
        <v>1800</v>
      </c>
      <c r="M57" s="1">
        <f t="shared" si="2"/>
        <v>1800</v>
      </c>
    </row>
    <row r="58" spans="1:13" x14ac:dyDescent="0.3">
      <c r="A58" s="1" t="s">
        <v>144</v>
      </c>
      <c r="B58" s="1" t="s">
        <v>73</v>
      </c>
      <c r="C58" s="1" t="s">
        <v>12</v>
      </c>
      <c r="D58" s="1" t="s">
        <v>31</v>
      </c>
      <c r="E58" s="4">
        <v>20</v>
      </c>
      <c r="F58" s="4">
        <v>10</v>
      </c>
      <c r="G58" s="1" t="s">
        <v>14</v>
      </c>
      <c r="H58" s="1" t="s">
        <v>26</v>
      </c>
      <c r="I58" s="5" t="s">
        <v>145</v>
      </c>
      <c r="J58" s="4">
        <v>71</v>
      </c>
      <c r="K58" s="1">
        <f t="shared" si="0"/>
        <v>1200</v>
      </c>
      <c r="L58" s="1">
        <f t="shared" si="1"/>
        <v>1200</v>
      </c>
      <c r="M58" s="1">
        <f t="shared" si="2"/>
        <v>1200</v>
      </c>
    </row>
    <row r="59" spans="1:13" x14ac:dyDescent="0.3">
      <c r="A59" s="1" t="s">
        <v>146</v>
      </c>
      <c r="B59" s="1" t="s">
        <v>35</v>
      </c>
      <c r="C59" s="1" t="s">
        <v>30</v>
      </c>
      <c r="D59" s="1" t="s">
        <v>31</v>
      </c>
      <c r="E59" s="4">
        <v>20</v>
      </c>
      <c r="F59" s="4">
        <v>9</v>
      </c>
      <c r="G59" s="1" t="s">
        <v>43</v>
      </c>
      <c r="H59" s="1" t="s">
        <v>15</v>
      </c>
      <c r="I59" s="5" t="s">
        <v>147</v>
      </c>
      <c r="J59" s="4">
        <v>40</v>
      </c>
      <c r="K59" s="1">
        <f t="shared" si="0"/>
        <v>1000</v>
      </c>
      <c r="L59" s="1">
        <f t="shared" si="1"/>
        <v>1000</v>
      </c>
      <c r="M59" s="1">
        <f t="shared" si="2"/>
        <v>1000</v>
      </c>
    </row>
    <row r="60" spans="1:13" x14ac:dyDescent="0.3">
      <c r="A60" s="1" t="s">
        <v>148</v>
      </c>
      <c r="B60" s="1" t="s">
        <v>51</v>
      </c>
      <c r="C60" s="1" t="s">
        <v>96</v>
      </c>
      <c r="D60" s="1" t="s">
        <v>13</v>
      </c>
      <c r="E60" s="4">
        <v>19</v>
      </c>
      <c r="F60" s="4">
        <v>11</v>
      </c>
      <c r="G60" s="1" t="s">
        <v>14</v>
      </c>
      <c r="H60" s="1" t="s">
        <v>76</v>
      </c>
      <c r="I60" s="5" t="s">
        <v>149</v>
      </c>
      <c r="J60" s="4">
        <v>83</v>
      </c>
      <c r="K60" s="1">
        <f t="shared" si="0"/>
        <v>1500</v>
      </c>
      <c r="L60" s="1">
        <f t="shared" si="1"/>
        <v>1500</v>
      </c>
      <c r="M60" s="1">
        <f t="shared" si="2"/>
        <v>1500</v>
      </c>
    </row>
    <row r="61" spans="1:13" x14ac:dyDescent="0.3">
      <c r="A61" s="1" t="s">
        <v>150</v>
      </c>
      <c r="B61" s="1" t="s">
        <v>23</v>
      </c>
      <c r="C61" s="1" t="s">
        <v>55</v>
      </c>
      <c r="D61" s="1" t="s">
        <v>31</v>
      </c>
      <c r="E61" s="4">
        <v>17</v>
      </c>
      <c r="F61" s="4">
        <v>9</v>
      </c>
      <c r="G61" s="1" t="s">
        <v>25</v>
      </c>
      <c r="H61" s="1" t="s">
        <v>20</v>
      </c>
      <c r="I61" s="5" t="s">
        <v>151</v>
      </c>
      <c r="J61" s="4">
        <v>55</v>
      </c>
      <c r="K61" s="1">
        <f t="shared" si="0"/>
        <v>1000</v>
      </c>
      <c r="L61" s="1">
        <f t="shared" si="1"/>
        <v>1000</v>
      </c>
      <c r="M61" s="1">
        <f t="shared" si="2"/>
        <v>1000</v>
      </c>
    </row>
    <row r="62" spans="1:13" x14ac:dyDescent="0.3">
      <c r="A62" s="1" t="s">
        <v>152</v>
      </c>
      <c r="B62" s="1" t="s">
        <v>23</v>
      </c>
      <c r="C62" s="1" t="s">
        <v>55</v>
      </c>
      <c r="D62" s="1" t="s">
        <v>13</v>
      </c>
      <c r="E62" s="4">
        <v>17</v>
      </c>
      <c r="F62" s="4">
        <v>12</v>
      </c>
      <c r="G62" s="1" t="s">
        <v>32</v>
      </c>
      <c r="H62" s="1" t="s">
        <v>46</v>
      </c>
      <c r="I62" s="5" t="s">
        <v>153</v>
      </c>
      <c r="J62" s="4">
        <v>39</v>
      </c>
      <c r="K62" s="1">
        <f t="shared" si="0"/>
        <v>1800</v>
      </c>
      <c r="L62" s="1">
        <f t="shared" si="1"/>
        <v>1800</v>
      </c>
      <c r="M62" s="1">
        <f t="shared" si="2"/>
        <v>1800</v>
      </c>
    </row>
    <row r="63" spans="1:13" x14ac:dyDescent="0.3">
      <c r="A63" s="1" t="s">
        <v>154</v>
      </c>
      <c r="B63" s="1" t="s">
        <v>51</v>
      </c>
      <c r="C63" s="1" t="s">
        <v>36</v>
      </c>
      <c r="D63" s="1" t="s">
        <v>31</v>
      </c>
      <c r="E63" s="4">
        <v>18</v>
      </c>
      <c r="F63" s="4">
        <v>12</v>
      </c>
      <c r="G63" s="1" t="s">
        <v>43</v>
      </c>
      <c r="H63" s="1" t="s">
        <v>76</v>
      </c>
      <c r="I63" s="5" t="s">
        <v>155</v>
      </c>
      <c r="J63" s="4">
        <v>77</v>
      </c>
      <c r="K63" s="1">
        <f t="shared" si="0"/>
        <v>1800</v>
      </c>
      <c r="L63" s="1">
        <f t="shared" si="1"/>
        <v>1800</v>
      </c>
      <c r="M63" s="1">
        <f t="shared" si="2"/>
        <v>1800</v>
      </c>
    </row>
    <row r="64" spans="1:13" x14ac:dyDescent="0.3">
      <c r="A64" s="1" t="s">
        <v>156</v>
      </c>
      <c r="B64" s="1" t="s">
        <v>35</v>
      </c>
      <c r="C64" s="1" t="s">
        <v>55</v>
      </c>
      <c r="D64" s="1" t="s">
        <v>13</v>
      </c>
      <c r="E64" s="4">
        <v>19</v>
      </c>
      <c r="F64" s="4">
        <v>11</v>
      </c>
      <c r="G64" s="1" t="s">
        <v>14</v>
      </c>
      <c r="H64" s="1" t="s">
        <v>40</v>
      </c>
      <c r="I64" s="5" t="s">
        <v>157</v>
      </c>
      <c r="J64" s="4">
        <v>63</v>
      </c>
      <c r="K64" s="1">
        <f t="shared" si="0"/>
        <v>1500</v>
      </c>
      <c r="L64" s="1">
        <f t="shared" si="1"/>
        <v>1500</v>
      </c>
      <c r="M64" s="1">
        <f t="shared" si="2"/>
        <v>1500</v>
      </c>
    </row>
    <row r="65" spans="1:13" x14ac:dyDescent="0.3">
      <c r="A65" s="1" t="s">
        <v>158</v>
      </c>
      <c r="B65" s="1" t="s">
        <v>18</v>
      </c>
      <c r="C65" s="1" t="s">
        <v>19</v>
      </c>
      <c r="D65" s="1" t="s">
        <v>13</v>
      </c>
      <c r="E65" s="4">
        <v>16</v>
      </c>
      <c r="F65" s="4">
        <v>12</v>
      </c>
      <c r="G65" s="1" t="s">
        <v>43</v>
      </c>
      <c r="H65" s="1" t="s">
        <v>40</v>
      </c>
      <c r="I65" s="5" t="s">
        <v>159</v>
      </c>
      <c r="J65" s="4">
        <v>36</v>
      </c>
      <c r="K65" s="1">
        <f t="shared" si="0"/>
        <v>1800</v>
      </c>
      <c r="L65" s="1">
        <f t="shared" si="1"/>
        <v>1800</v>
      </c>
      <c r="M65" s="1">
        <f t="shared" si="2"/>
        <v>1800</v>
      </c>
    </row>
    <row r="66" spans="1:13" x14ac:dyDescent="0.3">
      <c r="A66" s="1" t="s">
        <v>160</v>
      </c>
      <c r="B66" s="1" t="s">
        <v>51</v>
      </c>
      <c r="C66" s="1" t="s">
        <v>85</v>
      </c>
      <c r="D66" s="1" t="s">
        <v>31</v>
      </c>
      <c r="E66" s="4">
        <v>17</v>
      </c>
      <c r="F66" s="4">
        <v>11</v>
      </c>
      <c r="G66" s="1" t="s">
        <v>43</v>
      </c>
      <c r="H66" s="1" t="s">
        <v>37</v>
      </c>
      <c r="I66" s="5" t="s">
        <v>161</v>
      </c>
      <c r="J66" s="4">
        <v>99</v>
      </c>
      <c r="K66" s="1">
        <f t="shared" si="0"/>
        <v>1500</v>
      </c>
      <c r="L66" s="1">
        <f t="shared" si="1"/>
        <v>1500</v>
      </c>
      <c r="M66" s="1">
        <f t="shared" si="2"/>
        <v>1500</v>
      </c>
    </row>
    <row r="67" spans="1:13" x14ac:dyDescent="0.3">
      <c r="A67" s="1" t="s">
        <v>162</v>
      </c>
      <c r="B67" s="1" t="s">
        <v>73</v>
      </c>
      <c r="C67" s="1" t="s">
        <v>36</v>
      </c>
      <c r="D67" s="1" t="s">
        <v>31</v>
      </c>
      <c r="E67" s="4">
        <v>20</v>
      </c>
      <c r="F67" s="4">
        <v>9</v>
      </c>
      <c r="G67" s="1" t="s">
        <v>32</v>
      </c>
      <c r="H67" s="1" t="s">
        <v>20</v>
      </c>
      <c r="I67" s="5" t="s">
        <v>163</v>
      </c>
      <c r="J67" s="4">
        <v>49</v>
      </c>
      <c r="K67" s="1">
        <f t="shared" si="0"/>
        <v>1000</v>
      </c>
      <c r="L67" s="1">
        <f t="shared" si="1"/>
        <v>1000</v>
      </c>
      <c r="M67" s="1">
        <f t="shared" si="2"/>
        <v>1000</v>
      </c>
    </row>
    <row r="68" spans="1:13" x14ac:dyDescent="0.3">
      <c r="A68" s="1" t="s">
        <v>164</v>
      </c>
      <c r="B68" s="1" t="s">
        <v>23</v>
      </c>
      <c r="C68" s="1" t="s">
        <v>19</v>
      </c>
      <c r="D68" s="1" t="s">
        <v>31</v>
      </c>
      <c r="E68" s="4">
        <v>17</v>
      </c>
      <c r="F68" s="4">
        <v>9</v>
      </c>
      <c r="G68" s="1" t="s">
        <v>25</v>
      </c>
      <c r="H68" s="1" t="s">
        <v>15</v>
      </c>
      <c r="I68" s="5" t="s">
        <v>165</v>
      </c>
      <c r="J68" s="4">
        <v>64</v>
      </c>
      <c r="K68" s="1">
        <f t="shared" si="0"/>
        <v>1000</v>
      </c>
      <c r="L68" s="1">
        <f t="shared" si="1"/>
        <v>1000</v>
      </c>
      <c r="M68" s="1">
        <f t="shared" si="2"/>
        <v>1000</v>
      </c>
    </row>
    <row r="69" spans="1:13" x14ac:dyDescent="0.3">
      <c r="A69" s="1" t="s">
        <v>166</v>
      </c>
      <c r="B69" s="1" t="s">
        <v>84</v>
      </c>
      <c r="C69" s="1" t="s">
        <v>24</v>
      </c>
      <c r="D69" s="1" t="s">
        <v>13</v>
      </c>
      <c r="E69" s="4">
        <v>14</v>
      </c>
      <c r="F69" s="4">
        <v>10</v>
      </c>
      <c r="G69" s="1" t="s">
        <v>43</v>
      </c>
      <c r="H69" s="1" t="s">
        <v>15</v>
      </c>
      <c r="I69" s="5" t="s">
        <v>167</v>
      </c>
      <c r="J69" s="4">
        <v>45</v>
      </c>
      <c r="K69" s="1">
        <f t="shared" si="0"/>
        <v>1200</v>
      </c>
      <c r="L69" s="1">
        <f t="shared" si="1"/>
        <v>1200</v>
      </c>
      <c r="M69" s="1">
        <f t="shared" si="2"/>
        <v>1200</v>
      </c>
    </row>
    <row r="70" spans="1:13" x14ac:dyDescent="0.3">
      <c r="A70" s="1" t="s">
        <v>168</v>
      </c>
      <c r="B70" s="1" t="s">
        <v>18</v>
      </c>
      <c r="C70" s="1" t="s">
        <v>79</v>
      </c>
      <c r="D70" s="1" t="s">
        <v>13</v>
      </c>
      <c r="E70" s="4">
        <v>17</v>
      </c>
      <c r="F70" s="4">
        <v>12</v>
      </c>
      <c r="G70" s="1" t="s">
        <v>25</v>
      </c>
      <c r="H70" s="1" t="s">
        <v>26</v>
      </c>
      <c r="I70" s="5" t="s">
        <v>137</v>
      </c>
      <c r="J70" s="4">
        <v>82</v>
      </c>
      <c r="K70" s="1">
        <f t="shared" si="0"/>
        <v>1800</v>
      </c>
      <c r="L70" s="1">
        <f t="shared" si="1"/>
        <v>1800</v>
      </c>
      <c r="M70" s="1">
        <f t="shared" si="2"/>
        <v>1800</v>
      </c>
    </row>
    <row r="71" spans="1:13" x14ac:dyDescent="0.3">
      <c r="A71" s="1" t="s">
        <v>169</v>
      </c>
      <c r="B71" s="1" t="s">
        <v>11</v>
      </c>
      <c r="C71" s="1" t="s">
        <v>30</v>
      </c>
      <c r="D71" s="1" t="s">
        <v>31</v>
      </c>
      <c r="E71" s="4">
        <v>18</v>
      </c>
      <c r="F71" s="4">
        <v>9</v>
      </c>
      <c r="G71" s="1" t="s">
        <v>25</v>
      </c>
      <c r="H71" s="1" t="s">
        <v>46</v>
      </c>
      <c r="I71" s="5" t="s">
        <v>170</v>
      </c>
      <c r="J71" s="4">
        <v>60</v>
      </c>
      <c r="K71" s="1">
        <f t="shared" si="0"/>
        <v>1000</v>
      </c>
      <c r="L71" s="1">
        <f t="shared" si="1"/>
        <v>1000</v>
      </c>
      <c r="M71" s="1">
        <f t="shared" si="2"/>
        <v>1000</v>
      </c>
    </row>
    <row r="72" spans="1:13" x14ac:dyDescent="0.3">
      <c r="A72" s="1" t="s">
        <v>171</v>
      </c>
      <c r="B72" s="1" t="s">
        <v>29</v>
      </c>
      <c r="C72" s="1" t="s">
        <v>85</v>
      </c>
      <c r="D72" s="1" t="s">
        <v>13</v>
      </c>
      <c r="E72" s="4">
        <v>14</v>
      </c>
      <c r="F72" s="4">
        <v>10</v>
      </c>
      <c r="G72" s="1" t="s">
        <v>32</v>
      </c>
      <c r="H72" s="1" t="s">
        <v>61</v>
      </c>
      <c r="I72" s="5" t="s">
        <v>172</v>
      </c>
      <c r="J72" s="4">
        <v>51</v>
      </c>
      <c r="K72" s="1">
        <f t="shared" si="0"/>
        <v>1200</v>
      </c>
      <c r="L72" s="1">
        <f t="shared" si="1"/>
        <v>1200</v>
      </c>
      <c r="M72" s="1">
        <f t="shared" si="2"/>
        <v>1200</v>
      </c>
    </row>
    <row r="73" spans="1:13" x14ac:dyDescent="0.3">
      <c r="A73" s="1" t="s">
        <v>173</v>
      </c>
      <c r="B73" s="1" t="s">
        <v>54</v>
      </c>
      <c r="C73" s="1" t="s">
        <v>30</v>
      </c>
      <c r="D73" s="1" t="s">
        <v>31</v>
      </c>
      <c r="E73" s="4">
        <v>18</v>
      </c>
      <c r="F73" s="4">
        <v>9</v>
      </c>
      <c r="G73" s="1" t="s">
        <v>32</v>
      </c>
      <c r="H73" s="1" t="s">
        <v>40</v>
      </c>
      <c r="I73" s="5" t="s">
        <v>174</v>
      </c>
      <c r="J73" s="4">
        <v>54</v>
      </c>
      <c r="K73" s="1">
        <f t="shared" ref="K73:K136" si="3">VLOOKUP($F73,$A$1:$B$5,2,0)</f>
        <v>1000</v>
      </c>
      <c r="L73" s="1">
        <f t="shared" ref="L73:L136" si="4">INDEX($B$2:$B$5,MATCH($F73,$A$2:$A$5,0))</f>
        <v>1000</v>
      </c>
      <c r="M73" s="1">
        <f t="shared" ref="M73:M136" si="5">_xlfn.XLOOKUP($F73,$A$2:$A$5,$B$2:$B$5)</f>
        <v>1000</v>
      </c>
    </row>
    <row r="74" spans="1:13" x14ac:dyDescent="0.3">
      <c r="A74" s="1" t="s">
        <v>175</v>
      </c>
      <c r="B74" s="1" t="s">
        <v>35</v>
      </c>
      <c r="C74" s="1" t="s">
        <v>30</v>
      </c>
      <c r="D74" s="1" t="s">
        <v>31</v>
      </c>
      <c r="E74" s="4">
        <v>20</v>
      </c>
      <c r="F74" s="4">
        <v>9</v>
      </c>
      <c r="G74" s="1" t="s">
        <v>14</v>
      </c>
      <c r="H74" s="1" t="s">
        <v>61</v>
      </c>
      <c r="I74" s="5" t="s">
        <v>176</v>
      </c>
      <c r="J74" s="4">
        <v>76</v>
      </c>
      <c r="K74" s="1">
        <f t="shared" si="3"/>
        <v>1000</v>
      </c>
      <c r="L74" s="1">
        <f t="shared" si="4"/>
        <v>1000</v>
      </c>
      <c r="M74" s="1">
        <f t="shared" si="5"/>
        <v>1000</v>
      </c>
    </row>
    <row r="75" spans="1:13" x14ac:dyDescent="0.3">
      <c r="A75" s="1" t="s">
        <v>177</v>
      </c>
      <c r="B75" s="1" t="s">
        <v>29</v>
      </c>
      <c r="C75" s="1" t="s">
        <v>58</v>
      </c>
      <c r="D75" s="1" t="s">
        <v>31</v>
      </c>
      <c r="E75" s="4">
        <v>19</v>
      </c>
      <c r="F75" s="4">
        <v>12</v>
      </c>
      <c r="G75" s="1" t="s">
        <v>43</v>
      </c>
      <c r="H75" s="1" t="s">
        <v>61</v>
      </c>
      <c r="I75" s="5" t="s">
        <v>178</v>
      </c>
      <c r="J75" s="4">
        <v>99</v>
      </c>
      <c r="K75" s="1">
        <f t="shared" si="3"/>
        <v>1800</v>
      </c>
      <c r="L75" s="1">
        <f t="shared" si="4"/>
        <v>1800</v>
      </c>
      <c r="M75" s="1">
        <f t="shared" si="5"/>
        <v>1800</v>
      </c>
    </row>
    <row r="76" spans="1:13" x14ac:dyDescent="0.3">
      <c r="A76" s="1" t="s">
        <v>179</v>
      </c>
      <c r="B76" s="1" t="s">
        <v>29</v>
      </c>
      <c r="C76" s="1" t="s">
        <v>58</v>
      </c>
      <c r="D76" s="1" t="s">
        <v>31</v>
      </c>
      <c r="E76" s="4">
        <v>16</v>
      </c>
      <c r="F76" s="4">
        <v>11</v>
      </c>
      <c r="G76" s="1" t="s">
        <v>25</v>
      </c>
      <c r="H76" s="1" t="s">
        <v>26</v>
      </c>
      <c r="I76" s="5" t="s">
        <v>180</v>
      </c>
      <c r="J76" s="4">
        <v>75</v>
      </c>
      <c r="K76" s="1">
        <f t="shared" si="3"/>
        <v>1500</v>
      </c>
      <c r="L76" s="1">
        <f t="shared" si="4"/>
        <v>1500</v>
      </c>
      <c r="M76" s="1">
        <f t="shared" si="5"/>
        <v>1500</v>
      </c>
    </row>
    <row r="77" spans="1:13" x14ac:dyDescent="0.3">
      <c r="A77" s="1" t="s">
        <v>181</v>
      </c>
      <c r="B77" s="1" t="s">
        <v>11</v>
      </c>
      <c r="C77" s="1" t="s">
        <v>55</v>
      </c>
      <c r="D77" s="1" t="s">
        <v>31</v>
      </c>
      <c r="E77" s="4">
        <v>18</v>
      </c>
      <c r="F77" s="4">
        <v>10</v>
      </c>
      <c r="G77" s="1" t="s">
        <v>25</v>
      </c>
      <c r="H77" s="1" t="s">
        <v>46</v>
      </c>
      <c r="I77" s="5" t="s">
        <v>182</v>
      </c>
      <c r="J77" s="4">
        <v>98</v>
      </c>
      <c r="K77" s="1">
        <f t="shared" si="3"/>
        <v>1200</v>
      </c>
      <c r="L77" s="1">
        <f t="shared" si="4"/>
        <v>1200</v>
      </c>
      <c r="M77" s="1">
        <f t="shared" si="5"/>
        <v>1200</v>
      </c>
    </row>
    <row r="78" spans="1:13" x14ac:dyDescent="0.3">
      <c r="A78" s="1" t="s">
        <v>183</v>
      </c>
      <c r="B78" s="1" t="s">
        <v>11</v>
      </c>
      <c r="C78" s="1" t="s">
        <v>30</v>
      </c>
      <c r="D78" s="1" t="s">
        <v>31</v>
      </c>
      <c r="E78" s="4">
        <v>17</v>
      </c>
      <c r="F78" s="4">
        <v>12</v>
      </c>
      <c r="G78" s="1" t="s">
        <v>14</v>
      </c>
      <c r="H78" s="1" t="s">
        <v>37</v>
      </c>
      <c r="I78" s="5" t="s">
        <v>184</v>
      </c>
      <c r="J78" s="4">
        <v>49</v>
      </c>
      <c r="K78" s="1">
        <f t="shared" si="3"/>
        <v>1800</v>
      </c>
      <c r="L78" s="1">
        <f t="shared" si="4"/>
        <v>1800</v>
      </c>
      <c r="M78" s="1">
        <f t="shared" si="5"/>
        <v>1800</v>
      </c>
    </row>
    <row r="79" spans="1:13" x14ac:dyDescent="0.3">
      <c r="A79" s="1" t="s">
        <v>185</v>
      </c>
      <c r="B79" s="1" t="s">
        <v>35</v>
      </c>
      <c r="C79" s="1" t="s">
        <v>30</v>
      </c>
      <c r="D79" s="1" t="s">
        <v>31</v>
      </c>
      <c r="E79" s="4">
        <v>14</v>
      </c>
      <c r="F79" s="4">
        <v>12</v>
      </c>
      <c r="G79" s="1" t="s">
        <v>43</v>
      </c>
      <c r="H79" s="1" t="s">
        <v>61</v>
      </c>
      <c r="I79" s="5" t="s">
        <v>186</v>
      </c>
      <c r="J79" s="4">
        <v>45</v>
      </c>
      <c r="K79" s="1">
        <f t="shared" si="3"/>
        <v>1800</v>
      </c>
      <c r="L79" s="1">
        <f t="shared" si="4"/>
        <v>1800</v>
      </c>
      <c r="M79" s="1">
        <f t="shared" si="5"/>
        <v>1800</v>
      </c>
    </row>
    <row r="80" spans="1:13" x14ac:dyDescent="0.3">
      <c r="A80" s="1" t="s">
        <v>187</v>
      </c>
      <c r="B80" s="1" t="s">
        <v>51</v>
      </c>
      <c r="C80" s="1" t="s">
        <v>12</v>
      </c>
      <c r="D80" s="1" t="s">
        <v>31</v>
      </c>
      <c r="E80" s="4">
        <v>17</v>
      </c>
      <c r="F80" s="4">
        <v>10</v>
      </c>
      <c r="G80" s="1" t="s">
        <v>43</v>
      </c>
      <c r="H80" s="1" t="s">
        <v>46</v>
      </c>
      <c r="I80" s="5" t="s">
        <v>101</v>
      </c>
      <c r="J80" s="4">
        <v>66</v>
      </c>
      <c r="K80" s="1">
        <f t="shared" si="3"/>
        <v>1200</v>
      </c>
      <c r="L80" s="1">
        <f t="shared" si="4"/>
        <v>1200</v>
      </c>
      <c r="M80" s="1">
        <f t="shared" si="5"/>
        <v>1200</v>
      </c>
    </row>
    <row r="81" spans="1:13" x14ac:dyDescent="0.3">
      <c r="A81" s="1" t="s">
        <v>188</v>
      </c>
      <c r="B81" s="1" t="s">
        <v>23</v>
      </c>
      <c r="C81" s="1" t="s">
        <v>55</v>
      </c>
      <c r="D81" s="1" t="s">
        <v>31</v>
      </c>
      <c r="E81" s="4">
        <v>15</v>
      </c>
      <c r="F81" s="4">
        <v>9</v>
      </c>
      <c r="G81" s="1" t="s">
        <v>43</v>
      </c>
      <c r="H81" s="1" t="s">
        <v>20</v>
      </c>
      <c r="I81" s="5" t="s">
        <v>189</v>
      </c>
      <c r="J81" s="4">
        <v>88</v>
      </c>
      <c r="K81" s="1">
        <f t="shared" si="3"/>
        <v>1000</v>
      </c>
      <c r="L81" s="1">
        <f t="shared" si="4"/>
        <v>1000</v>
      </c>
      <c r="M81" s="1">
        <f t="shared" si="5"/>
        <v>1000</v>
      </c>
    </row>
    <row r="82" spans="1:13" x14ac:dyDescent="0.3">
      <c r="A82" s="1" t="s">
        <v>190</v>
      </c>
      <c r="B82" s="1" t="s">
        <v>18</v>
      </c>
      <c r="C82" s="1" t="s">
        <v>19</v>
      </c>
      <c r="D82" s="1" t="s">
        <v>31</v>
      </c>
      <c r="E82" s="4">
        <v>14</v>
      </c>
      <c r="F82" s="4">
        <v>12</v>
      </c>
      <c r="G82" s="1" t="s">
        <v>32</v>
      </c>
      <c r="H82" s="1" t="s">
        <v>37</v>
      </c>
      <c r="I82" s="5" t="s">
        <v>191</v>
      </c>
      <c r="J82" s="4">
        <v>63</v>
      </c>
      <c r="K82" s="1">
        <f t="shared" si="3"/>
        <v>1800</v>
      </c>
      <c r="L82" s="1">
        <f t="shared" si="4"/>
        <v>1800</v>
      </c>
      <c r="M82" s="1">
        <f t="shared" si="5"/>
        <v>1800</v>
      </c>
    </row>
    <row r="83" spans="1:13" x14ac:dyDescent="0.3">
      <c r="A83" s="1" t="s">
        <v>192</v>
      </c>
      <c r="B83" s="1" t="s">
        <v>68</v>
      </c>
      <c r="C83" s="1" t="s">
        <v>85</v>
      </c>
      <c r="D83" s="1" t="s">
        <v>13</v>
      </c>
      <c r="E83" s="4">
        <v>19</v>
      </c>
      <c r="F83" s="4">
        <v>11</v>
      </c>
      <c r="G83" s="1" t="s">
        <v>43</v>
      </c>
      <c r="H83" s="1" t="s">
        <v>61</v>
      </c>
      <c r="I83" s="5" t="s">
        <v>193</v>
      </c>
      <c r="J83" s="4">
        <v>78</v>
      </c>
      <c r="K83" s="1">
        <f t="shared" si="3"/>
        <v>1500</v>
      </c>
      <c r="L83" s="1">
        <f t="shared" si="4"/>
        <v>1500</v>
      </c>
      <c r="M83" s="1">
        <f t="shared" si="5"/>
        <v>1500</v>
      </c>
    </row>
    <row r="84" spans="1:13" x14ac:dyDescent="0.3">
      <c r="A84" s="1" t="s">
        <v>194</v>
      </c>
      <c r="B84" s="1" t="s">
        <v>23</v>
      </c>
      <c r="C84" s="1" t="s">
        <v>19</v>
      </c>
      <c r="D84" s="1" t="s">
        <v>31</v>
      </c>
      <c r="E84" s="4">
        <v>20</v>
      </c>
      <c r="F84" s="4">
        <v>9</v>
      </c>
      <c r="G84" s="1" t="s">
        <v>25</v>
      </c>
      <c r="H84" s="1" t="s">
        <v>76</v>
      </c>
      <c r="I84" s="5" t="s">
        <v>195</v>
      </c>
      <c r="J84" s="4">
        <v>76</v>
      </c>
      <c r="K84" s="1">
        <f t="shared" si="3"/>
        <v>1000</v>
      </c>
      <c r="L84" s="1">
        <f t="shared" si="4"/>
        <v>1000</v>
      </c>
      <c r="M84" s="1">
        <f t="shared" si="5"/>
        <v>1000</v>
      </c>
    </row>
    <row r="85" spans="1:13" x14ac:dyDescent="0.3">
      <c r="A85" s="1" t="s">
        <v>196</v>
      </c>
      <c r="B85" s="1" t="s">
        <v>23</v>
      </c>
      <c r="C85" s="1" t="s">
        <v>79</v>
      </c>
      <c r="D85" s="1" t="s">
        <v>13</v>
      </c>
      <c r="E85" s="4">
        <v>18</v>
      </c>
      <c r="F85" s="4">
        <v>12</v>
      </c>
      <c r="G85" s="1" t="s">
        <v>43</v>
      </c>
      <c r="H85" s="1" t="s">
        <v>76</v>
      </c>
      <c r="I85" s="5" t="s">
        <v>197</v>
      </c>
      <c r="J85" s="4">
        <v>67</v>
      </c>
      <c r="K85" s="1">
        <f t="shared" si="3"/>
        <v>1800</v>
      </c>
      <c r="L85" s="1">
        <f t="shared" si="4"/>
        <v>1800</v>
      </c>
      <c r="M85" s="1">
        <f t="shared" si="5"/>
        <v>1800</v>
      </c>
    </row>
    <row r="86" spans="1:13" x14ac:dyDescent="0.3">
      <c r="A86" s="1" t="s">
        <v>198</v>
      </c>
      <c r="B86" s="1" t="s">
        <v>11</v>
      </c>
      <c r="C86" s="1" t="s">
        <v>85</v>
      </c>
      <c r="D86" s="1" t="s">
        <v>31</v>
      </c>
      <c r="E86" s="4">
        <v>14</v>
      </c>
      <c r="F86" s="4">
        <v>10</v>
      </c>
      <c r="G86" s="1" t="s">
        <v>25</v>
      </c>
      <c r="H86" s="1" t="s">
        <v>61</v>
      </c>
      <c r="I86" s="5" t="s">
        <v>199</v>
      </c>
      <c r="J86" s="4">
        <v>97</v>
      </c>
      <c r="K86" s="1">
        <f t="shared" si="3"/>
        <v>1200</v>
      </c>
      <c r="L86" s="1">
        <f t="shared" si="4"/>
        <v>1200</v>
      </c>
      <c r="M86" s="1">
        <f t="shared" si="5"/>
        <v>1200</v>
      </c>
    </row>
    <row r="87" spans="1:13" x14ac:dyDescent="0.3">
      <c r="A87" s="1" t="s">
        <v>200</v>
      </c>
      <c r="B87" s="1" t="s">
        <v>29</v>
      </c>
      <c r="C87" s="1" t="s">
        <v>12</v>
      </c>
      <c r="D87" s="1" t="s">
        <v>13</v>
      </c>
      <c r="E87" s="4">
        <v>18</v>
      </c>
      <c r="F87" s="4">
        <v>12</v>
      </c>
      <c r="G87" s="1" t="s">
        <v>25</v>
      </c>
      <c r="H87" s="1" t="s">
        <v>26</v>
      </c>
      <c r="I87" s="5" t="s">
        <v>201</v>
      </c>
      <c r="J87" s="4">
        <v>89</v>
      </c>
      <c r="K87" s="1">
        <f t="shared" si="3"/>
        <v>1800</v>
      </c>
      <c r="L87" s="1">
        <f t="shared" si="4"/>
        <v>1800</v>
      </c>
      <c r="M87" s="1">
        <f t="shared" si="5"/>
        <v>1800</v>
      </c>
    </row>
    <row r="88" spans="1:13" x14ac:dyDescent="0.3">
      <c r="A88" s="1" t="s">
        <v>202</v>
      </c>
      <c r="B88" s="1" t="s">
        <v>51</v>
      </c>
      <c r="C88" s="1" t="s">
        <v>55</v>
      </c>
      <c r="D88" s="1" t="s">
        <v>31</v>
      </c>
      <c r="E88" s="4">
        <v>15</v>
      </c>
      <c r="F88" s="4">
        <v>9</v>
      </c>
      <c r="G88" s="1" t="s">
        <v>14</v>
      </c>
      <c r="H88" s="1" t="s">
        <v>40</v>
      </c>
      <c r="I88" s="5" t="s">
        <v>111</v>
      </c>
      <c r="J88" s="4">
        <v>70</v>
      </c>
      <c r="K88" s="1">
        <f t="shared" si="3"/>
        <v>1000</v>
      </c>
      <c r="L88" s="1">
        <f t="shared" si="4"/>
        <v>1000</v>
      </c>
      <c r="M88" s="1">
        <f t="shared" si="5"/>
        <v>1000</v>
      </c>
    </row>
    <row r="89" spans="1:13" x14ac:dyDescent="0.3">
      <c r="A89" s="1" t="s">
        <v>203</v>
      </c>
      <c r="B89" s="1" t="s">
        <v>35</v>
      </c>
      <c r="C89" s="1" t="s">
        <v>96</v>
      </c>
      <c r="D89" s="1" t="s">
        <v>13</v>
      </c>
      <c r="E89" s="4">
        <v>17</v>
      </c>
      <c r="F89" s="4">
        <v>12</v>
      </c>
      <c r="G89" s="1" t="s">
        <v>25</v>
      </c>
      <c r="H89" s="1" t="s">
        <v>20</v>
      </c>
      <c r="I89" s="5" t="s">
        <v>204</v>
      </c>
      <c r="J89" s="4">
        <v>90</v>
      </c>
      <c r="K89" s="1">
        <f t="shared" si="3"/>
        <v>1800</v>
      </c>
      <c r="L89" s="1">
        <f t="shared" si="4"/>
        <v>1800</v>
      </c>
      <c r="M89" s="1">
        <f t="shared" si="5"/>
        <v>1800</v>
      </c>
    </row>
    <row r="90" spans="1:13" x14ac:dyDescent="0.3">
      <c r="A90" s="1" t="s">
        <v>205</v>
      </c>
      <c r="B90" s="1" t="s">
        <v>73</v>
      </c>
      <c r="C90" s="1" t="s">
        <v>24</v>
      </c>
      <c r="D90" s="1" t="s">
        <v>13</v>
      </c>
      <c r="E90" s="4">
        <v>17</v>
      </c>
      <c r="F90" s="4">
        <v>9</v>
      </c>
      <c r="G90" s="1" t="s">
        <v>14</v>
      </c>
      <c r="H90" s="1" t="s">
        <v>46</v>
      </c>
      <c r="I90" s="5" t="s">
        <v>206</v>
      </c>
      <c r="J90" s="4">
        <v>59</v>
      </c>
      <c r="K90" s="1">
        <f t="shared" si="3"/>
        <v>1000</v>
      </c>
      <c r="L90" s="1">
        <f t="shared" si="4"/>
        <v>1000</v>
      </c>
      <c r="M90" s="1">
        <f t="shared" si="5"/>
        <v>1000</v>
      </c>
    </row>
    <row r="91" spans="1:13" x14ac:dyDescent="0.3">
      <c r="A91" s="1" t="s">
        <v>207</v>
      </c>
      <c r="B91" s="1" t="s">
        <v>54</v>
      </c>
      <c r="C91" s="1" t="s">
        <v>19</v>
      </c>
      <c r="D91" s="1" t="s">
        <v>31</v>
      </c>
      <c r="E91" s="4">
        <v>19</v>
      </c>
      <c r="F91" s="4">
        <v>9</v>
      </c>
      <c r="G91" s="1" t="s">
        <v>14</v>
      </c>
      <c r="H91" s="1" t="s">
        <v>61</v>
      </c>
      <c r="I91" s="5" t="s">
        <v>208</v>
      </c>
      <c r="J91" s="4">
        <v>76</v>
      </c>
      <c r="K91" s="1">
        <f t="shared" si="3"/>
        <v>1000</v>
      </c>
      <c r="L91" s="1">
        <f t="shared" si="4"/>
        <v>1000</v>
      </c>
      <c r="M91" s="1">
        <f t="shared" si="5"/>
        <v>1000</v>
      </c>
    </row>
    <row r="92" spans="1:13" x14ac:dyDescent="0.3">
      <c r="A92" s="1" t="s">
        <v>209</v>
      </c>
      <c r="B92" s="1" t="s">
        <v>29</v>
      </c>
      <c r="C92" s="1" t="s">
        <v>30</v>
      </c>
      <c r="D92" s="1" t="s">
        <v>31</v>
      </c>
      <c r="E92" s="4">
        <v>18</v>
      </c>
      <c r="F92" s="4">
        <v>11</v>
      </c>
      <c r="G92" s="1" t="s">
        <v>43</v>
      </c>
      <c r="H92" s="1" t="s">
        <v>20</v>
      </c>
      <c r="I92" s="5" t="s">
        <v>210</v>
      </c>
      <c r="J92" s="4">
        <v>78</v>
      </c>
      <c r="K92" s="1">
        <f t="shared" si="3"/>
        <v>1500</v>
      </c>
      <c r="L92" s="1">
        <f t="shared" si="4"/>
        <v>1500</v>
      </c>
      <c r="M92" s="1">
        <f t="shared" si="5"/>
        <v>1500</v>
      </c>
    </row>
    <row r="93" spans="1:13" x14ac:dyDescent="0.3">
      <c r="A93" s="1" t="s">
        <v>211</v>
      </c>
      <c r="B93" s="1" t="s">
        <v>35</v>
      </c>
      <c r="C93" s="1" t="s">
        <v>19</v>
      </c>
      <c r="D93" s="1" t="s">
        <v>31</v>
      </c>
      <c r="E93" s="4">
        <v>16</v>
      </c>
      <c r="F93" s="4">
        <v>9</v>
      </c>
      <c r="G93" s="1" t="s">
        <v>14</v>
      </c>
      <c r="H93" s="1" t="s">
        <v>37</v>
      </c>
      <c r="I93" s="5" t="s">
        <v>212</v>
      </c>
      <c r="J93" s="4">
        <v>57</v>
      </c>
      <c r="K93" s="1">
        <f t="shared" si="3"/>
        <v>1000</v>
      </c>
      <c r="L93" s="1">
        <f t="shared" si="4"/>
        <v>1000</v>
      </c>
      <c r="M93" s="1">
        <f t="shared" si="5"/>
        <v>1000</v>
      </c>
    </row>
    <row r="94" spans="1:13" x14ac:dyDescent="0.3">
      <c r="A94" s="1" t="s">
        <v>213</v>
      </c>
      <c r="B94" s="1" t="s">
        <v>29</v>
      </c>
      <c r="C94" s="1" t="s">
        <v>24</v>
      </c>
      <c r="D94" s="1" t="s">
        <v>31</v>
      </c>
      <c r="E94" s="4">
        <v>17</v>
      </c>
      <c r="F94" s="4">
        <v>11</v>
      </c>
      <c r="G94" s="1" t="s">
        <v>14</v>
      </c>
      <c r="H94" s="1" t="s">
        <v>76</v>
      </c>
      <c r="I94" s="5" t="s">
        <v>214</v>
      </c>
      <c r="J94" s="4">
        <v>74</v>
      </c>
      <c r="K94" s="1">
        <f t="shared" si="3"/>
        <v>1500</v>
      </c>
      <c r="L94" s="1">
        <f t="shared" si="4"/>
        <v>1500</v>
      </c>
      <c r="M94" s="1">
        <f t="shared" si="5"/>
        <v>1500</v>
      </c>
    </row>
    <row r="95" spans="1:13" x14ac:dyDescent="0.3">
      <c r="A95" s="1" t="s">
        <v>215</v>
      </c>
      <c r="B95" s="1" t="s">
        <v>84</v>
      </c>
      <c r="C95" s="1" t="s">
        <v>36</v>
      </c>
      <c r="D95" s="1" t="s">
        <v>31</v>
      </c>
      <c r="E95" s="4">
        <v>19</v>
      </c>
      <c r="F95" s="4">
        <v>12</v>
      </c>
      <c r="G95" s="1" t="s">
        <v>14</v>
      </c>
      <c r="H95" s="1" t="s">
        <v>37</v>
      </c>
      <c r="I95" s="5" t="s">
        <v>216</v>
      </c>
      <c r="J95" s="4">
        <v>84</v>
      </c>
      <c r="K95" s="1">
        <f t="shared" si="3"/>
        <v>1800</v>
      </c>
      <c r="L95" s="1">
        <f t="shared" si="4"/>
        <v>1800</v>
      </c>
      <c r="M95" s="1">
        <f t="shared" si="5"/>
        <v>1800</v>
      </c>
    </row>
    <row r="96" spans="1:13" x14ac:dyDescent="0.3">
      <c r="A96" s="1" t="s">
        <v>217</v>
      </c>
      <c r="B96" s="1" t="s">
        <v>84</v>
      </c>
      <c r="C96" s="1" t="s">
        <v>96</v>
      </c>
      <c r="D96" s="1" t="s">
        <v>31</v>
      </c>
      <c r="E96" s="4">
        <v>17</v>
      </c>
      <c r="F96" s="4">
        <v>10</v>
      </c>
      <c r="G96" s="1" t="s">
        <v>43</v>
      </c>
      <c r="H96" s="1" t="s">
        <v>46</v>
      </c>
      <c r="I96" s="5" t="s">
        <v>218</v>
      </c>
      <c r="J96" s="4">
        <v>46</v>
      </c>
      <c r="K96" s="1">
        <f t="shared" si="3"/>
        <v>1200</v>
      </c>
      <c r="L96" s="1">
        <f t="shared" si="4"/>
        <v>1200</v>
      </c>
      <c r="M96" s="1">
        <f t="shared" si="5"/>
        <v>1200</v>
      </c>
    </row>
    <row r="97" spans="1:13" x14ac:dyDescent="0.3">
      <c r="A97" s="1" t="s">
        <v>219</v>
      </c>
      <c r="B97" s="1" t="s">
        <v>68</v>
      </c>
      <c r="C97" s="1" t="s">
        <v>19</v>
      </c>
      <c r="D97" s="1" t="s">
        <v>13</v>
      </c>
      <c r="E97" s="4">
        <v>19</v>
      </c>
      <c r="F97" s="4">
        <v>9</v>
      </c>
      <c r="G97" s="1" t="s">
        <v>14</v>
      </c>
      <c r="H97" s="1" t="s">
        <v>40</v>
      </c>
      <c r="I97" s="5" t="s">
        <v>220</v>
      </c>
      <c r="J97" s="4">
        <v>63</v>
      </c>
      <c r="K97" s="1">
        <f t="shared" si="3"/>
        <v>1000</v>
      </c>
      <c r="L97" s="1">
        <f t="shared" si="4"/>
        <v>1000</v>
      </c>
      <c r="M97" s="1">
        <f t="shared" si="5"/>
        <v>1000</v>
      </c>
    </row>
    <row r="98" spans="1:13" x14ac:dyDescent="0.3">
      <c r="A98" s="1" t="s">
        <v>221</v>
      </c>
      <c r="B98" s="1" t="s">
        <v>51</v>
      </c>
      <c r="C98" s="1" t="s">
        <v>55</v>
      </c>
      <c r="D98" s="1" t="s">
        <v>13</v>
      </c>
      <c r="E98" s="4">
        <v>14</v>
      </c>
      <c r="F98" s="4">
        <v>10</v>
      </c>
      <c r="G98" s="1" t="s">
        <v>43</v>
      </c>
      <c r="H98" s="1" t="s">
        <v>61</v>
      </c>
      <c r="I98" s="5" t="s">
        <v>222</v>
      </c>
      <c r="J98" s="4">
        <v>72</v>
      </c>
      <c r="K98" s="1">
        <f t="shared" si="3"/>
        <v>1200</v>
      </c>
      <c r="L98" s="1">
        <f t="shared" si="4"/>
        <v>1200</v>
      </c>
      <c r="M98" s="1">
        <f t="shared" si="5"/>
        <v>1200</v>
      </c>
    </row>
    <row r="99" spans="1:13" x14ac:dyDescent="0.3">
      <c r="A99" s="1" t="s">
        <v>223</v>
      </c>
      <c r="B99" s="1" t="s">
        <v>68</v>
      </c>
      <c r="C99" s="1" t="s">
        <v>24</v>
      </c>
      <c r="D99" s="1" t="s">
        <v>13</v>
      </c>
      <c r="E99" s="4">
        <v>18</v>
      </c>
      <c r="F99" s="4">
        <v>11</v>
      </c>
      <c r="G99" s="1" t="s">
        <v>32</v>
      </c>
      <c r="H99" s="1" t="s">
        <v>40</v>
      </c>
      <c r="I99" s="5" t="s">
        <v>224</v>
      </c>
      <c r="J99" s="4">
        <v>87</v>
      </c>
      <c r="K99" s="1">
        <f t="shared" si="3"/>
        <v>1500</v>
      </c>
      <c r="L99" s="1">
        <f t="shared" si="4"/>
        <v>1500</v>
      </c>
      <c r="M99" s="1">
        <f t="shared" si="5"/>
        <v>1500</v>
      </c>
    </row>
    <row r="100" spans="1:13" x14ac:dyDescent="0.3">
      <c r="A100" s="1" t="s">
        <v>225</v>
      </c>
      <c r="B100" s="1" t="s">
        <v>35</v>
      </c>
      <c r="C100" s="1" t="s">
        <v>85</v>
      </c>
      <c r="D100" s="1" t="s">
        <v>13</v>
      </c>
      <c r="E100" s="4">
        <v>20</v>
      </c>
      <c r="F100" s="4">
        <v>9</v>
      </c>
      <c r="G100" s="1" t="s">
        <v>14</v>
      </c>
      <c r="H100" s="1" t="s">
        <v>40</v>
      </c>
      <c r="I100" s="5" t="s">
        <v>226</v>
      </c>
      <c r="J100" s="4">
        <v>55</v>
      </c>
      <c r="K100" s="1">
        <f t="shared" si="3"/>
        <v>1000</v>
      </c>
      <c r="L100" s="1">
        <f t="shared" si="4"/>
        <v>1000</v>
      </c>
      <c r="M100" s="1">
        <f t="shared" si="5"/>
        <v>1000</v>
      </c>
    </row>
    <row r="101" spans="1:13" x14ac:dyDescent="0.3">
      <c r="A101" s="1" t="s">
        <v>227</v>
      </c>
      <c r="B101" s="1" t="s">
        <v>68</v>
      </c>
      <c r="C101" s="1" t="s">
        <v>58</v>
      </c>
      <c r="D101" s="1" t="s">
        <v>13</v>
      </c>
      <c r="E101" s="4">
        <v>17</v>
      </c>
      <c r="F101" s="4">
        <v>12</v>
      </c>
      <c r="G101" s="1" t="s">
        <v>32</v>
      </c>
      <c r="H101" s="1" t="s">
        <v>26</v>
      </c>
      <c r="I101" s="5" t="s">
        <v>228</v>
      </c>
      <c r="J101" s="4">
        <v>37</v>
      </c>
      <c r="K101" s="1">
        <f t="shared" si="3"/>
        <v>1800</v>
      </c>
      <c r="L101" s="1">
        <f t="shared" si="4"/>
        <v>1800</v>
      </c>
      <c r="M101" s="1">
        <f t="shared" si="5"/>
        <v>1800</v>
      </c>
    </row>
    <row r="102" spans="1:13" x14ac:dyDescent="0.3">
      <c r="A102" s="1" t="s">
        <v>229</v>
      </c>
      <c r="B102" s="1" t="s">
        <v>68</v>
      </c>
      <c r="C102" s="1" t="s">
        <v>24</v>
      </c>
      <c r="D102" s="1" t="s">
        <v>13</v>
      </c>
      <c r="E102" s="4">
        <v>17</v>
      </c>
      <c r="F102" s="4">
        <v>11</v>
      </c>
      <c r="G102" s="1" t="s">
        <v>43</v>
      </c>
      <c r="H102" s="1" t="s">
        <v>26</v>
      </c>
      <c r="I102" s="5" t="s">
        <v>230</v>
      </c>
      <c r="J102" s="4">
        <v>53</v>
      </c>
      <c r="K102" s="1">
        <f t="shared" si="3"/>
        <v>1500</v>
      </c>
      <c r="L102" s="1">
        <f t="shared" si="4"/>
        <v>1500</v>
      </c>
      <c r="M102" s="1">
        <f t="shared" si="5"/>
        <v>1500</v>
      </c>
    </row>
    <row r="103" spans="1:13" x14ac:dyDescent="0.3">
      <c r="A103" s="1" t="s">
        <v>231</v>
      </c>
      <c r="B103" s="1" t="s">
        <v>23</v>
      </c>
      <c r="C103" s="1" t="s">
        <v>24</v>
      </c>
      <c r="D103" s="1" t="s">
        <v>31</v>
      </c>
      <c r="E103" s="4">
        <v>18</v>
      </c>
      <c r="F103" s="4">
        <v>9</v>
      </c>
      <c r="G103" s="1" t="s">
        <v>25</v>
      </c>
      <c r="H103" s="1" t="s">
        <v>61</v>
      </c>
      <c r="I103" s="5" t="s">
        <v>232</v>
      </c>
      <c r="J103" s="4">
        <v>88</v>
      </c>
      <c r="K103" s="1">
        <f t="shared" si="3"/>
        <v>1000</v>
      </c>
      <c r="L103" s="1">
        <f t="shared" si="4"/>
        <v>1000</v>
      </c>
      <c r="M103" s="1">
        <f t="shared" si="5"/>
        <v>1000</v>
      </c>
    </row>
    <row r="104" spans="1:13" x14ac:dyDescent="0.3">
      <c r="A104" s="1" t="s">
        <v>233</v>
      </c>
      <c r="B104" s="1" t="s">
        <v>11</v>
      </c>
      <c r="C104" s="1" t="s">
        <v>55</v>
      </c>
      <c r="D104" s="1" t="s">
        <v>13</v>
      </c>
      <c r="E104" s="4">
        <v>14</v>
      </c>
      <c r="F104" s="4">
        <v>9</v>
      </c>
      <c r="G104" s="1" t="s">
        <v>25</v>
      </c>
      <c r="H104" s="1" t="s">
        <v>37</v>
      </c>
      <c r="I104" s="5" t="s">
        <v>234</v>
      </c>
      <c r="J104" s="4">
        <v>66</v>
      </c>
      <c r="K104" s="1">
        <f t="shared" si="3"/>
        <v>1000</v>
      </c>
      <c r="L104" s="1">
        <f t="shared" si="4"/>
        <v>1000</v>
      </c>
      <c r="M104" s="1">
        <f t="shared" si="5"/>
        <v>1000</v>
      </c>
    </row>
    <row r="105" spans="1:13" x14ac:dyDescent="0.3">
      <c r="A105" s="1" t="s">
        <v>235</v>
      </c>
      <c r="B105" s="1" t="s">
        <v>11</v>
      </c>
      <c r="C105" s="1" t="s">
        <v>36</v>
      </c>
      <c r="D105" s="1" t="s">
        <v>31</v>
      </c>
      <c r="E105" s="4">
        <v>14</v>
      </c>
      <c r="F105" s="4">
        <v>12</v>
      </c>
      <c r="G105" s="1" t="s">
        <v>43</v>
      </c>
      <c r="H105" s="1" t="s">
        <v>40</v>
      </c>
      <c r="I105" s="5" t="s">
        <v>236</v>
      </c>
      <c r="J105" s="4">
        <v>65</v>
      </c>
      <c r="K105" s="1">
        <f t="shared" si="3"/>
        <v>1800</v>
      </c>
      <c r="L105" s="1">
        <f t="shared" si="4"/>
        <v>1800</v>
      </c>
      <c r="M105" s="1">
        <f t="shared" si="5"/>
        <v>1800</v>
      </c>
    </row>
    <row r="106" spans="1:13" x14ac:dyDescent="0.3">
      <c r="A106" s="1" t="s">
        <v>237</v>
      </c>
      <c r="B106" s="1" t="s">
        <v>23</v>
      </c>
      <c r="C106" s="1" t="s">
        <v>24</v>
      </c>
      <c r="D106" s="1" t="s">
        <v>31</v>
      </c>
      <c r="E106" s="4">
        <v>16</v>
      </c>
      <c r="F106" s="4">
        <v>10</v>
      </c>
      <c r="G106" s="1" t="s">
        <v>43</v>
      </c>
      <c r="H106" s="1" t="s">
        <v>20</v>
      </c>
      <c r="I106" s="5" t="s">
        <v>238</v>
      </c>
      <c r="J106" s="4">
        <v>71</v>
      </c>
      <c r="K106" s="1">
        <f t="shared" si="3"/>
        <v>1200</v>
      </c>
      <c r="L106" s="1">
        <f t="shared" si="4"/>
        <v>1200</v>
      </c>
      <c r="M106" s="1">
        <f t="shared" si="5"/>
        <v>1200</v>
      </c>
    </row>
    <row r="107" spans="1:13" x14ac:dyDescent="0.3">
      <c r="A107" s="1" t="s">
        <v>239</v>
      </c>
      <c r="B107" s="1" t="s">
        <v>68</v>
      </c>
      <c r="C107" s="1" t="s">
        <v>58</v>
      </c>
      <c r="D107" s="1" t="s">
        <v>13</v>
      </c>
      <c r="E107" s="4">
        <v>18</v>
      </c>
      <c r="F107" s="4">
        <v>11</v>
      </c>
      <c r="G107" s="1" t="s">
        <v>25</v>
      </c>
      <c r="H107" s="1" t="s">
        <v>15</v>
      </c>
      <c r="I107" s="5" t="s">
        <v>240</v>
      </c>
      <c r="J107" s="4">
        <v>48</v>
      </c>
      <c r="K107" s="1">
        <f t="shared" si="3"/>
        <v>1500</v>
      </c>
      <c r="L107" s="1">
        <f t="shared" si="4"/>
        <v>1500</v>
      </c>
      <c r="M107" s="1">
        <f t="shared" si="5"/>
        <v>1500</v>
      </c>
    </row>
    <row r="108" spans="1:13" x14ac:dyDescent="0.3">
      <c r="A108" s="1" t="s">
        <v>241</v>
      </c>
      <c r="B108" s="1" t="s">
        <v>54</v>
      </c>
      <c r="C108" s="1" t="s">
        <v>85</v>
      </c>
      <c r="D108" s="1" t="s">
        <v>31</v>
      </c>
      <c r="E108" s="4">
        <v>15</v>
      </c>
      <c r="F108" s="4">
        <v>12</v>
      </c>
      <c r="G108" s="1" t="s">
        <v>14</v>
      </c>
      <c r="H108" s="1" t="s">
        <v>40</v>
      </c>
      <c r="I108" s="5" t="s">
        <v>242</v>
      </c>
      <c r="J108" s="4">
        <v>100</v>
      </c>
      <c r="K108" s="1">
        <f t="shared" si="3"/>
        <v>1800</v>
      </c>
      <c r="L108" s="1">
        <f t="shared" si="4"/>
        <v>1800</v>
      </c>
      <c r="M108" s="1">
        <f t="shared" si="5"/>
        <v>1800</v>
      </c>
    </row>
    <row r="109" spans="1:13" x14ac:dyDescent="0.3">
      <c r="A109" s="1" t="s">
        <v>243</v>
      </c>
      <c r="B109" s="1" t="s">
        <v>23</v>
      </c>
      <c r="C109" s="1" t="s">
        <v>96</v>
      </c>
      <c r="D109" s="1" t="s">
        <v>31</v>
      </c>
      <c r="E109" s="4">
        <v>15</v>
      </c>
      <c r="F109" s="4">
        <v>11</v>
      </c>
      <c r="G109" s="1" t="s">
        <v>25</v>
      </c>
      <c r="H109" s="1" t="s">
        <v>61</v>
      </c>
      <c r="I109" s="5" t="s">
        <v>244</v>
      </c>
      <c r="J109" s="4">
        <v>72</v>
      </c>
      <c r="K109" s="1">
        <f t="shared" si="3"/>
        <v>1500</v>
      </c>
      <c r="L109" s="1">
        <f t="shared" si="4"/>
        <v>1500</v>
      </c>
      <c r="M109" s="1">
        <f t="shared" si="5"/>
        <v>1500</v>
      </c>
    </row>
    <row r="110" spans="1:13" x14ac:dyDescent="0.3">
      <c r="A110" s="1" t="s">
        <v>245</v>
      </c>
      <c r="B110" s="1" t="s">
        <v>54</v>
      </c>
      <c r="C110" s="1" t="s">
        <v>19</v>
      </c>
      <c r="D110" s="1" t="s">
        <v>31</v>
      </c>
      <c r="E110" s="4">
        <v>18</v>
      </c>
      <c r="F110" s="4">
        <v>12</v>
      </c>
      <c r="G110" s="1" t="s">
        <v>32</v>
      </c>
      <c r="H110" s="1" t="s">
        <v>26</v>
      </c>
      <c r="I110" s="5" t="s">
        <v>246</v>
      </c>
      <c r="J110" s="4">
        <v>74</v>
      </c>
      <c r="K110" s="1">
        <f t="shared" si="3"/>
        <v>1800</v>
      </c>
      <c r="L110" s="1">
        <f t="shared" si="4"/>
        <v>1800</v>
      </c>
      <c r="M110" s="1">
        <f t="shared" si="5"/>
        <v>1800</v>
      </c>
    </row>
    <row r="111" spans="1:13" x14ac:dyDescent="0.3">
      <c r="A111" s="1" t="s">
        <v>247</v>
      </c>
      <c r="B111" s="1" t="s">
        <v>29</v>
      </c>
      <c r="C111" s="1" t="s">
        <v>58</v>
      </c>
      <c r="D111" s="1" t="s">
        <v>31</v>
      </c>
      <c r="E111" s="4">
        <v>14</v>
      </c>
      <c r="F111" s="4">
        <v>12</v>
      </c>
      <c r="G111" s="1" t="s">
        <v>14</v>
      </c>
      <c r="H111" s="1" t="s">
        <v>40</v>
      </c>
      <c r="I111" s="5" t="s">
        <v>248</v>
      </c>
      <c r="J111" s="4">
        <v>66</v>
      </c>
      <c r="K111" s="1">
        <f t="shared" si="3"/>
        <v>1800</v>
      </c>
      <c r="L111" s="1">
        <f t="shared" si="4"/>
        <v>1800</v>
      </c>
      <c r="M111" s="1">
        <f t="shared" si="5"/>
        <v>1800</v>
      </c>
    </row>
    <row r="112" spans="1:13" x14ac:dyDescent="0.3">
      <c r="A112" s="1" t="s">
        <v>249</v>
      </c>
      <c r="B112" s="1" t="s">
        <v>68</v>
      </c>
      <c r="C112" s="1" t="s">
        <v>30</v>
      </c>
      <c r="D112" s="1" t="s">
        <v>31</v>
      </c>
      <c r="E112" s="4">
        <v>16</v>
      </c>
      <c r="F112" s="4">
        <v>11</v>
      </c>
      <c r="G112" s="1" t="s">
        <v>32</v>
      </c>
      <c r="H112" s="1" t="s">
        <v>20</v>
      </c>
      <c r="I112" s="5" t="s">
        <v>250</v>
      </c>
      <c r="J112" s="4">
        <v>90</v>
      </c>
      <c r="K112" s="1">
        <f t="shared" si="3"/>
        <v>1500</v>
      </c>
      <c r="L112" s="1">
        <f t="shared" si="4"/>
        <v>1500</v>
      </c>
      <c r="M112" s="1">
        <f t="shared" si="5"/>
        <v>1500</v>
      </c>
    </row>
    <row r="113" spans="1:13" x14ac:dyDescent="0.3">
      <c r="A113" s="1" t="s">
        <v>251</v>
      </c>
      <c r="B113" s="1" t="s">
        <v>23</v>
      </c>
      <c r="C113" s="1" t="s">
        <v>24</v>
      </c>
      <c r="D113" s="1" t="s">
        <v>13</v>
      </c>
      <c r="E113" s="4">
        <v>16</v>
      </c>
      <c r="F113" s="4">
        <v>12</v>
      </c>
      <c r="G113" s="1" t="s">
        <v>43</v>
      </c>
      <c r="H113" s="1" t="s">
        <v>40</v>
      </c>
      <c r="I113" s="5" t="s">
        <v>252</v>
      </c>
      <c r="J113" s="4">
        <v>50</v>
      </c>
      <c r="K113" s="1">
        <f t="shared" si="3"/>
        <v>1800</v>
      </c>
      <c r="L113" s="1">
        <f t="shared" si="4"/>
        <v>1800</v>
      </c>
      <c r="M113" s="1">
        <f t="shared" si="5"/>
        <v>1800</v>
      </c>
    </row>
    <row r="114" spans="1:13" x14ac:dyDescent="0.3">
      <c r="A114" s="1" t="s">
        <v>253</v>
      </c>
      <c r="B114" s="1" t="s">
        <v>18</v>
      </c>
      <c r="C114" s="1" t="s">
        <v>24</v>
      </c>
      <c r="D114" s="1" t="s">
        <v>13</v>
      </c>
      <c r="E114" s="4">
        <v>15</v>
      </c>
      <c r="F114" s="4">
        <v>9</v>
      </c>
      <c r="G114" s="1" t="s">
        <v>25</v>
      </c>
      <c r="H114" s="1" t="s">
        <v>20</v>
      </c>
      <c r="I114" s="5" t="s">
        <v>254</v>
      </c>
      <c r="J114" s="4">
        <v>36</v>
      </c>
      <c r="K114" s="1">
        <f t="shared" si="3"/>
        <v>1000</v>
      </c>
      <c r="L114" s="1">
        <f t="shared" si="4"/>
        <v>1000</v>
      </c>
      <c r="M114" s="1">
        <f t="shared" si="5"/>
        <v>1000</v>
      </c>
    </row>
    <row r="115" spans="1:13" x14ac:dyDescent="0.3">
      <c r="A115" s="1" t="s">
        <v>255</v>
      </c>
      <c r="B115" s="1" t="s">
        <v>51</v>
      </c>
      <c r="C115" s="1" t="s">
        <v>79</v>
      </c>
      <c r="D115" s="1" t="s">
        <v>31</v>
      </c>
      <c r="E115" s="4">
        <v>20</v>
      </c>
      <c r="F115" s="4">
        <v>12</v>
      </c>
      <c r="G115" s="1" t="s">
        <v>43</v>
      </c>
      <c r="H115" s="1" t="s">
        <v>40</v>
      </c>
      <c r="I115" s="5" t="s">
        <v>256</v>
      </c>
      <c r="J115" s="4">
        <v>48</v>
      </c>
      <c r="K115" s="1">
        <f t="shared" si="3"/>
        <v>1800</v>
      </c>
      <c r="L115" s="1">
        <f t="shared" si="4"/>
        <v>1800</v>
      </c>
      <c r="M115" s="1">
        <f t="shared" si="5"/>
        <v>1800</v>
      </c>
    </row>
    <row r="116" spans="1:13" x14ac:dyDescent="0.3">
      <c r="A116" s="1" t="s">
        <v>257</v>
      </c>
      <c r="B116" s="1" t="s">
        <v>68</v>
      </c>
      <c r="C116" s="1" t="s">
        <v>79</v>
      </c>
      <c r="D116" s="1" t="s">
        <v>31</v>
      </c>
      <c r="E116" s="4">
        <v>20</v>
      </c>
      <c r="F116" s="4">
        <v>11</v>
      </c>
      <c r="G116" s="1" t="s">
        <v>43</v>
      </c>
      <c r="H116" s="1" t="s">
        <v>46</v>
      </c>
      <c r="I116" s="5" t="s">
        <v>258</v>
      </c>
      <c r="J116" s="4">
        <v>52</v>
      </c>
      <c r="K116" s="1">
        <f t="shared" si="3"/>
        <v>1500</v>
      </c>
      <c r="L116" s="1">
        <f t="shared" si="4"/>
        <v>1500</v>
      </c>
      <c r="M116" s="1">
        <f t="shared" si="5"/>
        <v>1500</v>
      </c>
    </row>
    <row r="117" spans="1:13" x14ac:dyDescent="0.3">
      <c r="A117" s="1" t="s">
        <v>259</v>
      </c>
      <c r="B117" s="1" t="s">
        <v>54</v>
      </c>
      <c r="C117" s="1" t="s">
        <v>85</v>
      </c>
      <c r="D117" s="1" t="s">
        <v>13</v>
      </c>
      <c r="E117" s="4">
        <v>14</v>
      </c>
      <c r="F117" s="4">
        <v>11</v>
      </c>
      <c r="G117" s="1" t="s">
        <v>43</v>
      </c>
      <c r="H117" s="1" t="s">
        <v>46</v>
      </c>
      <c r="I117" s="5" t="s">
        <v>260</v>
      </c>
      <c r="J117" s="4">
        <v>62</v>
      </c>
      <c r="K117" s="1">
        <f t="shared" si="3"/>
        <v>1500</v>
      </c>
      <c r="L117" s="1">
        <f t="shared" si="4"/>
        <v>1500</v>
      </c>
      <c r="M117" s="1">
        <f t="shared" si="5"/>
        <v>1500</v>
      </c>
    </row>
    <row r="118" spans="1:13" x14ac:dyDescent="0.3">
      <c r="A118" s="1" t="s">
        <v>261</v>
      </c>
      <c r="B118" s="1" t="s">
        <v>23</v>
      </c>
      <c r="C118" s="1" t="s">
        <v>36</v>
      </c>
      <c r="D118" s="1" t="s">
        <v>13</v>
      </c>
      <c r="E118" s="4">
        <v>15</v>
      </c>
      <c r="F118" s="4">
        <v>11</v>
      </c>
      <c r="G118" s="1" t="s">
        <v>25</v>
      </c>
      <c r="H118" s="1" t="s">
        <v>26</v>
      </c>
      <c r="I118" s="5" t="s">
        <v>262</v>
      </c>
      <c r="J118" s="4">
        <v>63</v>
      </c>
      <c r="K118" s="1">
        <f t="shared" si="3"/>
        <v>1500</v>
      </c>
      <c r="L118" s="1">
        <f t="shared" si="4"/>
        <v>1500</v>
      </c>
      <c r="M118" s="1">
        <f t="shared" si="5"/>
        <v>1500</v>
      </c>
    </row>
    <row r="119" spans="1:13" x14ac:dyDescent="0.3">
      <c r="A119" s="1" t="s">
        <v>263</v>
      </c>
      <c r="B119" s="1" t="s">
        <v>29</v>
      </c>
      <c r="C119" s="1" t="s">
        <v>19</v>
      </c>
      <c r="D119" s="1" t="s">
        <v>13</v>
      </c>
      <c r="E119" s="4">
        <v>15</v>
      </c>
      <c r="F119" s="4">
        <v>11</v>
      </c>
      <c r="G119" s="1" t="s">
        <v>25</v>
      </c>
      <c r="H119" s="1" t="s">
        <v>46</v>
      </c>
      <c r="I119" s="5" t="s">
        <v>264</v>
      </c>
      <c r="J119" s="4">
        <v>58</v>
      </c>
      <c r="K119" s="1">
        <f t="shared" si="3"/>
        <v>1500</v>
      </c>
      <c r="L119" s="1">
        <f t="shared" si="4"/>
        <v>1500</v>
      </c>
      <c r="M119" s="1">
        <f t="shared" si="5"/>
        <v>1500</v>
      </c>
    </row>
    <row r="120" spans="1:13" x14ac:dyDescent="0.3">
      <c r="A120" s="1" t="s">
        <v>265</v>
      </c>
      <c r="B120" s="1" t="s">
        <v>11</v>
      </c>
      <c r="C120" s="1" t="s">
        <v>85</v>
      </c>
      <c r="D120" s="1" t="s">
        <v>31</v>
      </c>
      <c r="E120" s="4">
        <v>14</v>
      </c>
      <c r="F120" s="4">
        <v>9</v>
      </c>
      <c r="G120" s="1" t="s">
        <v>43</v>
      </c>
      <c r="H120" s="1" t="s">
        <v>61</v>
      </c>
      <c r="I120" s="5" t="s">
        <v>56</v>
      </c>
      <c r="J120" s="4">
        <v>41</v>
      </c>
      <c r="K120" s="1">
        <f t="shared" si="3"/>
        <v>1000</v>
      </c>
      <c r="L120" s="1">
        <f t="shared" si="4"/>
        <v>1000</v>
      </c>
      <c r="M120" s="1">
        <f t="shared" si="5"/>
        <v>1000</v>
      </c>
    </row>
    <row r="121" spans="1:13" x14ac:dyDescent="0.3">
      <c r="A121" s="1" t="s">
        <v>266</v>
      </c>
      <c r="B121" s="1" t="s">
        <v>54</v>
      </c>
      <c r="C121" s="1" t="s">
        <v>58</v>
      </c>
      <c r="D121" s="1" t="s">
        <v>13</v>
      </c>
      <c r="E121" s="4">
        <v>19</v>
      </c>
      <c r="F121" s="4">
        <v>11</v>
      </c>
      <c r="G121" s="1" t="s">
        <v>14</v>
      </c>
      <c r="H121" s="1" t="s">
        <v>40</v>
      </c>
      <c r="I121" s="5" t="s">
        <v>267</v>
      </c>
      <c r="J121" s="4">
        <v>41</v>
      </c>
      <c r="K121" s="1">
        <f t="shared" si="3"/>
        <v>1500</v>
      </c>
      <c r="L121" s="1">
        <f t="shared" si="4"/>
        <v>1500</v>
      </c>
      <c r="M121" s="1">
        <f t="shared" si="5"/>
        <v>1500</v>
      </c>
    </row>
    <row r="122" spans="1:13" x14ac:dyDescent="0.3">
      <c r="A122" s="1" t="s">
        <v>268</v>
      </c>
      <c r="B122" s="1" t="s">
        <v>68</v>
      </c>
      <c r="C122" s="1" t="s">
        <v>24</v>
      </c>
      <c r="D122" s="1" t="s">
        <v>31</v>
      </c>
      <c r="E122" s="4">
        <v>16</v>
      </c>
      <c r="F122" s="4">
        <v>12</v>
      </c>
      <c r="G122" s="1" t="s">
        <v>43</v>
      </c>
      <c r="H122" s="1" t="s">
        <v>26</v>
      </c>
      <c r="I122" s="5" t="s">
        <v>269</v>
      </c>
      <c r="J122" s="4">
        <v>47</v>
      </c>
      <c r="K122" s="1">
        <f t="shared" si="3"/>
        <v>1800</v>
      </c>
      <c r="L122" s="1">
        <f t="shared" si="4"/>
        <v>1800</v>
      </c>
      <c r="M122" s="1">
        <f t="shared" si="5"/>
        <v>1800</v>
      </c>
    </row>
    <row r="123" spans="1:13" x14ac:dyDescent="0.3">
      <c r="A123" s="1" t="s">
        <v>270</v>
      </c>
      <c r="B123" s="1" t="s">
        <v>73</v>
      </c>
      <c r="C123" s="1" t="s">
        <v>30</v>
      </c>
      <c r="D123" s="1" t="s">
        <v>31</v>
      </c>
      <c r="E123" s="4">
        <v>15</v>
      </c>
      <c r="F123" s="4">
        <v>9</v>
      </c>
      <c r="G123" s="1" t="s">
        <v>43</v>
      </c>
      <c r="H123" s="1" t="s">
        <v>26</v>
      </c>
      <c r="I123" s="5" t="s">
        <v>271</v>
      </c>
      <c r="J123" s="4">
        <v>76</v>
      </c>
      <c r="K123" s="1">
        <f t="shared" si="3"/>
        <v>1000</v>
      </c>
      <c r="L123" s="1">
        <f t="shared" si="4"/>
        <v>1000</v>
      </c>
      <c r="M123" s="1">
        <f t="shared" si="5"/>
        <v>1000</v>
      </c>
    </row>
    <row r="124" spans="1:13" x14ac:dyDescent="0.3">
      <c r="A124" s="1" t="s">
        <v>272</v>
      </c>
      <c r="B124" s="1" t="s">
        <v>54</v>
      </c>
      <c r="C124" s="1" t="s">
        <v>24</v>
      </c>
      <c r="D124" s="1" t="s">
        <v>13</v>
      </c>
      <c r="E124" s="4">
        <v>15</v>
      </c>
      <c r="F124" s="4">
        <v>9</v>
      </c>
      <c r="G124" s="1" t="s">
        <v>43</v>
      </c>
      <c r="H124" s="1" t="s">
        <v>20</v>
      </c>
      <c r="I124" s="5" t="s">
        <v>273</v>
      </c>
      <c r="J124" s="4">
        <v>50</v>
      </c>
      <c r="K124" s="1">
        <f t="shared" si="3"/>
        <v>1000</v>
      </c>
      <c r="L124" s="1">
        <f t="shared" si="4"/>
        <v>1000</v>
      </c>
      <c r="M124" s="1">
        <f t="shared" si="5"/>
        <v>1000</v>
      </c>
    </row>
    <row r="125" spans="1:13" x14ac:dyDescent="0.3">
      <c r="A125" s="1" t="s">
        <v>274</v>
      </c>
      <c r="B125" s="1" t="s">
        <v>35</v>
      </c>
      <c r="C125" s="1" t="s">
        <v>36</v>
      </c>
      <c r="D125" s="1" t="s">
        <v>13</v>
      </c>
      <c r="E125" s="4">
        <v>19</v>
      </c>
      <c r="F125" s="4">
        <v>9</v>
      </c>
      <c r="G125" s="1" t="s">
        <v>32</v>
      </c>
      <c r="H125" s="1" t="s">
        <v>61</v>
      </c>
      <c r="I125" s="5" t="s">
        <v>275</v>
      </c>
      <c r="J125" s="4">
        <v>63</v>
      </c>
      <c r="K125" s="1">
        <f t="shared" si="3"/>
        <v>1000</v>
      </c>
      <c r="L125" s="1">
        <f t="shared" si="4"/>
        <v>1000</v>
      </c>
      <c r="M125" s="1">
        <f t="shared" si="5"/>
        <v>1000</v>
      </c>
    </row>
    <row r="126" spans="1:13" x14ac:dyDescent="0.3">
      <c r="A126" s="1" t="s">
        <v>276</v>
      </c>
      <c r="B126" s="1" t="s">
        <v>84</v>
      </c>
      <c r="C126" s="1" t="s">
        <v>30</v>
      </c>
      <c r="D126" s="1" t="s">
        <v>31</v>
      </c>
      <c r="E126" s="4">
        <v>14</v>
      </c>
      <c r="F126" s="4">
        <v>12</v>
      </c>
      <c r="G126" s="1" t="s">
        <v>14</v>
      </c>
      <c r="H126" s="1" t="s">
        <v>26</v>
      </c>
      <c r="I126" s="5" t="s">
        <v>277</v>
      </c>
      <c r="J126" s="4">
        <v>62</v>
      </c>
      <c r="K126" s="1">
        <f t="shared" si="3"/>
        <v>1800</v>
      </c>
      <c r="L126" s="1">
        <f t="shared" si="4"/>
        <v>1800</v>
      </c>
      <c r="M126" s="1">
        <f t="shared" si="5"/>
        <v>1800</v>
      </c>
    </row>
    <row r="127" spans="1:13" x14ac:dyDescent="0.3">
      <c r="A127" s="1" t="s">
        <v>278</v>
      </c>
      <c r="B127" s="1" t="s">
        <v>73</v>
      </c>
      <c r="C127" s="1" t="s">
        <v>36</v>
      </c>
      <c r="D127" s="1" t="s">
        <v>13</v>
      </c>
      <c r="E127" s="4">
        <v>14</v>
      </c>
      <c r="F127" s="4">
        <v>11</v>
      </c>
      <c r="G127" s="1" t="s">
        <v>32</v>
      </c>
      <c r="H127" s="1" t="s">
        <v>37</v>
      </c>
      <c r="I127" s="5" t="s">
        <v>279</v>
      </c>
      <c r="J127" s="4">
        <v>51</v>
      </c>
      <c r="K127" s="1">
        <f t="shared" si="3"/>
        <v>1500</v>
      </c>
      <c r="L127" s="1">
        <f t="shared" si="4"/>
        <v>1500</v>
      </c>
      <c r="M127" s="1">
        <f t="shared" si="5"/>
        <v>1500</v>
      </c>
    </row>
    <row r="128" spans="1:13" x14ac:dyDescent="0.3">
      <c r="A128" s="1" t="s">
        <v>280</v>
      </c>
      <c r="B128" s="1" t="s">
        <v>84</v>
      </c>
      <c r="C128" s="1" t="s">
        <v>58</v>
      </c>
      <c r="D128" s="1" t="s">
        <v>13</v>
      </c>
      <c r="E128" s="4">
        <v>18</v>
      </c>
      <c r="F128" s="4">
        <v>12</v>
      </c>
      <c r="G128" s="1" t="s">
        <v>32</v>
      </c>
      <c r="H128" s="1" t="s">
        <v>76</v>
      </c>
      <c r="I128" s="5" t="s">
        <v>159</v>
      </c>
      <c r="J128" s="4">
        <v>98</v>
      </c>
      <c r="K128" s="1">
        <f t="shared" si="3"/>
        <v>1800</v>
      </c>
      <c r="L128" s="1">
        <f t="shared" si="4"/>
        <v>1800</v>
      </c>
      <c r="M128" s="1">
        <f t="shared" si="5"/>
        <v>1800</v>
      </c>
    </row>
    <row r="129" spans="1:13" x14ac:dyDescent="0.3">
      <c r="A129" s="1" t="s">
        <v>281</v>
      </c>
      <c r="B129" s="1" t="s">
        <v>51</v>
      </c>
      <c r="C129" s="1" t="s">
        <v>36</v>
      </c>
      <c r="D129" s="1" t="s">
        <v>31</v>
      </c>
      <c r="E129" s="4">
        <v>15</v>
      </c>
      <c r="F129" s="4">
        <v>11</v>
      </c>
      <c r="G129" s="1" t="s">
        <v>43</v>
      </c>
      <c r="H129" s="1" t="s">
        <v>37</v>
      </c>
      <c r="I129" s="5" t="s">
        <v>282</v>
      </c>
      <c r="J129" s="4">
        <v>66</v>
      </c>
      <c r="K129" s="1">
        <f t="shared" si="3"/>
        <v>1500</v>
      </c>
      <c r="L129" s="1">
        <f t="shared" si="4"/>
        <v>1500</v>
      </c>
      <c r="M129" s="1">
        <f t="shared" si="5"/>
        <v>1500</v>
      </c>
    </row>
    <row r="130" spans="1:13" x14ac:dyDescent="0.3">
      <c r="A130" s="1" t="s">
        <v>283</v>
      </c>
      <c r="B130" s="1" t="s">
        <v>68</v>
      </c>
      <c r="C130" s="1" t="s">
        <v>79</v>
      </c>
      <c r="D130" s="1" t="s">
        <v>31</v>
      </c>
      <c r="E130" s="4">
        <v>16</v>
      </c>
      <c r="F130" s="4">
        <v>11</v>
      </c>
      <c r="G130" s="1" t="s">
        <v>32</v>
      </c>
      <c r="H130" s="1" t="s">
        <v>40</v>
      </c>
      <c r="I130" s="5" t="s">
        <v>284</v>
      </c>
      <c r="J130" s="4">
        <v>95</v>
      </c>
      <c r="K130" s="1">
        <f t="shared" si="3"/>
        <v>1500</v>
      </c>
      <c r="L130" s="1">
        <f t="shared" si="4"/>
        <v>1500</v>
      </c>
      <c r="M130" s="1">
        <f t="shared" si="5"/>
        <v>1500</v>
      </c>
    </row>
    <row r="131" spans="1:13" x14ac:dyDescent="0.3">
      <c r="A131" s="1" t="s">
        <v>285</v>
      </c>
      <c r="B131" s="1" t="s">
        <v>18</v>
      </c>
      <c r="C131" s="1" t="s">
        <v>36</v>
      </c>
      <c r="D131" s="1" t="s">
        <v>31</v>
      </c>
      <c r="E131" s="4">
        <v>14</v>
      </c>
      <c r="F131" s="4">
        <v>11</v>
      </c>
      <c r="G131" s="1" t="s">
        <v>25</v>
      </c>
      <c r="H131" s="1" t="s">
        <v>46</v>
      </c>
      <c r="I131" s="5" t="s">
        <v>286</v>
      </c>
      <c r="J131" s="4">
        <v>64</v>
      </c>
      <c r="K131" s="1">
        <f t="shared" si="3"/>
        <v>1500</v>
      </c>
      <c r="L131" s="1">
        <f t="shared" si="4"/>
        <v>1500</v>
      </c>
      <c r="M131" s="1">
        <f t="shared" si="5"/>
        <v>1500</v>
      </c>
    </row>
    <row r="132" spans="1:13" x14ac:dyDescent="0.3">
      <c r="A132" s="1" t="s">
        <v>287</v>
      </c>
      <c r="B132" s="1" t="s">
        <v>54</v>
      </c>
      <c r="C132" s="1" t="s">
        <v>24</v>
      </c>
      <c r="D132" s="1" t="s">
        <v>31</v>
      </c>
      <c r="E132" s="4">
        <v>14</v>
      </c>
      <c r="F132" s="4">
        <v>12</v>
      </c>
      <c r="G132" s="1" t="s">
        <v>32</v>
      </c>
      <c r="H132" s="1" t="s">
        <v>76</v>
      </c>
      <c r="I132" s="5" t="s">
        <v>288</v>
      </c>
      <c r="J132" s="4">
        <v>48</v>
      </c>
      <c r="K132" s="1">
        <f t="shared" si="3"/>
        <v>1800</v>
      </c>
      <c r="L132" s="1">
        <f t="shared" si="4"/>
        <v>1800</v>
      </c>
      <c r="M132" s="1">
        <f t="shared" si="5"/>
        <v>1800</v>
      </c>
    </row>
    <row r="133" spans="1:13" x14ac:dyDescent="0.3">
      <c r="A133" s="1" t="s">
        <v>289</v>
      </c>
      <c r="B133" s="1" t="s">
        <v>23</v>
      </c>
      <c r="C133" s="1" t="s">
        <v>79</v>
      </c>
      <c r="D133" s="1" t="s">
        <v>31</v>
      </c>
      <c r="E133" s="4">
        <v>17</v>
      </c>
      <c r="F133" s="4">
        <v>9</v>
      </c>
      <c r="G133" s="1" t="s">
        <v>25</v>
      </c>
      <c r="H133" s="1" t="s">
        <v>37</v>
      </c>
      <c r="I133" s="5" t="s">
        <v>290</v>
      </c>
      <c r="J133" s="4">
        <v>62</v>
      </c>
      <c r="K133" s="1">
        <f t="shared" si="3"/>
        <v>1000</v>
      </c>
      <c r="L133" s="1">
        <f t="shared" si="4"/>
        <v>1000</v>
      </c>
      <c r="M133" s="1">
        <f t="shared" si="5"/>
        <v>1000</v>
      </c>
    </row>
    <row r="134" spans="1:13" x14ac:dyDescent="0.3">
      <c r="A134" s="1" t="s">
        <v>291</v>
      </c>
      <c r="B134" s="1" t="s">
        <v>11</v>
      </c>
      <c r="C134" s="1" t="s">
        <v>30</v>
      </c>
      <c r="D134" s="1" t="s">
        <v>31</v>
      </c>
      <c r="E134" s="4">
        <v>16</v>
      </c>
      <c r="F134" s="4">
        <v>9</v>
      </c>
      <c r="G134" s="1" t="s">
        <v>25</v>
      </c>
      <c r="H134" s="1" t="s">
        <v>61</v>
      </c>
      <c r="I134" s="5" t="s">
        <v>292</v>
      </c>
      <c r="J134" s="4">
        <v>97</v>
      </c>
      <c r="K134" s="1">
        <f t="shared" si="3"/>
        <v>1000</v>
      </c>
      <c r="L134" s="1">
        <f t="shared" si="4"/>
        <v>1000</v>
      </c>
      <c r="M134" s="1">
        <f t="shared" si="5"/>
        <v>1000</v>
      </c>
    </row>
    <row r="135" spans="1:13" x14ac:dyDescent="0.3">
      <c r="A135" s="1" t="s">
        <v>293</v>
      </c>
      <c r="B135" s="1" t="s">
        <v>73</v>
      </c>
      <c r="C135" s="1" t="s">
        <v>96</v>
      </c>
      <c r="D135" s="1" t="s">
        <v>31</v>
      </c>
      <c r="E135" s="4">
        <v>20</v>
      </c>
      <c r="F135" s="4">
        <v>9</v>
      </c>
      <c r="G135" s="1" t="s">
        <v>43</v>
      </c>
      <c r="H135" s="1" t="s">
        <v>26</v>
      </c>
      <c r="I135" s="5" t="s">
        <v>74</v>
      </c>
      <c r="J135" s="4">
        <v>100</v>
      </c>
      <c r="K135" s="1">
        <f t="shared" si="3"/>
        <v>1000</v>
      </c>
      <c r="L135" s="1">
        <f t="shared" si="4"/>
        <v>1000</v>
      </c>
      <c r="M135" s="1">
        <f t="shared" si="5"/>
        <v>1000</v>
      </c>
    </row>
    <row r="136" spans="1:13" x14ac:dyDescent="0.3">
      <c r="A136" s="1" t="s">
        <v>294</v>
      </c>
      <c r="B136" s="1" t="s">
        <v>35</v>
      </c>
      <c r="C136" s="1" t="s">
        <v>55</v>
      </c>
      <c r="D136" s="1" t="s">
        <v>13</v>
      </c>
      <c r="E136" s="4">
        <v>20</v>
      </c>
      <c r="F136" s="4">
        <v>9</v>
      </c>
      <c r="G136" s="1" t="s">
        <v>25</v>
      </c>
      <c r="H136" s="1" t="s">
        <v>46</v>
      </c>
      <c r="I136" s="5" t="s">
        <v>295</v>
      </c>
      <c r="J136" s="4">
        <v>99</v>
      </c>
      <c r="K136" s="1">
        <f t="shared" si="3"/>
        <v>1000</v>
      </c>
      <c r="L136" s="1">
        <f t="shared" si="4"/>
        <v>1000</v>
      </c>
      <c r="M136" s="1">
        <f t="shared" si="5"/>
        <v>1000</v>
      </c>
    </row>
    <row r="137" spans="1:13" x14ac:dyDescent="0.3">
      <c r="A137" s="1" t="s">
        <v>296</v>
      </c>
      <c r="B137" s="1" t="s">
        <v>84</v>
      </c>
      <c r="C137" s="1" t="s">
        <v>19</v>
      </c>
      <c r="D137" s="1" t="s">
        <v>31</v>
      </c>
      <c r="E137" s="4">
        <v>20</v>
      </c>
      <c r="F137" s="4">
        <v>10</v>
      </c>
      <c r="G137" s="1" t="s">
        <v>43</v>
      </c>
      <c r="H137" s="1" t="s">
        <v>20</v>
      </c>
      <c r="I137" s="5" t="s">
        <v>297</v>
      </c>
      <c r="J137" s="4">
        <v>100</v>
      </c>
      <c r="K137" s="1">
        <f t="shared" ref="K137:K200" si="6">VLOOKUP($F137,$A$1:$B$5,2,0)</f>
        <v>1200</v>
      </c>
      <c r="L137" s="1">
        <f t="shared" ref="L137:L200" si="7">INDEX($B$2:$B$5,MATCH($F137,$A$2:$A$5,0))</f>
        <v>1200</v>
      </c>
      <c r="M137" s="1">
        <f t="shared" ref="M137:M200" si="8">_xlfn.XLOOKUP($F137,$A$2:$A$5,$B$2:$B$5)</f>
        <v>1200</v>
      </c>
    </row>
    <row r="138" spans="1:13" x14ac:dyDescent="0.3">
      <c r="A138" s="1" t="s">
        <v>298</v>
      </c>
      <c r="B138" s="1" t="s">
        <v>29</v>
      </c>
      <c r="C138" s="1" t="s">
        <v>96</v>
      </c>
      <c r="D138" s="1" t="s">
        <v>31</v>
      </c>
      <c r="E138" s="4">
        <v>20</v>
      </c>
      <c r="F138" s="4">
        <v>10</v>
      </c>
      <c r="G138" s="1" t="s">
        <v>32</v>
      </c>
      <c r="H138" s="1" t="s">
        <v>26</v>
      </c>
      <c r="I138" s="5" t="s">
        <v>299</v>
      </c>
      <c r="J138" s="4">
        <v>56</v>
      </c>
      <c r="K138" s="1">
        <f t="shared" si="6"/>
        <v>1200</v>
      </c>
      <c r="L138" s="1">
        <f t="shared" si="7"/>
        <v>1200</v>
      </c>
      <c r="M138" s="1">
        <f t="shared" si="8"/>
        <v>1200</v>
      </c>
    </row>
    <row r="139" spans="1:13" x14ac:dyDescent="0.3">
      <c r="A139" s="1" t="s">
        <v>300</v>
      </c>
      <c r="B139" s="1" t="s">
        <v>11</v>
      </c>
      <c r="C139" s="1" t="s">
        <v>79</v>
      </c>
      <c r="D139" s="1" t="s">
        <v>31</v>
      </c>
      <c r="E139" s="4">
        <v>18</v>
      </c>
      <c r="F139" s="4">
        <v>9</v>
      </c>
      <c r="G139" s="1" t="s">
        <v>14</v>
      </c>
      <c r="H139" s="1" t="s">
        <v>20</v>
      </c>
      <c r="I139" s="5" t="s">
        <v>301</v>
      </c>
      <c r="J139" s="4">
        <v>66</v>
      </c>
      <c r="K139" s="1">
        <f t="shared" si="6"/>
        <v>1000</v>
      </c>
      <c r="L139" s="1">
        <f t="shared" si="7"/>
        <v>1000</v>
      </c>
      <c r="M139" s="1">
        <f t="shared" si="8"/>
        <v>1000</v>
      </c>
    </row>
    <row r="140" spans="1:13" x14ac:dyDescent="0.3">
      <c r="A140" s="1" t="s">
        <v>302</v>
      </c>
      <c r="B140" s="1" t="s">
        <v>29</v>
      </c>
      <c r="C140" s="1" t="s">
        <v>79</v>
      </c>
      <c r="D140" s="1" t="s">
        <v>13</v>
      </c>
      <c r="E140" s="4">
        <v>14</v>
      </c>
      <c r="F140" s="4">
        <v>12</v>
      </c>
      <c r="G140" s="1" t="s">
        <v>14</v>
      </c>
      <c r="H140" s="1" t="s">
        <v>20</v>
      </c>
      <c r="I140" s="5" t="s">
        <v>303</v>
      </c>
      <c r="J140" s="4">
        <v>66</v>
      </c>
      <c r="K140" s="1">
        <f t="shared" si="6"/>
        <v>1800</v>
      </c>
      <c r="L140" s="1">
        <f t="shared" si="7"/>
        <v>1800</v>
      </c>
      <c r="M140" s="1">
        <f t="shared" si="8"/>
        <v>1800</v>
      </c>
    </row>
    <row r="141" spans="1:13" x14ac:dyDescent="0.3">
      <c r="A141" s="1" t="s">
        <v>304</v>
      </c>
      <c r="B141" s="1" t="s">
        <v>51</v>
      </c>
      <c r="C141" s="1" t="s">
        <v>36</v>
      </c>
      <c r="D141" s="1" t="s">
        <v>31</v>
      </c>
      <c r="E141" s="4">
        <v>15</v>
      </c>
      <c r="F141" s="4">
        <v>12</v>
      </c>
      <c r="G141" s="1" t="s">
        <v>32</v>
      </c>
      <c r="H141" s="1" t="s">
        <v>46</v>
      </c>
      <c r="I141" s="5" t="s">
        <v>305</v>
      </c>
      <c r="J141" s="4">
        <v>77</v>
      </c>
      <c r="K141" s="1">
        <f t="shared" si="6"/>
        <v>1800</v>
      </c>
      <c r="L141" s="1">
        <f t="shared" si="7"/>
        <v>1800</v>
      </c>
      <c r="M141" s="1">
        <f t="shared" si="8"/>
        <v>1800</v>
      </c>
    </row>
    <row r="142" spans="1:13" x14ac:dyDescent="0.3">
      <c r="A142" s="1" t="s">
        <v>306</v>
      </c>
      <c r="B142" s="1" t="s">
        <v>23</v>
      </c>
      <c r="C142" s="1" t="s">
        <v>19</v>
      </c>
      <c r="D142" s="1" t="s">
        <v>31</v>
      </c>
      <c r="E142" s="4">
        <v>16</v>
      </c>
      <c r="F142" s="4">
        <v>10</v>
      </c>
      <c r="G142" s="1" t="s">
        <v>43</v>
      </c>
      <c r="H142" s="1" t="s">
        <v>61</v>
      </c>
      <c r="I142" s="5" t="s">
        <v>307</v>
      </c>
      <c r="J142" s="4">
        <v>47</v>
      </c>
      <c r="K142" s="1">
        <f t="shared" si="6"/>
        <v>1200</v>
      </c>
      <c r="L142" s="1">
        <f t="shared" si="7"/>
        <v>1200</v>
      </c>
      <c r="M142" s="1">
        <f t="shared" si="8"/>
        <v>1200</v>
      </c>
    </row>
    <row r="143" spans="1:13" x14ac:dyDescent="0.3">
      <c r="A143" s="1" t="s">
        <v>308</v>
      </c>
      <c r="B143" s="1" t="s">
        <v>23</v>
      </c>
      <c r="C143" s="1" t="s">
        <v>36</v>
      </c>
      <c r="D143" s="1" t="s">
        <v>13</v>
      </c>
      <c r="E143" s="4">
        <v>18</v>
      </c>
      <c r="F143" s="4">
        <v>10</v>
      </c>
      <c r="G143" s="1" t="s">
        <v>43</v>
      </c>
      <c r="H143" s="1" t="s">
        <v>40</v>
      </c>
      <c r="I143" s="5" t="s">
        <v>309</v>
      </c>
      <c r="J143" s="4">
        <v>57</v>
      </c>
      <c r="K143" s="1">
        <f t="shared" si="6"/>
        <v>1200</v>
      </c>
      <c r="L143" s="1">
        <f t="shared" si="7"/>
        <v>1200</v>
      </c>
      <c r="M143" s="1">
        <f t="shared" si="8"/>
        <v>1200</v>
      </c>
    </row>
    <row r="144" spans="1:13" x14ac:dyDescent="0.3">
      <c r="A144" s="1" t="s">
        <v>310</v>
      </c>
      <c r="B144" s="1" t="s">
        <v>29</v>
      </c>
      <c r="C144" s="1" t="s">
        <v>96</v>
      </c>
      <c r="D144" s="1" t="s">
        <v>31</v>
      </c>
      <c r="E144" s="4">
        <v>16</v>
      </c>
      <c r="F144" s="4">
        <v>9</v>
      </c>
      <c r="G144" s="1" t="s">
        <v>32</v>
      </c>
      <c r="H144" s="1" t="s">
        <v>46</v>
      </c>
      <c r="I144" s="5" t="s">
        <v>311</v>
      </c>
      <c r="J144" s="4">
        <v>67</v>
      </c>
      <c r="K144" s="1">
        <f t="shared" si="6"/>
        <v>1000</v>
      </c>
      <c r="L144" s="1">
        <f t="shared" si="7"/>
        <v>1000</v>
      </c>
      <c r="M144" s="1">
        <f t="shared" si="8"/>
        <v>1000</v>
      </c>
    </row>
    <row r="145" spans="1:13" x14ac:dyDescent="0.3">
      <c r="A145" s="1" t="s">
        <v>312</v>
      </c>
      <c r="B145" s="1" t="s">
        <v>29</v>
      </c>
      <c r="C145" s="1" t="s">
        <v>12</v>
      </c>
      <c r="D145" s="1" t="s">
        <v>31</v>
      </c>
      <c r="E145" s="4">
        <v>14</v>
      </c>
      <c r="F145" s="4">
        <v>12</v>
      </c>
      <c r="G145" s="1" t="s">
        <v>43</v>
      </c>
      <c r="H145" s="1" t="s">
        <v>61</v>
      </c>
      <c r="I145" s="5" t="s">
        <v>313</v>
      </c>
      <c r="J145" s="4">
        <v>44</v>
      </c>
      <c r="K145" s="1">
        <f t="shared" si="6"/>
        <v>1800</v>
      </c>
      <c r="L145" s="1">
        <f t="shared" si="7"/>
        <v>1800</v>
      </c>
      <c r="M145" s="1">
        <f t="shared" si="8"/>
        <v>1800</v>
      </c>
    </row>
    <row r="146" spans="1:13" x14ac:dyDescent="0.3">
      <c r="A146" s="1" t="s">
        <v>314</v>
      </c>
      <c r="B146" s="1" t="s">
        <v>68</v>
      </c>
      <c r="C146" s="1" t="s">
        <v>79</v>
      </c>
      <c r="D146" s="1" t="s">
        <v>13</v>
      </c>
      <c r="E146" s="4">
        <v>15</v>
      </c>
      <c r="F146" s="4">
        <v>11</v>
      </c>
      <c r="G146" s="1" t="s">
        <v>14</v>
      </c>
      <c r="H146" s="1" t="s">
        <v>46</v>
      </c>
      <c r="I146" s="5" t="s">
        <v>315</v>
      </c>
      <c r="J146" s="4">
        <v>35</v>
      </c>
      <c r="K146" s="1">
        <f t="shared" si="6"/>
        <v>1500</v>
      </c>
      <c r="L146" s="1">
        <f t="shared" si="7"/>
        <v>1500</v>
      </c>
      <c r="M146" s="1">
        <f t="shared" si="8"/>
        <v>1500</v>
      </c>
    </row>
    <row r="147" spans="1:13" x14ac:dyDescent="0.3">
      <c r="A147" s="1" t="s">
        <v>316</v>
      </c>
      <c r="B147" s="1" t="s">
        <v>23</v>
      </c>
      <c r="C147" s="1" t="s">
        <v>36</v>
      </c>
      <c r="D147" s="1" t="s">
        <v>31</v>
      </c>
      <c r="E147" s="4">
        <v>20</v>
      </c>
      <c r="F147" s="4">
        <v>11</v>
      </c>
      <c r="G147" s="1" t="s">
        <v>14</v>
      </c>
      <c r="H147" s="1" t="s">
        <v>37</v>
      </c>
      <c r="I147" s="5" t="s">
        <v>317</v>
      </c>
      <c r="J147" s="4">
        <v>52</v>
      </c>
      <c r="K147" s="1">
        <f t="shared" si="6"/>
        <v>1500</v>
      </c>
      <c r="L147" s="1">
        <f t="shared" si="7"/>
        <v>1500</v>
      </c>
      <c r="M147" s="1">
        <f t="shared" si="8"/>
        <v>1500</v>
      </c>
    </row>
    <row r="148" spans="1:13" x14ac:dyDescent="0.3">
      <c r="A148" s="1" t="s">
        <v>318</v>
      </c>
      <c r="B148" s="1" t="s">
        <v>54</v>
      </c>
      <c r="C148" s="1" t="s">
        <v>96</v>
      </c>
      <c r="D148" s="1" t="s">
        <v>13</v>
      </c>
      <c r="E148" s="4">
        <v>18</v>
      </c>
      <c r="F148" s="4">
        <v>9</v>
      </c>
      <c r="G148" s="1" t="s">
        <v>32</v>
      </c>
      <c r="H148" s="1" t="s">
        <v>76</v>
      </c>
      <c r="I148" s="5" t="s">
        <v>319</v>
      </c>
      <c r="J148" s="4">
        <v>86</v>
      </c>
      <c r="K148" s="1">
        <f t="shared" si="6"/>
        <v>1000</v>
      </c>
      <c r="L148" s="1">
        <f t="shared" si="7"/>
        <v>1000</v>
      </c>
      <c r="M148" s="1">
        <f t="shared" si="8"/>
        <v>1000</v>
      </c>
    </row>
    <row r="149" spans="1:13" x14ac:dyDescent="0.3">
      <c r="A149" s="1" t="s">
        <v>320</v>
      </c>
      <c r="B149" s="1" t="s">
        <v>84</v>
      </c>
      <c r="C149" s="1" t="s">
        <v>55</v>
      </c>
      <c r="D149" s="1" t="s">
        <v>31</v>
      </c>
      <c r="E149" s="4">
        <v>16</v>
      </c>
      <c r="F149" s="4">
        <v>12</v>
      </c>
      <c r="G149" s="1" t="s">
        <v>32</v>
      </c>
      <c r="H149" s="1" t="s">
        <v>76</v>
      </c>
      <c r="I149" s="5" t="s">
        <v>321</v>
      </c>
      <c r="J149" s="4">
        <v>66</v>
      </c>
      <c r="K149" s="1">
        <f t="shared" si="6"/>
        <v>1800</v>
      </c>
      <c r="L149" s="1">
        <f t="shared" si="7"/>
        <v>1800</v>
      </c>
      <c r="M149" s="1">
        <f t="shared" si="8"/>
        <v>1800</v>
      </c>
    </row>
    <row r="150" spans="1:13" x14ac:dyDescent="0.3">
      <c r="A150" s="1" t="s">
        <v>322</v>
      </c>
      <c r="B150" s="1" t="s">
        <v>35</v>
      </c>
      <c r="C150" s="1" t="s">
        <v>12</v>
      </c>
      <c r="D150" s="1" t="s">
        <v>13</v>
      </c>
      <c r="E150" s="4">
        <v>14</v>
      </c>
      <c r="F150" s="4">
        <v>11</v>
      </c>
      <c r="G150" s="1" t="s">
        <v>14</v>
      </c>
      <c r="H150" s="1" t="s">
        <v>26</v>
      </c>
      <c r="I150" s="5" t="s">
        <v>323</v>
      </c>
      <c r="J150" s="4">
        <v>93</v>
      </c>
      <c r="K150" s="1">
        <f t="shared" si="6"/>
        <v>1500</v>
      </c>
      <c r="L150" s="1">
        <f t="shared" si="7"/>
        <v>1500</v>
      </c>
      <c r="M150" s="1">
        <f t="shared" si="8"/>
        <v>1500</v>
      </c>
    </row>
    <row r="151" spans="1:13" x14ac:dyDescent="0.3">
      <c r="A151" s="1" t="s">
        <v>324</v>
      </c>
      <c r="B151" s="1" t="s">
        <v>23</v>
      </c>
      <c r="C151" s="1" t="s">
        <v>85</v>
      </c>
      <c r="D151" s="1" t="s">
        <v>31</v>
      </c>
      <c r="E151" s="4">
        <v>16</v>
      </c>
      <c r="F151" s="4">
        <v>9</v>
      </c>
      <c r="G151" s="1" t="s">
        <v>32</v>
      </c>
      <c r="H151" s="1" t="s">
        <v>61</v>
      </c>
      <c r="I151" s="5" t="s">
        <v>325</v>
      </c>
      <c r="J151" s="4">
        <v>54</v>
      </c>
      <c r="K151" s="1">
        <f t="shared" si="6"/>
        <v>1000</v>
      </c>
      <c r="L151" s="1">
        <f t="shared" si="7"/>
        <v>1000</v>
      </c>
      <c r="M151" s="1">
        <f t="shared" si="8"/>
        <v>1000</v>
      </c>
    </row>
    <row r="152" spans="1:13" x14ac:dyDescent="0.3">
      <c r="A152" s="1" t="s">
        <v>326</v>
      </c>
      <c r="B152" s="1" t="s">
        <v>54</v>
      </c>
      <c r="C152" s="1" t="s">
        <v>55</v>
      </c>
      <c r="D152" s="1" t="s">
        <v>13</v>
      </c>
      <c r="E152" s="4">
        <v>20</v>
      </c>
      <c r="F152" s="4">
        <v>9</v>
      </c>
      <c r="G152" s="1" t="s">
        <v>32</v>
      </c>
      <c r="H152" s="1" t="s">
        <v>15</v>
      </c>
      <c r="I152" s="5" t="s">
        <v>77</v>
      </c>
      <c r="J152" s="4">
        <v>75</v>
      </c>
      <c r="K152" s="1">
        <f t="shared" si="6"/>
        <v>1000</v>
      </c>
      <c r="L152" s="1">
        <f t="shared" si="7"/>
        <v>1000</v>
      </c>
      <c r="M152" s="1">
        <f t="shared" si="8"/>
        <v>1000</v>
      </c>
    </row>
    <row r="153" spans="1:13" x14ac:dyDescent="0.3">
      <c r="A153" s="1" t="s">
        <v>327</v>
      </c>
      <c r="B153" s="1" t="s">
        <v>73</v>
      </c>
      <c r="C153" s="1" t="s">
        <v>96</v>
      </c>
      <c r="D153" s="1" t="s">
        <v>13</v>
      </c>
      <c r="E153" s="4">
        <v>20</v>
      </c>
      <c r="F153" s="4">
        <v>9</v>
      </c>
      <c r="G153" s="1" t="s">
        <v>32</v>
      </c>
      <c r="H153" s="1" t="s">
        <v>61</v>
      </c>
      <c r="I153" s="5" t="s">
        <v>328</v>
      </c>
      <c r="J153" s="4">
        <v>40</v>
      </c>
      <c r="K153" s="1">
        <f t="shared" si="6"/>
        <v>1000</v>
      </c>
      <c r="L153" s="1">
        <f t="shared" si="7"/>
        <v>1000</v>
      </c>
      <c r="M153" s="1">
        <f t="shared" si="8"/>
        <v>1000</v>
      </c>
    </row>
    <row r="154" spans="1:13" x14ac:dyDescent="0.3">
      <c r="A154" s="1" t="s">
        <v>329</v>
      </c>
      <c r="B154" s="1" t="s">
        <v>11</v>
      </c>
      <c r="C154" s="1" t="s">
        <v>24</v>
      </c>
      <c r="D154" s="1" t="s">
        <v>31</v>
      </c>
      <c r="E154" s="4">
        <v>15</v>
      </c>
      <c r="F154" s="4">
        <v>9</v>
      </c>
      <c r="G154" s="1" t="s">
        <v>43</v>
      </c>
      <c r="H154" s="1" t="s">
        <v>61</v>
      </c>
      <c r="I154" s="5" t="s">
        <v>330</v>
      </c>
      <c r="J154" s="4">
        <v>83</v>
      </c>
      <c r="K154" s="1">
        <f t="shared" si="6"/>
        <v>1000</v>
      </c>
      <c r="L154" s="1">
        <f t="shared" si="7"/>
        <v>1000</v>
      </c>
      <c r="M154" s="1">
        <f t="shared" si="8"/>
        <v>1000</v>
      </c>
    </row>
    <row r="155" spans="1:13" x14ac:dyDescent="0.3">
      <c r="A155" s="1" t="s">
        <v>331</v>
      </c>
      <c r="B155" s="1" t="s">
        <v>73</v>
      </c>
      <c r="C155" s="1" t="s">
        <v>30</v>
      </c>
      <c r="D155" s="1" t="s">
        <v>31</v>
      </c>
      <c r="E155" s="4">
        <v>19</v>
      </c>
      <c r="F155" s="4">
        <v>10</v>
      </c>
      <c r="G155" s="1" t="s">
        <v>43</v>
      </c>
      <c r="H155" s="1" t="s">
        <v>20</v>
      </c>
      <c r="I155" s="5" t="s">
        <v>191</v>
      </c>
      <c r="J155" s="4">
        <v>93</v>
      </c>
      <c r="K155" s="1">
        <f t="shared" si="6"/>
        <v>1200</v>
      </c>
      <c r="L155" s="1">
        <f t="shared" si="7"/>
        <v>1200</v>
      </c>
      <c r="M155" s="1">
        <f t="shared" si="8"/>
        <v>1200</v>
      </c>
    </row>
    <row r="156" spans="1:13" x14ac:dyDescent="0.3">
      <c r="A156" s="1" t="s">
        <v>332</v>
      </c>
      <c r="B156" s="1" t="s">
        <v>29</v>
      </c>
      <c r="C156" s="1" t="s">
        <v>12</v>
      </c>
      <c r="D156" s="1" t="s">
        <v>31</v>
      </c>
      <c r="E156" s="4">
        <v>16</v>
      </c>
      <c r="F156" s="4">
        <v>11</v>
      </c>
      <c r="G156" s="1" t="s">
        <v>32</v>
      </c>
      <c r="H156" s="1" t="s">
        <v>76</v>
      </c>
      <c r="I156" s="5" t="s">
        <v>333</v>
      </c>
      <c r="J156" s="4">
        <v>42</v>
      </c>
      <c r="K156" s="1">
        <f t="shared" si="6"/>
        <v>1500</v>
      </c>
      <c r="L156" s="1">
        <f t="shared" si="7"/>
        <v>1500</v>
      </c>
      <c r="M156" s="1">
        <f t="shared" si="8"/>
        <v>1500</v>
      </c>
    </row>
    <row r="157" spans="1:13" x14ac:dyDescent="0.3">
      <c r="A157" s="1" t="s">
        <v>334</v>
      </c>
      <c r="B157" s="1" t="s">
        <v>73</v>
      </c>
      <c r="C157" s="1" t="s">
        <v>12</v>
      </c>
      <c r="D157" s="1" t="s">
        <v>31</v>
      </c>
      <c r="E157" s="4">
        <v>18</v>
      </c>
      <c r="F157" s="4">
        <v>11</v>
      </c>
      <c r="G157" s="1" t="s">
        <v>32</v>
      </c>
      <c r="H157" s="1" t="s">
        <v>76</v>
      </c>
      <c r="I157" s="5" t="s">
        <v>335</v>
      </c>
      <c r="J157" s="4">
        <v>97</v>
      </c>
      <c r="K157" s="1">
        <f t="shared" si="6"/>
        <v>1500</v>
      </c>
      <c r="L157" s="1">
        <f t="shared" si="7"/>
        <v>1500</v>
      </c>
      <c r="M157" s="1">
        <f t="shared" si="8"/>
        <v>1500</v>
      </c>
    </row>
    <row r="158" spans="1:13" x14ac:dyDescent="0.3">
      <c r="A158" s="1" t="s">
        <v>336</v>
      </c>
      <c r="B158" s="1" t="s">
        <v>11</v>
      </c>
      <c r="C158" s="1" t="s">
        <v>58</v>
      </c>
      <c r="D158" s="1" t="s">
        <v>31</v>
      </c>
      <c r="E158" s="4">
        <v>19</v>
      </c>
      <c r="F158" s="4">
        <v>12</v>
      </c>
      <c r="G158" s="1" t="s">
        <v>25</v>
      </c>
      <c r="H158" s="1" t="s">
        <v>61</v>
      </c>
      <c r="I158" s="5" t="s">
        <v>218</v>
      </c>
      <c r="J158" s="4">
        <v>68</v>
      </c>
      <c r="K158" s="1">
        <f t="shared" si="6"/>
        <v>1800</v>
      </c>
      <c r="L158" s="1">
        <f t="shared" si="7"/>
        <v>1800</v>
      </c>
      <c r="M158" s="1">
        <f t="shared" si="8"/>
        <v>1800</v>
      </c>
    </row>
    <row r="159" spans="1:13" x14ac:dyDescent="0.3">
      <c r="A159" s="1" t="s">
        <v>337</v>
      </c>
      <c r="B159" s="1" t="s">
        <v>23</v>
      </c>
      <c r="C159" s="1" t="s">
        <v>30</v>
      </c>
      <c r="D159" s="1" t="s">
        <v>31</v>
      </c>
      <c r="E159" s="4">
        <v>19</v>
      </c>
      <c r="F159" s="4">
        <v>9</v>
      </c>
      <c r="G159" s="1" t="s">
        <v>32</v>
      </c>
      <c r="H159" s="1" t="s">
        <v>61</v>
      </c>
      <c r="I159" s="5" t="s">
        <v>338</v>
      </c>
      <c r="J159" s="4">
        <v>51</v>
      </c>
      <c r="K159" s="1">
        <f t="shared" si="6"/>
        <v>1000</v>
      </c>
      <c r="L159" s="1">
        <f t="shared" si="7"/>
        <v>1000</v>
      </c>
      <c r="M159" s="1">
        <f t="shared" si="8"/>
        <v>1000</v>
      </c>
    </row>
    <row r="160" spans="1:13" x14ac:dyDescent="0.3">
      <c r="A160" s="1" t="s">
        <v>339</v>
      </c>
      <c r="B160" s="1" t="s">
        <v>23</v>
      </c>
      <c r="C160" s="1" t="s">
        <v>36</v>
      </c>
      <c r="D160" s="1" t="s">
        <v>13</v>
      </c>
      <c r="E160" s="4">
        <v>18</v>
      </c>
      <c r="F160" s="4">
        <v>9</v>
      </c>
      <c r="G160" s="1" t="s">
        <v>32</v>
      </c>
      <c r="H160" s="1" t="s">
        <v>37</v>
      </c>
      <c r="I160" s="5" t="s">
        <v>340</v>
      </c>
      <c r="J160" s="4">
        <v>64</v>
      </c>
      <c r="K160" s="1">
        <f t="shared" si="6"/>
        <v>1000</v>
      </c>
      <c r="L160" s="1">
        <f t="shared" si="7"/>
        <v>1000</v>
      </c>
      <c r="M160" s="1">
        <f t="shared" si="8"/>
        <v>1000</v>
      </c>
    </row>
    <row r="161" spans="1:13" x14ac:dyDescent="0.3">
      <c r="A161" s="1" t="s">
        <v>341</v>
      </c>
      <c r="B161" s="1" t="s">
        <v>54</v>
      </c>
      <c r="C161" s="1" t="s">
        <v>55</v>
      </c>
      <c r="D161" s="1" t="s">
        <v>13</v>
      </c>
      <c r="E161" s="4">
        <v>14</v>
      </c>
      <c r="F161" s="4">
        <v>9</v>
      </c>
      <c r="G161" s="1" t="s">
        <v>25</v>
      </c>
      <c r="H161" s="1" t="s">
        <v>37</v>
      </c>
      <c r="I161" s="5" t="s">
        <v>342</v>
      </c>
      <c r="J161" s="4">
        <v>82</v>
      </c>
      <c r="K161" s="1">
        <f t="shared" si="6"/>
        <v>1000</v>
      </c>
      <c r="L161" s="1">
        <f t="shared" si="7"/>
        <v>1000</v>
      </c>
      <c r="M161" s="1">
        <f t="shared" si="8"/>
        <v>1000</v>
      </c>
    </row>
    <row r="162" spans="1:13" x14ac:dyDescent="0.3">
      <c r="A162" s="1" t="s">
        <v>343</v>
      </c>
      <c r="B162" s="1" t="s">
        <v>68</v>
      </c>
      <c r="C162" s="1" t="s">
        <v>79</v>
      </c>
      <c r="D162" s="1" t="s">
        <v>13</v>
      </c>
      <c r="E162" s="4">
        <v>19</v>
      </c>
      <c r="F162" s="4">
        <v>11</v>
      </c>
      <c r="G162" s="1" t="s">
        <v>14</v>
      </c>
      <c r="H162" s="1" t="s">
        <v>40</v>
      </c>
      <c r="I162" s="5" t="s">
        <v>344</v>
      </c>
      <c r="J162" s="4">
        <v>35</v>
      </c>
      <c r="K162" s="1">
        <f t="shared" si="6"/>
        <v>1500</v>
      </c>
      <c r="L162" s="1">
        <f t="shared" si="7"/>
        <v>1500</v>
      </c>
      <c r="M162" s="1">
        <f t="shared" si="8"/>
        <v>1500</v>
      </c>
    </row>
    <row r="163" spans="1:13" x14ac:dyDescent="0.3">
      <c r="A163" s="1" t="s">
        <v>345</v>
      </c>
      <c r="B163" s="1" t="s">
        <v>29</v>
      </c>
      <c r="C163" s="1" t="s">
        <v>24</v>
      </c>
      <c r="D163" s="1" t="s">
        <v>31</v>
      </c>
      <c r="E163" s="4">
        <v>15</v>
      </c>
      <c r="F163" s="4">
        <v>9</v>
      </c>
      <c r="G163" s="1" t="s">
        <v>14</v>
      </c>
      <c r="H163" s="1" t="s">
        <v>26</v>
      </c>
      <c r="I163" s="5" t="s">
        <v>346</v>
      </c>
      <c r="J163" s="4">
        <v>49</v>
      </c>
      <c r="K163" s="1">
        <f t="shared" si="6"/>
        <v>1000</v>
      </c>
      <c r="L163" s="1">
        <f t="shared" si="7"/>
        <v>1000</v>
      </c>
      <c r="M163" s="1">
        <f t="shared" si="8"/>
        <v>1000</v>
      </c>
    </row>
    <row r="164" spans="1:13" x14ac:dyDescent="0.3">
      <c r="A164" s="1" t="s">
        <v>347</v>
      </c>
      <c r="B164" s="1" t="s">
        <v>23</v>
      </c>
      <c r="C164" s="1" t="s">
        <v>85</v>
      </c>
      <c r="D164" s="1" t="s">
        <v>31</v>
      </c>
      <c r="E164" s="4">
        <v>15</v>
      </c>
      <c r="F164" s="4">
        <v>11</v>
      </c>
      <c r="G164" s="1" t="s">
        <v>32</v>
      </c>
      <c r="H164" s="1" t="s">
        <v>26</v>
      </c>
      <c r="I164" s="5" t="s">
        <v>348</v>
      </c>
      <c r="J164" s="4">
        <v>37</v>
      </c>
      <c r="K164" s="1">
        <f t="shared" si="6"/>
        <v>1500</v>
      </c>
      <c r="L164" s="1">
        <f t="shared" si="7"/>
        <v>1500</v>
      </c>
      <c r="M164" s="1">
        <f t="shared" si="8"/>
        <v>1500</v>
      </c>
    </row>
    <row r="165" spans="1:13" x14ac:dyDescent="0.3">
      <c r="A165" s="1" t="s">
        <v>349</v>
      </c>
      <c r="B165" s="1" t="s">
        <v>35</v>
      </c>
      <c r="C165" s="1" t="s">
        <v>30</v>
      </c>
      <c r="D165" s="1" t="s">
        <v>31</v>
      </c>
      <c r="E165" s="4">
        <v>18</v>
      </c>
      <c r="F165" s="4">
        <v>12</v>
      </c>
      <c r="G165" s="1" t="s">
        <v>43</v>
      </c>
      <c r="H165" s="1" t="s">
        <v>37</v>
      </c>
      <c r="I165" s="5" t="s">
        <v>350</v>
      </c>
      <c r="J165" s="4">
        <v>53</v>
      </c>
      <c r="K165" s="1">
        <f t="shared" si="6"/>
        <v>1800</v>
      </c>
      <c r="L165" s="1">
        <f t="shared" si="7"/>
        <v>1800</v>
      </c>
      <c r="M165" s="1">
        <f t="shared" si="8"/>
        <v>1800</v>
      </c>
    </row>
    <row r="166" spans="1:13" x14ac:dyDescent="0.3">
      <c r="A166" s="1" t="s">
        <v>351</v>
      </c>
      <c r="B166" s="1" t="s">
        <v>68</v>
      </c>
      <c r="C166" s="1" t="s">
        <v>96</v>
      </c>
      <c r="D166" s="1" t="s">
        <v>13</v>
      </c>
      <c r="E166" s="4">
        <v>15</v>
      </c>
      <c r="F166" s="4">
        <v>10</v>
      </c>
      <c r="G166" s="1" t="s">
        <v>25</v>
      </c>
      <c r="H166" s="1" t="s">
        <v>20</v>
      </c>
      <c r="I166" s="5" t="s">
        <v>352</v>
      </c>
      <c r="J166" s="4">
        <v>50</v>
      </c>
      <c r="K166" s="1">
        <f t="shared" si="6"/>
        <v>1200</v>
      </c>
      <c r="L166" s="1">
        <f t="shared" si="7"/>
        <v>1200</v>
      </c>
      <c r="M166" s="1">
        <f t="shared" si="8"/>
        <v>1200</v>
      </c>
    </row>
    <row r="167" spans="1:13" x14ac:dyDescent="0.3">
      <c r="A167" s="1" t="s">
        <v>353</v>
      </c>
      <c r="B167" s="1" t="s">
        <v>51</v>
      </c>
      <c r="C167" s="1" t="s">
        <v>55</v>
      </c>
      <c r="D167" s="1" t="s">
        <v>31</v>
      </c>
      <c r="E167" s="4">
        <v>20</v>
      </c>
      <c r="F167" s="4">
        <v>9</v>
      </c>
      <c r="G167" s="1" t="s">
        <v>25</v>
      </c>
      <c r="H167" s="1" t="s">
        <v>46</v>
      </c>
      <c r="I167" s="5" t="s">
        <v>354</v>
      </c>
      <c r="J167" s="4">
        <v>53</v>
      </c>
      <c r="K167" s="1">
        <f t="shared" si="6"/>
        <v>1000</v>
      </c>
      <c r="L167" s="1">
        <f t="shared" si="7"/>
        <v>1000</v>
      </c>
      <c r="M167" s="1">
        <f t="shared" si="8"/>
        <v>1000</v>
      </c>
    </row>
    <row r="168" spans="1:13" x14ac:dyDescent="0.3">
      <c r="A168" s="1" t="s">
        <v>355</v>
      </c>
      <c r="B168" s="1" t="s">
        <v>68</v>
      </c>
      <c r="C168" s="1" t="s">
        <v>79</v>
      </c>
      <c r="D168" s="1" t="s">
        <v>13</v>
      </c>
      <c r="E168" s="4">
        <v>15</v>
      </c>
      <c r="F168" s="4">
        <v>12</v>
      </c>
      <c r="G168" s="1" t="s">
        <v>14</v>
      </c>
      <c r="H168" s="1" t="s">
        <v>20</v>
      </c>
      <c r="I168" s="5" t="s">
        <v>356</v>
      </c>
      <c r="J168" s="4">
        <v>37</v>
      </c>
      <c r="K168" s="1">
        <f t="shared" si="6"/>
        <v>1800</v>
      </c>
      <c r="L168" s="1">
        <f t="shared" si="7"/>
        <v>1800</v>
      </c>
      <c r="M168" s="1">
        <f t="shared" si="8"/>
        <v>1800</v>
      </c>
    </row>
    <row r="169" spans="1:13" x14ac:dyDescent="0.3">
      <c r="A169" s="1" t="s">
        <v>357</v>
      </c>
      <c r="B169" s="1" t="s">
        <v>23</v>
      </c>
      <c r="C169" s="1" t="s">
        <v>24</v>
      </c>
      <c r="D169" s="1" t="s">
        <v>13</v>
      </c>
      <c r="E169" s="4">
        <v>16</v>
      </c>
      <c r="F169" s="4">
        <v>9</v>
      </c>
      <c r="G169" s="1" t="s">
        <v>25</v>
      </c>
      <c r="H169" s="1" t="s">
        <v>20</v>
      </c>
      <c r="I169" s="5" t="s">
        <v>358</v>
      </c>
      <c r="J169" s="4">
        <v>66</v>
      </c>
      <c r="K169" s="1">
        <f t="shared" si="6"/>
        <v>1000</v>
      </c>
      <c r="L169" s="1">
        <f t="shared" si="7"/>
        <v>1000</v>
      </c>
      <c r="M169" s="1">
        <f t="shared" si="8"/>
        <v>1000</v>
      </c>
    </row>
    <row r="170" spans="1:13" x14ac:dyDescent="0.3">
      <c r="A170" s="1" t="s">
        <v>359</v>
      </c>
      <c r="B170" s="1" t="s">
        <v>68</v>
      </c>
      <c r="C170" s="1" t="s">
        <v>85</v>
      </c>
      <c r="D170" s="1" t="s">
        <v>13</v>
      </c>
      <c r="E170" s="4">
        <v>19</v>
      </c>
      <c r="F170" s="4">
        <v>11</v>
      </c>
      <c r="G170" s="1" t="s">
        <v>43</v>
      </c>
      <c r="H170" s="1" t="s">
        <v>76</v>
      </c>
      <c r="I170" s="5" t="s">
        <v>360</v>
      </c>
      <c r="J170" s="4">
        <v>64</v>
      </c>
      <c r="K170" s="1">
        <f t="shared" si="6"/>
        <v>1500</v>
      </c>
      <c r="L170" s="1">
        <f t="shared" si="7"/>
        <v>1500</v>
      </c>
      <c r="M170" s="1">
        <f t="shared" si="8"/>
        <v>1500</v>
      </c>
    </row>
    <row r="171" spans="1:13" x14ac:dyDescent="0.3">
      <c r="A171" s="1" t="s">
        <v>361</v>
      </c>
      <c r="B171" s="1" t="s">
        <v>11</v>
      </c>
      <c r="C171" s="1" t="s">
        <v>30</v>
      </c>
      <c r="D171" s="1" t="s">
        <v>13</v>
      </c>
      <c r="E171" s="4">
        <v>20</v>
      </c>
      <c r="F171" s="4">
        <v>10</v>
      </c>
      <c r="G171" s="1" t="s">
        <v>32</v>
      </c>
      <c r="H171" s="1" t="s">
        <v>15</v>
      </c>
      <c r="I171" s="5" t="s">
        <v>362</v>
      </c>
      <c r="J171" s="4">
        <v>49</v>
      </c>
      <c r="K171" s="1">
        <f t="shared" si="6"/>
        <v>1200</v>
      </c>
      <c r="L171" s="1">
        <f t="shared" si="7"/>
        <v>1200</v>
      </c>
      <c r="M171" s="1">
        <f t="shared" si="8"/>
        <v>1200</v>
      </c>
    </row>
    <row r="172" spans="1:13" x14ac:dyDescent="0.3">
      <c r="A172" s="1" t="s">
        <v>363</v>
      </c>
      <c r="B172" s="1" t="s">
        <v>11</v>
      </c>
      <c r="C172" s="1" t="s">
        <v>85</v>
      </c>
      <c r="D172" s="1" t="s">
        <v>31</v>
      </c>
      <c r="E172" s="4">
        <v>15</v>
      </c>
      <c r="F172" s="4">
        <v>10</v>
      </c>
      <c r="G172" s="1" t="s">
        <v>14</v>
      </c>
      <c r="H172" s="1" t="s">
        <v>37</v>
      </c>
      <c r="I172" s="5" t="s">
        <v>364</v>
      </c>
      <c r="J172" s="4">
        <v>71</v>
      </c>
      <c r="K172" s="1">
        <f t="shared" si="6"/>
        <v>1200</v>
      </c>
      <c r="L172" s="1">
        <f t="shared" si="7"/>
        <v>1200</v>
      </c>
      <c r="M172" s="1">
        <f t="shared" si="8"/>
        <v>1200</v>
      </c>
    </row>
    <row r="173" spans="1:13" x14ac:dyDescent="0.3">
      <c r="A173" s="1" t="s">
        <v>365</v>
      </c>
      <c r="B173" s="1" t="s">
        <v>11</v>
      </c>
      <c r="C173" s="1" t="s">
        <v>55</v>
      </c>
      <c r="D173" s="1" t="s">
        <v>13</v>
      </c>
      <c r="E173" s="4">
        <v>16</v>
      </c>
      <c r="F173" s="4">
        <v>10</v>
      </c>
      <c r="G173" s="1" t="s">
        <v>32</v>
      </c>
      <c r="H173" s="1" t="s">
        <v>15</v>
      </c>
      <c r="I173" s="5" t="s">
        <v>366</v>
      </c>
      <c r="J173" s="4">
        <v>72</v>
      </c>
      <c r="K173" s="1">
        <f t="shared" si="6"/>
        <v>1200</v>
      </c>
      <c r="L173" s="1">
        <f t="shared" si="7"/>
        <v>1200</v>
      </c>
      <c r="M173" s="1">
        <f t="shared" si="8"/>
        <v>1200</v>
      </c>
    </row>
    <row r="174" spans="1:13" x14ac:dyDescent="0.3">
      <c r="A174" s="1" t="s">
        <v>367</v>
      </c>
      <c r="B174" s="1" t="s">
        <v>35</v>
      </c>
      <c r="C174" s="1" t="s">
        <v>12</v>
      </c>
      <c r="D174" s="1" t="s">
        <v>31</v>
      </c>
      <c r="E174" s="4">
        <v>15</v>
      </c>
      <c r="F174" s="4">
        <v>10</v>
      </c>
      <c r="G174" s="1" t="s">
        <v>32</v>
      </c>
      <c r="H174" s="1" t="s">
        <v>20</v>
      </c>
      <c r="I174" s="5" t="s">
        <v>368</v>
      </c>
      <c r="J174" s="4">
        <v>99</v>
      </c>
      <c r="K174" s="1">
        <f t="shared" si="6"/>
        <v>1200</v>
      </c>
      <c r="L174" s="1">
        <f t="shared" si="7"/>
        <v>1200</v>
      </c>
      <c r="M174" s="1">
        <f t="shared" si="8"/>
        <v>1200</v>
      </c>
    </row>
    <row r="175" spans="1:13" x14ac:dyDescent="0.3">
      <c r="A175" s="1" t="s">
        <v>369</v>
      </c>
      <c r="B175" s="1" t="s">
        <v>23</v>
      </c>
      <c r="C175" s="1" t="s">
        <v>24</v>
      </c>
      <c r="D175" s="1" t="s">
        <v>31</v>
      </c>
      <c r="E175" s="4">
        <v>17</v>
      </c>
      <c r="F175" s="4">
        <v>12</v>
      </c>
      <c r="G175" s="1" t="s">
        <v>43</v>
      </c>
      <c r="H175" s="1" t="s">
        <v>61</v>
      </c>
      <c r="I175" s="5" t="s">
        <v>370</v>
      </c>
      <c r="J175" s="4">
        <v>96</v>
      </c>
      <c r="K175" s="1">
        <f t="shared" si="6"/>
        <v>1800</v>
      </c>
      <c r="L175" s="1">
        <f t="shared" si="7"/>
        <v>1800</v>
      </c>
      <c r="M175" s="1">
        <f t="shared" si="8"/>
        <v>1800</v>
      </c>
    </row>
    <row r="176" spans="1:13" x14ac:dyDescent="0.3">
      <c r="A176" s="1" t="s">
        <v>371</v>
      </c>
      <c r="B176" s="1" t="s">
        <v>35</v>
      </c>
      <c r="C176" s="1" t="s">
        <v>58</v>
      </c>
      <c r="D176" s="1" t="s">
        <v>31</v>
      </c>
      <c r="E176" s="4">
        <v>19</v>
      </c>
      <c r="F176" s="4">
        <v>9</v>
      </c>
      <c r="G176" s="1" t="s">
        <v>14</v>
      </c>
      <c r="H176" s="1" t="s">
        <v>20</v>
      </c>
      <c r="I176" s="5" t="s">
        <v>372</v>
      </c>
      <c r="J176" s="4">
        <v>87</v>
      </c>
      <c r="K176" s="1">
        <f t="shared" si="6"/>
        <v>1000</v>
      </c>
      <c r="L176" s="1">
        <f t="shared" si="7"/>
        <v>1000</v>
      </c>
      <c r="M176" s="1">
        <f t="shared" si="8"/>
        <v>1000</v>
      </c>
    </row>
    <row r="177" spans="1:13" x14ac:dyDescent="0.3">
      <c r="A177" s="1" t="s">
        <v>373</v>
      </c>
      <c r="B177" s="1" t="s">
        <v>51</v>
      </c>
      <c r="C177" s="1" t="s">
        <v>19</v>
      </c>
      <c r="D177" s="1" t="s">
        <v>13</v>
      </c>
      <c r="E177" s="4">
        <v>15</v>
      </c>
      <c r="F177" s="4">
        <v>11</v>
      </c>
      <c r="G177" s="1" t="s">
        <v>14</v>
      </c>
      <c r="H177" s="1" t="s">
        <v>61</v>
      </c>
      <c r="I177" s="5" t="s">
        <v>374</v>
      </c>
      <c r="J177" s="4">
        <v>78</v>
      </c>
      <c r="K177" s="1">
        <f t="shared" si="6"/>
        <v>1500</v>
      </c>
      <c r="L177" s="1">
        <f t="shared" si="7"/>
        <v>1500</v>
      </c>
      <c r="M177" s="1">
        <f t="shared" si="8"/>
        <v>1500</v>
      </c>
    </row>
    <row r="178" spans="1:13" x14ac:dyDescent="0.3">
      <c r="A178" s="1" t="s">
        <v>375</v>
      </c>
      <c r="B178" s="1" t="s">
        <v>35</v>
      </c>
      <c r="C178" s="1" t="s">
        <v>36</v>
      </c>
      <c r="D178" s="1" t="s">
        <v>13</v>
      </c>
      <c r="E178" s="4">
        <v>18</v>
      </c>
      <c r="F178" s="4">
        <v>11</v>
      </c>
      <c r="G178" s="1" t="s">
        <v>25</v>
      </c>
      <c r="H178" s="1" t="s">
        <v>40</v>
      </c>
      <c r="I178" s="5" t="s">
        <v>376</v>
      </c>
      <c r="J178" s="4">
        <v>62</v>
      </c>
      <c r="K178" s="1">
        <f t="shared" si="6"/>
        <v>1500</v>
      </c>
      <c r="L178" s="1">
        <f t="shared" si="7"/>
        <v>1500</v>
      </c>
      <c r="M178" s="1">
        <f t="shared" si="8"/>
        <v>1500</v>
      </c>
    </row>
    <row r="179" spans="1:13" x14ac:dyDescent="0.3">
      <c r="A179" s="1" t="s">
        <v>377</v>
      </c>
      <c r="B179" s="1" t="s">
        <v>35</v>
      </c>
      <c r="C179" s="1" t="s">
        <v>30</v>
      </c>
      <c r="D179" s="1" t="s">
        <v>13</v>
      </c>
      <c r="E179" s="4">
        <v>20</v>
      </c>
      <c r="F179" s="4">
        <v>11</v>
      </c>
      <c r="G179" s="1" t="s">
        <v>32</v>
      </c>
      <c r="H179" s="1" t="s">
        <v>37</v>
      </c>
      <c r="I179" s="5" t="s">
        <v>189</v>
      </c>
      <c r="J179" s="4">
        <v>79</v>
      </c>
      <c r="K179" s="1">
        <f t="shared" si="6"/>
        <v>1500</v>
      </c>
      <c r="L179" s="1">
        <f t="shared" si="7"/>
        <v>1500</v>
      </c>
      <c r="M179" s="1">
        <f t="shared" si="8"/>
        <v>1500</v>
      </c>
    </row>
    <row r="180" spans="1:13" x14ac:dyDescent="0.3">
      <c r="A180" s="1" t="s">
        <v>378</v>
      </c>
      <c r="B180" s="1" t="s">
        <v>18</v>
      </c>
      <c r="C180" s="1" t="s">
        <v>55</v>
      </c>
      <c r="D180" s="1" t="s">
        <v>31</v>
      </c>
      <c r="E180" s="4">
        <v>17</v>
      </c>
      <c r="F180" s="4">
        <v>9</v>
      </c>
      <c r="G180" s="1" t="s">
        <v>32</v>
      </c>
      <c r="H180" s="1" t="s">
        <v>26</v>
      </c>
      <c r="I180" s="5" t="s">
        <v>379</v>
      </c>
      <c r="J180" s="4">
        <v>66</v>
      </c>
      <c r="K180" s="1">
        <f t="shared" si="6"/>
        <v>1000</v>
      </c>
      <c r="L180" s="1">
        <f t="shared" si="7"/>
        <v>1000</v>
      </c>
      <c r="M180" s="1">
        <f t="shared" si="8"/>
        <v>1000</v>
      </c>
    </row>
    <row r="181" spans="1:13" x14ac:dyDescent="0.3">
      <c r="A181" s="1" t="s">
        <v>380</v>
      </c>
      <c r="B181" s="1" t="s">
        <v>11</v>
      </c>
      <c r="C181" s="1" t="s">
        <v>24</v>
      </c>
      <c r="D181" s="1" t="s">
        <v>31</v>
      </c>
      <c r="E181" s="4">
        <v>18</v>
      </c>
      <c r="F181" s="4">
        <v>11</v>
      </c>
      <c r="G181" s="1" t="s">
        <v>32</v>
      </c>
      <c r="H181" s="1" t="s">
        <v>61</v>
      </c>
      <c r="I181" s="5" t="s">
        <v>381</v>
      </c>
      <c r="J181" s="4">
        <v>67</v>
      </c>
      <c r="K181" s="1">
        <f t="shared" si="6"/>
        <v>1500</v>
      </c>
      <c r="L181" s="1">
        <f t="shared" si="7"/>
        <v>1500</v>
      </c>
      <c r="M181" s="1">
        <f t="shared" si="8"/>
        <v>1500</v>
      </c>
    </row>
    <row r="182" spans="1:13" x14ac:dyDescent="0.3">
      <c r="A182" s="1" t="s">
        <v>382</v>
      </c>
      <c r="B182" s="1" t="s">
        <v>51</v>
      </c>
      <c r="C182" s="1" t="s">
        <v>85</v>
      </c>
      <c r="D182" s="1" t="s">
        <v>13</v>
      </c>
      <c r="E182" s="4">
        <v>16</v>
      </c>
      <c r="F182" s="4">
        <v>10</v>
      </c>
      <c r="G182" s="1" t="s">
        <v>43</v>
      </c>
      <c r="H182" s="1" t="s">
        <v>61</v>
      </c>
      <c r="I182" s="5" t="s">
        <v>383</v>
      </c>
      <c r="J182" s="4">
        <v>72</v>
      </c>
      <c r="K182" s="1">
        <f t="shared" si="6"/>
        <v>1200</v>
      </c>
      <c r="L182" s="1">
        <f t="shared" si="7"/>
        <v>1200</v>
      </c>
      <c r="M182" s="1">
        <f t="shared" si="8"/>
        <v>1200</v>
      </c>
    </row>
    <row r="183" spans="1:13" x14ac:dyDescent="0.3">
      <c r="A183" s="1" t="s">
        <v>384</v>
      </c>
      <c r="B183" s="1" t="s">
        <v>54</v>
      </c>
      <c r="C183" s="1" t="s">
        <v>19</v>
      </c>
      <c r="D183" s="1" t="s">
        <v>31</v>
      </c>
      <c r="E183" s="4">
        <v>16</v>
      </c>
      <c r="F183" s="4">
        <v>12</v>
      </c>
      <c r="G183" s="1" t="s">
        <v>25</v>
      </c>
      <c r="H183" s="1" t="s">
        <v>20</v>
      </c>
      <c r="I183" s="5" t="s">
        <v>385</v>
      </c>
      <c r="J183" s="4">
        <v>39</v>
      </c>
      <c r="K183" s="1">
        <f t="shared" si="6"/>
        <v>1800</v>
      </c>
      <c r="L183" s="1">
        <f t="shared" si="7"/>
        <v>1800</v>
      </c>
      <c r="M183" s="1">
        <f t="shared" si="8"/>
        <v>1800</v>
      </c>
    </row>
    <row r="184" spans="1:13" x14ac:dyDescent="0.3">
      <c r="A184" s="1" t="s">
        <v>386</v>
      </c>
      <c r="B184" s="1" t="s">
        <v>68</v>
      </c>
      <c r="C184" s="1" t="s">
        <v>96</v>
      </c>
      <c r="D184" s="1" t="s">
        <v>13</v>
      </c>
      <c r="E184" s="4">
        <v>18</v>
      </c>
      <c r="F184" s="4">
        <v>9</v>
      </c>
      <c r="G184" s="1" t="s">
        <v>25</v>
      </c>
      <c r="H184" s="1" t="s">
        <v>46</v>
      </c>
      <c r="I184" s="5" t="s">
        <v>387</v>
      </c>
      <c r="J184" s="4">
        <v>74</v>
      </c>
      <c r="K184" s="1">
        <f t="shared" si="6"/>
        <v>1000</v>
      </c>
      <c r="L184" s="1">
        <f t="shared" si="7"/>
        <v>1000</v>
      </c>
      <c r="M184" s="1">
        <f t="shared" si="8"/>
        <v>1000</v>
      </c>
    </row>
    <row r="185" spans="1:13" x14ac:dyDescent="0.3">
      <c r="A185" s="1" t="s">
        <v>388</v>
      </c>
      <c r="B185" s="1" t="s">
        <v>73</v>
      </c>
      <c r="C185" s="1" t="s">
        <v>12</v>
      </c>
      <c r="D185" s="1" t="s">
        <v>31</v>
      </c>
      <c r="E185" s="4">
        <v>19</v>
      </c>
      <c r="F185" s="4">
        <v>11</v>
      </c>
      <c r="G185" s="1" t="s">
        <v>43</v>
      </c>
      <c r="H185" s="1" t="s">
        <v>61</v>
      </c>
      <c r="I185" s="5" t="s">
        <v>214</v>
      </c>
      <c r="J185" s="4">
        <v>88</v>
      </c>
      <c r="K185" s="1">
        <f t="shared" si="6"/>
        <v>1500</v>
      </c>
      <c r="L185" s="1">
        <f t="shared" si="7"/>
        <v>1500</v>
      </c>
      <c r="M185" s="1">
        <f t="shared" si="8"/>
        <v>1500</v>
      </c>
    </row>
    <row r="186" spans="1:13" x14ac:dyDescent="0.3">
      <c r="A186" s="1" t="s">
        <v>389</v>
      </c>
      <c r="B186" s="1" t="s">
        <v>54</v>
      </c>
      <c r="C186" s="1" t="s">
        <v>58</v>
      </c>
      <c r="D186" s="1" t="s">
        <v>31</v>
      </c>
      <c r="E186" s="4">
        <v>14</v>
      </c>
      <c r="F186" s="4">
        <v>11</v>
      </c>
      <c r="G186" s="1" t="s">
        <v>32</v>
      </c>
      <c r="H186" s="1" t="s">
        <v>76</v>
      </c>
      <c r="I186" s="5" t="s">
        <v>390</v>
      </c>
      <c r="J186" s="4">
        <v>54</v>
      </c>
      <c r="K186" s="1">
        <f t="shared" si="6"/>
        <v>1500</v>
      </c>
      <c r="L186" s="1">
        <f t="shared" si="7"/>
        <v>1500</v>
      </c>
      <c r="M186" s="1">
        <f t="shared" si="8"/>
        <v>1500</v>
      </c>
    </row>
    <row r="187" spans="1:13" x14ac:dyDescent="0.3">
      <c r="A187" s="1" t="s">
        <v>391</v>
      </c>
      <c r="B187" s="1" t="s">
        <v>68</v>
      </c>
      <c r="C187" s="1" t="s">
        <v>19</v>
      </c>
      <c r="D187" s="1" t="s">
        <v>13</v>
      </c>
      <c r="E187" s="4">
        <v>19</v>
      </c>
      <c r="F187" s="4">
        <v>12</v>
      </c>
      <c r="G187" s="1" t="s">
        <v>25</v>
      </c>
      <c r="H187" s="1" t="s">
        <v>46</v>
      </c>
      <c r="I187" s="5" t="s">
        <v>392</v>
      </c>
      <c r="J187" s="4">
        <v>46</v>
      </c>
      <c r="K187" s="1">
        <f t="shared" si="6"/>
        <v>1800</v>
      </c>
      <c r="L187" s="1">
        <f t="shared" si="7"/>
        <v>1800</v>
      </c>
      <c r="M187" s="1">
        <f t="shared" si="8"/>
        <v>1800</v>
      </c>
    </row>
    <row r="188" spans="1:13" x14ac:dyDescent="0.3">
      <c r="A188" s="1" t="s">
        <v>393</v>
      </c>
      <c r="B188" s="1" t="s">
        <v>68</v>
      </c>
      <c r="C188" s="1" t="s">
        <v>85</v>
      </c>
      <c r="D188" s="1" t="s">
        <v>13</v>
      </c>
      <c r="E188" s="4">
        <v>15</v>
      </c>
      <c r="F188" s="4">
        <v>10</v>
      </c>
      <c r="G188" s="1" t="s">
        <v>32</v>
      </c>
      <c r="H188" s="1" t="s">
        <v>37</v>
      </c>
      <c r="I188" s="5" t="s">
        <v>394</v>
      </c>
      <c r="J188" s="4">
        <v>89</v>
      </c>
      <c r="K188" s="1">
        <f t="shared" si="6"/>
        <v>1200</v>
      </c>
      <c r="L188" s="1">
        <f t="shared" si="7"/>
        <v>1200</v>
      </c>
      <c r="M188" s="1">
        <f t="shared" si="8"/>
        <v>1200</v>
      </c>
    </row>
    <row r="189" spans="1:13" x14ac:dyDescent="0.3">
      <c r="A189" s="1" t="s">
        <v>395</v>
      </c>
      <c r="B189" s="1" t="s">
        <v>11</v>
      </c>
      <c r="C189" s="1" t="s">
        <v>96</v>
      </c>
      <c r="D189" s="1" t="s">
        <v>13</v>
      </c>
      <c r="E189" s="4">
        <v>18</v>
      </c>
      <c r="F189" s="4">
        <v>11</v>
      </c>
      <c r="G189" s="1" t="s">
        <v>25</v>
      </c>
      <c r="H189" s="1" t="s">
        <v>37</v>
      </c>
      <c r="I189" s="5" t="s">
        <v>396</v>
      </c>
      <c r="J189" s="4">
        <v>65</v>
      </c>
      <c r="K189" s="1">
        <f t="shared" si="6"/>
        <v>1500</v>
      </c>
      <c r="L189" s="1">
        <f t="shared" si="7"/>
        <v>1500</v>
      </c>
      <c r="M189" s="1">
        <f t="shared" si="8"/>
        <v>1500</v>
      </c>
    </row>
    <row r="190" spans="1:13" x14ac:dyDescent="0.3">
      <c r="A190" s="1" t="s">
        <v>397</v>
      </c>
      <c r="B190" s="1" t="s">
        <v>23</v>
      </c>
      <c r="C190" s="1" t="s">
        <v>12</v>
      </c>
      <c r="D190" s="1" t="s">
        <v>13</v>
      </c>
      <c r="E190" s="4">
        <v>20</v>
      </c>
      <c r="F190" s="4">
        <v>9</v>
      </c>
      <c r="G190" s="1" t="s">
        <v>25</v>
      </c>
      <c r="H190" s="1" t="s">
        <v>46</v>
      </c>
      <c r="I190" s="5" t="s">
        <v>398</v>
      </c>
      <c r="J190" s="4">
        <v>91</v>
      </c>
      <c r="K190" s="1">
        <f t="shared" si="6"/>
        <v>1000</v>
      </c>
      <c r="L190" s="1">
        <f t="shared" si="7"/>
        <v>1000</v>
      </c>
      <c r="M190" s="1">
        <f t="shared" si="8"/>
        <v>1000</v>
      </c>
    </row>
    <row r="191" spans="1:13" x14ac:dyDescent="0.3">
      <c r="A191" s="1" t="s">
        <v>399</v>
      </c>
      <c r="B191" s="1" t="s">
        <v>35</v>
      </c>
      <c r="C191" s="1" t="s">
        <v>79</v>
      </c>
      <c r="D191" s="1" t="s">
        <v>13</v>
      </c>
      <c r="E191" s="4">
        <v>17</v>
      </c>
      <c r="F191" s="4">
        <v>10</v>
      </c>
      <c r="G191" s="1" t="s">
        <v>43</v>
      </c>
      <c r="H191" s="1" t="s">
        <v>37</v>
      </c>
      <c r="I191" s="5" t="s">
        <v>400</v>
      </c>
      <c r="J191" s="4">
        <v>78</v>
      </c>
      <c r="K191" s="1">
        <f t="shared" si="6"/>
        <v>1200</v>
      </c>
      <c r="L191" s="1">
        <f t="shared" si="7"/>
        <v>1200</v>
      </c>
      <c r="M191" s="1">
        <f t="shared" si="8"/>
        <v>1200</v>
      </c>
    </row>
    <row r="192" spans="1:13" x14ac:dyDescent="0.3">
      <c r="A192" s="1" t="s">
        <v>401</v>
      </c>
      <c r="B192" s="1" t="s">
        <v>11</v>
      </c>
      <c r="C192" s="1" t="s">
        <v>79</v>
      </c>
      <c r="D192" s="1" t="s">
        <v>31</v>
      </c>
      <c r="E192" s="4">
        <v>15</v>
      </c>
      <c r="F192" s="4">
        <v>11</v>
      </c>
      <c r="G192" s="1" t="s">
        <v>43</v>
      </c>
      <c r="H192" s="1" t="s">
        <v>40</v>
      </c>
      <c r="I192" s="5" t="s">
        <v>402</v>
      </c>
      <c r="J192" s="4">
        <v>84</v>
      </c>
      <c r="K192" s="1">
        <f t="shared" si="6"/>
        <v>1500</v>
      </c>
      <c r="L192" s="1">
        <f t="shared" si="7"/>
        <v>1500</v>
      </c>
      <c r="M192" s="1">
        <f t="shared" si="8"/>
        <v>1500</v>
      </c>
    </row>
    <row r="193" spans="1:13" x14ac:dyDescent="0.3">
      <c r="A193" s="1" t="s">
        <v>403</v>
      </c>
      <c r="B193" s="1" t="s">
        <v>11</v>
      </c>
      <c r="C193" s="1" t="s">
        <v>12</v>
      </c>
      <c r="D193" s="1" t="s">
        <v>31</v>
      </c>
      <c r="E193" s="4">
        <v>19</v>
      </c>
      <c r="F193" s="4">
        <v>9</v>
      </c>
      <c r="G193" s="1" t="s">
        <v>43</v>
      </c>
      <c r="H193" s="1" t="s">
        <v>46</v>
      </c>
      <c r="I193" s="5" t="s">
        <v>404</v>
      </c>
      <c r="J193" s="4">
        <v>37</v>
      </c>
      <c r="K193" s="1">
        <f t="shared" si="6"/>
        <v>1000</v>
      </c>
      <c r="L193" s="1">
        <f t="shared" si="7"/>
        <v>1000</v>
      </c>
      <c r="M193" s="1">
        <f t="shared" si="8"/>
        <v>1000</v>
      </c>
    </row>
    <row r="194" spans="1:13" x14ac:dyDescent="0.3">
      <c r="A194" s="1" t="s">
        <v>405</v>
      </c>
      <c r="B194" s="1" t="s">
        <v>18</v>
      </c>
      <c r="C194" s="1" t="s">
        <v>19</v>
      </c>
      <c r="D194" s="1" t="s">
        <v>31</v>
      </c>
      <c r="E194" s="4">
        <v>18</v>
      </c>
      <c r="F194" s="4">
        <v>12</v>
      </c>
      <c r="G194" s="1" t="s">
        <v>25</v>
      </c>
      <c r="H194" s="1" t="s">
        <v>37</v>
      </c>
      <c r="I194" s="5" t="s">
        <v>406</v>
      </c>
      <c r="J194" s="4">
        <v>70</v>
      </c>
      <c r="K194" s="1">
        <f t="shared" si="6"/>
        <v>1800</v>
      </c>
      <c r="L194" s="1">
        <f t="shared" si="7"/>
        <v>1800</v>
      </c>
      <c r="M194" s="1">
        <f t="shared" si="8"/>
        <v>1800</v>
      </c>
    </row>
    <row r="195" spans="1:13" x14ac:dyDescent="0.3">
      <c r="A195" s="1" t="s">
        <v>407</v>
      </c>
      <c r="B195" s="1" t="s">
        <v>29</v>
      </c>
      <c r="C195" s="1" t="s">
        <v>12</v>
      </c>
      <c r="D195" s="1" t="s">
        <v>31</v>
      </c>
      <c r="E195" s="4">
        <v>16</v>
      </c>
      <c r="F195" s="4">
        <v>10</v>
      </c>
      <c r="G195" s="1" t="s">
        <v>14</v>
      </c>
      <c r="H195" s="1" t="s">
        <v>40</v>
      </c>
      <c r="I195" s="5" t="s">
        <v>71</v>
      </c>
      <c r="J195" s="4">
        <v>100</v>
      </c>
      <c r="K195" s="1">
        <f t="shared" si="6"/>
        <v>1200</v>
      </c>
      <c r="L195" s="1">
        <f t="shared" si="7"/>
        <v>1200</v>
      </c>
      <c r="M195" s="1">
        <f t="shared" si="8"/>
        <v>1200</v>
      </c>
    </row>
    <row r="196" spans="1:13" x14ac:dyDescent="0.3">
      <c r="A196" s="1" t="s">
        <v>408</v>
      </c>
      <c r="B196" s="1" t="s">
        <v>51</v>
      </c>
      <c r="C196" s="1" t="s">
        <v>85</v>
      </c>
      <c r="D196" s="1" t="s">
        <v>13</v>
      </c>
      <c r="E196" s="4">
        <v>17</v>
      </c>
      <c r="F196" s="4">
        <v>11</v>
      </c>
      <c r="G196" s="1" t="s">
        <v>25</v>
      </c>
      <c r="H196" s="1" t="s">
        <v>46</v>
      </c>
      <c r="I196" s="5" t="s">
        <v>52</v>
      </c>
      <c r="J196" s="4">
        <v>42</v>
      </c>
      <c r="K196" s="1">
        <f t="shared" si="6"/>
        <v>1500</v>
      </c>
      <c r="L196" s="1">
        <f t="shared" si="7"/>
        <v>1500</v>
      </c>
      <c r="M196" s="1">
        <f t="shared" si="8"/>
        <v>1500</v>
      </c>
    </row>
    <row r="197" spans="1:13" x14ac:dyDescent="0.3">
      <c r="A197" s="1" t="s">
        <v>409</v>
      </c>
      <c r="B197" s="1" t="s">
        <v>84</v>
      </c>
      <c r="C197" s="1" t="s">
        <v>24</v>
      </c>
      <c r="D197" s="1" t="s">
        <v>13</v>
      </c>
      <c r="E197" s="4">
        <v>20</v>
      </c>
      <c r="F197" s="4">
        <v>9</v>
      </c>
      <c r="G197" s="1" t="s">
        <v>25</v>
      </c>
      <c r="H197" s="1" t="s">
        <v>46</v>
      </c>
      <c r="I197" s="5" t="s">
        <v>290</v>
      </c>
      <c r="J197" s="4">
        <v>68</v>
      </c>
      <c r="K197" s="1">
        <f t="shared" si="6"/>
        <v>1000</v>
      </c>
      <c r="L197" s="1">
        <f t="shared" si="7"/>
        <v>1000</v>
      </c>
      <c r="M197" s="1">
        <f t="shared" si="8"/>
        <v>1000</v>
      </c>
    </row>
    <row r="198" spans="1:13" x14ac:dyDescent="0.3">
      <c r="A198" s="1" t="s">
        <v>410</v>
      </c>
      <c r="B198" s="1" t="s">
        <v>18</v>
      </c>
      <c r="C198" s="1" t="s">
        <v>55</v>
      </c>
      <c r="D198" s="1" t="s">
        <v>31</v>
      </c>
      <c r="E198" s="4">
        <v>20</v>
      </c>
      <c r="F198" s="4">
        <v>10</v>
      </c>
      <c r="G198" s="1" t="s">
        <v>43</v>
      </c>
      <c r="H198" s="1" t="s">
        <v>40</v>
      </c>
      <c r="I198" s="5" t="s">
        <v>411</v>
      </c>
      <c r="J198" s="4">
        <v>59</v>
      </c>
      <c r="K198" s="1">
        <f t="shared" si="6"/>
        <v>1200</v>
      </c>
      <c r="L198" s="1">
        <f t="shared" si="7"/>
        <v>1200</v>
      </c>
      <c r="M198" s="1">
        <f t="shared" si="8"/>
        <v>1200</v>
      </c>
    </row>
    <row r="199" spans="1:13" x14ac:dyDescent="0.3">
      <c r="A199" s="1" t="s">
        <v>412</v>
      </c>
      <c r="B199" s="1" t="s">
        <v>73</v>
      </c>
      <c r="C199" s="1" t="s">
        <v>55</v>
      </c>
      <c r="D199" s="1" t="s">
        <v>13</v>
      </c>
      <c r="E199" s="4">
        <v>16</v>
      </c>
      <c r="F199" s="4">
        <v>12</v>
      </c>
      <c r="G199" s="1" t="s">
        <v>32</v>
      </c>
      <c r="H199" s="1" t="s">
        <v>46</v>
      </c>
      <c r="I199" s="5" t="s">
        <v>413</v>
      </c>
      <c r="J199" s="4">
        <v>85</v>
      </c>
      <c r="K199" s="1">
        <f t="shared" si="6"/>
        <v>1800</v>
      </c>
      <c r="L199" s="1">
        <f t="shared" si="7"/>
        <v>1800</v>
      </c>
      <c r="M199" s="1">
        <f t="shared" si="8"/>
        <v>1800</v>
      </c>
    </row>
    <row r="200" spans="1:13" x14ac:dyDescent="0.3">
      <c r="A200" s="1" t="s">
        <v>414</v>
      </c>
      <c r="B200" s="1" t="s">
        <v>11</v>
      </c>
      <c r="C200" s="1" t="s">
        <v>55</v>
      </c>
      <c r="D200" s="1" t="s">
        <v>13</v>
      </c>
      <c r="E200" s="4">
        <v>16</v>
      </c>
      <c r="F200" s="4">
        <v>12</v>
      </c>
      <c r="G200" s="1" t="s">
        <v>32</v>
      </c>
      <c r="H200" s="1" t="s">
        <v>37</v>
      </c>
      <c r="I200" s="5" t="s">
        <v>415</v>
      </c>
      <c r="J200" s="4">
        <v>47</v>
      </c>
      <c r="K200" s="1">
        <f t="shared" si="6"/>
        <v>1800</v>
      </c>
      <c r="L200" s="1">
        <f t="shared" si="7"/>
        <v>1800</v>
      </c>
      <c r="M200" s="1">
        <f t="shared" si="8"/>
        <v>1800</v>
      </c>
    </row>
    <row r="201" spans="1:13" x14ac:dyDescent="0.3">
      <c r="A201" s="1" t="s">
        <v>416</v>
      </c>
      <c r="B201" s="1" t="s">
        <v>18</v>
      </c>
      <c r="C201" s="1" t="s">
        <v>79</v>
      </c>
      <c r="D201" s="1" t="s">
        <v>31</v>
      </c>
      <c r="E201" s="4">
        <v>20</v>
      </c>
      <c r="F201" s="4">
        <v>9</v>
      </c>
      <c r="G201" s="1" t="s">
        <v>25</v>
      </c>
      <c r="H201" s="1" t="s">
        <v>37</v>
      </c>
      <c r="I201" s="5" t="s">
        <v>417</v>
      </c>
      <c r="J201" s="4">
        <v>53</v>
      </c>
      <c r="K201" s="1">
        <f t="shared" ref="K201:K264" si="9">VLOOKUP($F201,$A$1:$B$5,2,0)</f>
        <v>1000</v>
      </c>
      <c r="L201" s="1">
        <f t="shared" ref="L201:L264" si="10">INDEX($B$2:$B$5,MATCH($F201,$A$2:$A$5,0))</f>
        <v>1000</v>
      </c>
      <c r="M201" s="1">
        <f t="shared" ref="M201:M264" si="11">_xlfn.XLOOKUP($F201,$A$2:$A$5,$B$2:$B$5)</f>
        <v>1000</v>
      </c>
    </row>
    <row r="202" spans="1:13" x14ac:dyDescent="0.3">
      <c r="A202" s="1" t="s">
        <v>418</v>
      </c>
      <c r="B202" s="1" t="s">
        <v>84</v>
      </c>
      <c r="C202" s="1" t="s">
        <v>24</v>
      </c>
      <c r="D202" s="1" t="s">
        <v>13</v>
      </c>
      <c r="E202" s="4">
        <v>15</v>
      </c>
      <c r="F202" s="4">
        <v>9</v>
      </c>
      <c r="G202" s="1" t="s">
        <v>25</v>
      </c>
      <c r="H202" s="1" t="s">
        <v>20</v>
      </c>
      <c r="I202" s="5" t="s">
        <v>419</v>
      </c>
      <c r="J202" s="4">
        <v>63</v>
      </c>
      <c r="K202" s="1">
        <f t="shared" si="9"/>
        <v>1000</v>
      </c>
      <c r="L202" s="1">
        <f t="shared" si="10"/>
        <v>1000</v>
      </c>
      <c r="M202" s="1">
        <f t="shared" si="11"/>
        <v>1000</v>
      </c>
    </row>
    <row r="203" spans="1:13" x14ac:dyDescent="0.3">
      <c r="A203" s="1" t="s">
        <v>420</v>
      </c>
      <c r="B203" s="1" t="s">
        <v>73</v>
      </c>
      <c r="C203" s="1" t="s">
        <v>85</v>
      </c>
      <c r="D203" s="1" t="s">
        <v>13</v>
      </c>
      <c r="E203" s="4">
        <v>16</v>
      </c>
      <c r="F203" s="4">
        <v>11</v>
      </c>
      <c r="G203" s="1" t="s">
        <v>43</v>
      </c>
      <c r="H203" s="1" t="s">
        <v>46</v>
      </c>
      <c r="I203" s="5" t="s">
        <v>421</v>
      </c>
      <c r="J203" s="4">
        <v>55</v>
      </c>
      <c r="K203" s="1">
        <f t="shared" si="9"/>
        <v>1500</v>
      </c>
      <c r="L203" s="1">
        <f t="shared" si="10"/>
        <v>1500</v>
      </c>
      <c r="M203" s="1">
        <f t="shared" si="11"/>
        <v>1500</v>
      </c>
    </row>
    <row r="204" spans="1:13" x14ac:dyDescent="0.3">
      <c r="A204" s="1" t="s">
        <v>422</v>
      </c>
      <c r="B204" s="1" t="s">
        <v>73</v>
      </c>
      <c r="C204" s="1" t="s">
        <v>96</v>
      </c>
      <c r="D204" s="1" t="s">
        <v>13</v>
      </c>
      <c r="E204" s="4">
        <v>14</v>
      </c>
      <c r="F204" s="4">
        <v>10</v>
      </c>
      <c r="G204" s="1" t="s">
        <v>25</v>
      </c>
      <c r="H204" s="1" t="s">
        <v>15</v>
      </c>
      <c r="I204" s="5" t="s">
        <v>423</v>
      </c>
      <c r="J204" s="4">
        <v>99</v>
      </c>
      <c r="K204" s="1">
        <f t="shared" si="9"/>
        <v>1200</v>
      </c>
      <c r="L204" s="1">
        <f t="shared" si="10"/>
        <v>1200</v>
      </c>
      <c r="M204" s="1">
        <f t="shared" si="11"/>
        <v>1200</v>
      </c>
    </row>
    <row r="205" spans="1:13" x14ac:dyDescent="0.3">
      <c r="A205" s="1" t="s">
        <v>424</v>
      </c>
      <c r="B205" s="1" t="s">
        <v>29</v>
      </c>
      <c r="C205" s="1" t="s">
        <v>36</v>
      </c>
      <c r="D205" s="1" t="s">
        <v>31</v>
      </c>
      <c r="E205" s="4">
        <v>16</v>
      </c>
      <c r="F205" s="4">
        <v>12</v>
      </c>
      <c r="G205" s="1" t="s">
        <v>32</v>
      </c>
      <c r="H205" s="1" t="s">
        <v>37</v>
      </c>
      <c r="I205" s="5" t="s">
        <v>180</v>
      </c>
      <c r="J205" s="4">
        <v>89</v>
      </c>
      <c r="K205" s="1">
        <f t="shared" si="9"/>
        <v>1800</v>
      </c>
      <c r="L205" s="1">
        <f t="shared" si="10"/>
        <v>1800</v>
      </c>
      <c r="M205" s="1">
        <f t="shared" si="11"/>
        <v>1800</v>
      </c>
    </row>
    <row r="206" spans="1:13" x14ac:dyDescent="0.3">
      <c r="A206" s="1" t="s">
        <v>425</v>
      </c>
      <c r="B206" s="1" t="s">
        <v>73</v>
      </c>
      <c r="C206" s="1" t="s">
        <v>30</v>
      </c>
      <c r="D206" s="1" t="s">
        <v>31</v>
      </c>
      <c r="E206" s="4">
        <v>15</v>
      </c>
      <c r="F206" s="4">
        <v>9</v>
      </c>
      <c r="G206" s="1" t="s">
        <v>14</v>
      </c>
      <c r="H206" s="1" t="s">
        <v>76</v>
      </c>
      <c r="I206" s="5" t="s">
        <v>149</v>
      </c>
      <c r="J206" s="4">
        <v>54</v>
      </c>
      <c r="K206" s="1">
        <f t="shared" si="9"/>
        <v>1000</v>
      </c>
      <c r="L206" s="1">
        <f t="shared" si="10"/>
        <v>1000</v>
      </c>
      <c r="M206" s="1">
        <f t="shared" si="11"/>
        <v>1000</v>
      </c>
    </row>
    <row r="207" spans="1:13" x14ac:dyDescent="0.3">
      <c r="A207" s="1" t="s">
        <v>426</v>
      </c>
      <c r="B207" s="1" t="s">
        <v>54</v>
      </c>
      <c r="C207" s="1" t="s">
        <v>96</v>
      </c>
      <c r="D207" s="1" t="s">
        <v>31</v>
      </c>
      <c r="E207" s="4">
        <v>16</v>
      </c>
      <c r="F207" s="4">
        <v>12</v>
      </c>
      <c r="G207" s="1" t="s">
        <v>25</v>
      </c>
      <c r="H207" s="1" t="s">
        <v>20</v>
      </c>
      <c r="I207" s="5" t="s">
        <v>427</v>
      </c>
      <c r="J207" s="4">
        <v>82</v>
      </c>
      <c r="K207" s="1">
        <f t="shared" si="9"/>
        <v>1800</v>
      </c>
      <c r="L207" s="1">
        <f t="shared" si="10"/>
        <v>1800</v>
      </c>
      <c r="M207" s="1">
        <f t="shared" si="11"/>
        <v>1800</v>
      </c>
    </row>
    <row r="208" spans="1:13" x14ac:dyDescent="0.3">
      <c r="A208" s="1" t="s">
        <v>428</v>
      </c>
      <c r="B208" s="1" t="s">
        <v>54</v>
      </c>
      <c r="C208" s="1" t="s">
        <v>55</v>
      </c>
      <c r="D208" s="1" t="s">
        <v>13</v>
      </c>
      <c r="E208" s="4">
        <v>16</v>
      </c>
      <c r="F208" s="4">
        <v>11</v>
      </c>
      <c r="G208" s="1" t="s">
        <v>25</v>
      </c>
      <c r="H208" s="1" t="s">
        <v>15</v>
      </c>
      <c r="I208" s="5" t="s">
        <v>429</v>
      </c>
      <c r="J208" s="4">
        <v>86</v>
      </c>
      <c r="K208" s="1">
        <f t="shared" si="9"/>
        <v>1500</v>
      </c>
      <c r="L208" s="1">
        <f t="shared" si="10"/>
        <v>1500</v>
      </c>
      <c r="M208" s="1">
        <f t="shared" si="11"/>
        <v>1500</v>
      </c>
    </row>
    <row r="209" spans="1:13" x14ac:dyDescent="0.3">
      <c r="A209" s="1" t="s">
        <v>430</v>
      </c>
      <c r="B209" s="1" t="s">
        <v>54</v>
      </c>
      <c r="C209" s="1" t="s">
        <v>30</v>
      </c>
      <c r="D209" s="1" t="s">
        <v>13</v>
      </c>
      <c r="E209" s="4">
        <v>18</v>
      </c>
      <c r="F209" s="4">
        <v>11</v>
      </c>
      <c r="G209" s="1" t="s">
        <v>25</v>
      </c>
      <c r="H209" s="1" t="s">
        <v>26</v>
      </c>
      <c r="I209" s="5" t="s">
        <v>431</v>
      </c>
      <c r="J209" s="4">
        <v>91</v>
      </c>
      <c r="K209" s="1">
        <f t="shared" si="9"/>
        <v>1500</v>
      </c>
      <c r="L209" s="1">
        <f t="shared" si="10"/>
        <v>1500</v>
      </c>
      <c r="M209" s="1">
        <f t="shared" si="11"/>
        <v>1500</v>
      </c>
    </row>
    <row r="210" spans="1:13" x14ac:dyDescent="0.3">
      <c r="A210" s="1" t="s">
        <v>432</v>
      </c>
      <c r="B210" s="1" t="s">
        <v>51</v>
      </c>
      <c r="C210" s="1" t="s">
        <v>24</v>
      </c>
      <c r="D210" s="1" t="s">
        <v>31</v>
      </c>
      <c r="E210" s="4">
        <v>17</v>
      </c>
      <c r="F210" s="4">
        <v>11</v>
      </c>
      <c r="G210" s="1" t="s">
        <v>43</v>
      </c>
      <c r="H210" s="1" t="s">
        <v>15</v>
      </c>
      <c r="I210" s="5" t="s">
        <v>400</v>
      </c>
      <c r="J210" s="4">
        <v>53</v>
      </c>
      <c r="K210" s="1">
        <f t="shared" si="9"/>
        <v>1500</v>
      </c>
      <c r="L210" s="1">
        <f t="shared" si="10"/>
        <v>1500</v>
      </c>
      <c r="M210" s="1">
        <f t="shared" si="11"/>
        <v>1500</v>
      </c>
    </row>
    <row r="211" spans="1:13" x14ac:dyDescent="0.3">
      <c r="A211" s="1" t="s">
        <v>433</v>
      </c>
      <c r="B211" s="1" t="s">
        <v>84</v>
      </c>
      <c r="C211" s="1" t="s">
        <v>36</v>
      </c>
      <c r="D211" s="1" t="s">
        <v>13</v>
      </c>
      <c r="E211" s="4">
        <v>14</v>
      </c>
      <c r="F211" s="4">
        <v>9</v>
      </c>
      <c r="G211" s="1" t="s">
        <v>32</v>
      </c>
      <c r="H211" s="1" t="s">
        <v>15</v>
      </c>
      <c r="I211" s="5" t="s">
        <v>434</v>
      </c>
      <c r="J211" s="4">
        <v>47</v>
      </c>
      <c r="K211" s="1">
        <f t="shared" si="9"/>
        <v>1000</v>
      </c>
      <c r="L211" s="1">
        <f t="shared" si="10"/>
        <v>1000</v>
      </c>
      <c r="M211" s="1">
        <f t="shared" si="11"/>
        <v>1000</v>
      </c>
    </row>
    <row r="212" spans="1:13" x14ac:dyDescent="0.3">
      <c r="A212" s="1" t="s">
        <v>435</v>
      </c>
      <c r="B212" s="1" t="s">
        <v>29</v>
      </c>
      <c r="C212" s="1" t="s">
        <v>30</v>
      </c>
      <c r="D212" s="1" t="s">
        <v>31</v>
      </c>
      <c r="E212" s="4">
        <v>20</v>
      </c>
      <c r="F212" s="4">
        <v>12</v>
      </c>
      <c r="G212" s="1" t="s">
        <v>43</v>
      </c>
      <c r="H212" s="1" t="s">
        <v>26</v>
      </c>
      <c r="I212" s="5" t="s">
        <v>436</v>
      </c>
      <c r="J212" s="4">
        <v>36</v>
      </c>
      <c r="K212" s="1">
        <f t="shared" si="9"/>
        <v>1800</v>
      </c>
      <c r="L212" s="1">
        <f t="shared" si="10"/>
        <v>1800</v>
      </c>
      <c r="M212" s="1">
        <f t="shared" si="11"/>
        <v>1800</v>
      </c>
    </row>
    <row r="213" spans="1:13" x14ac:dyDescent="0.3">
      <c r="A213" s="1" t="s">
        <v>437</v>
      </c>
      <c r="B213" s="1" t="s">
        <v>73</v>
      </c>
      <c r="C213" s="1" t="s">
        <v>30</v>
      </c>
      <c r="D213" s="1" t="s">
        <v>13</v>
      </c>
      <c r="E213" s="4">
        <v>14</v>
      </c>
      <c r="F213" s="4">
        <v>11</v>
      </c>
      <c r="G213" s="1" t="s">
        <v>32</v>
      </c>
      <c r="H213" s="1" t="s">
        <v>76</v>
      </c>
      <c r="I213" s="5" t="s">
        <v>438</v>
      </c>
      <c r="J213" s="4">
        <v>62</v>
      </c>
      <c r="K213" s="1">
        <f t="shared" si="9"/>
        <v>1500</v>
      </c>
      <c r="L213" s="1">
        <f t="shared" si="10"/>
        <v>1500</v>
      </c>
      <c r="M213" s="1">
        <f t="shared" si="11"/>
        <v>1500</v>
      </c>
    </row>
    <row r="214" spans="1:13" x14ac:dyDescent="0.3">
      <c r="A214" s="1" t="s">
        <v>439</v>
      </c>
      <c r="B214" s="1" t="s">
        <v>11</v>
      </c>
      <c r="C214" s="1" t="s">
        <v>12</v>
      </c>
      <c r="D214" s="1" t="s">
        <v>13</v>
      </c>
      <c r="E214" s="4">
        <v>15</v>
      </c>
      <c r="F214" s="4">
        <v>9</v>
      </c>
      <c r="G214" s="1" t="s">
        <v>25</v>
      </c>
      <c r="H214" s="1" t="s">
        <v>15</v>
      </c>
      <c r="I214" s="5" t="s">
        <v>440</v>
      </c>
      <c r="J214" s="4">
        <v>90</v>
      </c>
      <c r="K214" s="1">
        <f t="shared" si="9"/>
        <v>1000</v>
      </c>
      <c r="L214" s="1">
        <f t="shared" si="10"/>
        <v>1000</v>
      </c>
      <c r="M214" s="1">
        <f t="shared" si="11"/>
        <v>1000</v>
      </c>
    </row>
    <row r="215" spans="1:13" x14ac:dyDescent="0.3">
      <c r="A215" s="1" t="s">
        <v>441</v>
      </c>
      <c r="B215" s="1" t="s">
        <v>35</v>
      </c>
      <c r="C215" s="1" t="s">
        <v>12</v>
      </c>
      <c r="D215" s="1" t="s">
        <v>13</v>
      </c>
      <c r="E215" s="4">
        <v>17</v>
      </c>
      <c r="F215" s="4">
        <v>10</v>
      </c>
      <c r="G215" s="1" t="s">
        <v>32</v>
      </c>
      <c r="H215" s="1" t="s">
        <v>15</v>
      </c>
      <c r="I215" s="5" t="s">
        <v>442</v>
      </c>
      <c r="J215" s="4">
        <v>91</v>
      </c>
      <c r="K215" s="1">
        <f t="shared" si="9"/>
        <v>1200</v>
      </c>
      <c r="L215" s="1">
        <f t="shared" si="10"/>
        <v>1200</v>
      </c>
      <c r="M215" s="1">
        <f t="shared" si="11"/>
        <v>1200</v>
      </c>
    </row>
    <row r="216" spans="1:13" x14ac:dyDescent="0.3">
      <c r="A216" s="1" t="s">
        <v>443</v>
      </c>
      <c r="B216" s="1" t="s">
        <v>18</v>
      </c>
      <c r="C216" s="1" t="s">
        <v>96</v>
      </c>
      <c r="D216" s="1" t="s">
        <v>13</v>
      </c>
      <c r="E216" s="4">
        <v>17</v>
      </c>
      <c r="F216" s="4">
        <v>9</v>
      </c>
      <c r="G216" s="1" t="s">
        <v>43</v>
      </c>
      <c r="H216" s="1" t="s">
        <v>37</v>
      </c>
      <c r="I216" s="5" t="s">
        <v>444</v>
      </c>
      <c r="J216" s="4">
        <v>60</v>
      </c>
      <c r="K216" s="1">
        <f t="shared" si="9"/>
        <v>1000</v>
      </c>
      <c r="L216" s="1">
        <f t="shared" si="10"/>
        <v>1000</v>
      </c>
      <c r="M216" s="1">
        <f t="shared" si="11"/>
        <v>1000</v>
      </c>
    </row>
    <row r="217" spans="1:13" x14ac:dyDescent="0.3">
      <c r="A217" s="1" t="s">
        <v>445</v>
      </c>
      <c r="B217" s="1" t="s">
        <v>54</v>
      </c>
      <c r="C217" s="1" t="s">
        <v>96</v>
      </c>
      <c r="D217" s="1" t="s">
        <v>13</v>
      </c>
      <c r="E217" s="4">
        <v>20</v>
      </c>
      <c r="F217" s="4">
        <v>10</v>
      </c>
      <c r="G217" s="1" t="s">
        <v>32</v>
      </c>
      <c r="H217" s="1" t="s">
        <v>46</v>
      </c>
      <c r="I217" s="5" t="s">
        <v>182</v>
      </c>
      <c r="J217" s="4">
        <v>85</v>
      </c>
      <c r="K217" s="1">
        <f t="shared" si="9"/>
        <v>1200</v>
      </c>
      <c r="L217" s="1">
        <f t="shared" si="10"/>
        <v>1200</v>
      </c>
      <c r="M217" s="1">
        <f t="shared" si="11"/>
        <v>1200</v>
      </c>
    </row>
    <row r="218" spans="1:13" x14ac:dyDescent="0.3">
      <c r="A218" s="1" t="s">
        <v>446</v>
      </c>
      <c r="B218" s="1" t="s">
        <v>73</v>
      </c>
      <c r="C218" s="1" t="s">
        <v>24</v>
      </c>
      <c r="D218" s="1" t="s">
        <v>13</v>
      </c>
      <c r="E218" s="4">
        <v>17</v>
      </c>
      <c r="F218" s="4">
        <v>10</v>
      </c>
      <c r="G218" s="1" t="s">
        <v>14</v>
      </c>
      <c r="H218" s="1" t="s">
        <v>20</v>
      </c>
      <c r="I218" s="5" t="s">
        <v>447</v>
      </c>
      <c r="J218" s="4">
        <v>58</v>
      </c>
      <c r="K218" s="1">
        <f t="shared" si="9"/>
        <v>1200</v>
      </c>
      <c r="L218" s="1">
        <f t="shared" si="10"/>
        <v>1200</v>
      </c>
      <c r="M218" s="1">
        <f t="shared" si="11"/>
        <v>1200</v>
      </c>
    </row>
    <row r="219" spans="1:13" x14ac:dyDescent="0.3">
      <c r="A219" s="1" t="s">
        <v>448</v>
      </c>
      <c r="B219" s="1" t="s">
        <v>73</v>
      </c>
      <c r="C219" s="1" t="s">
        <v>36</v>
      </c>
      <c r="D219" s="1" t="s">
        <v>31</v>
      </c>
      <c r="E219" s="4">
        <v>19</v>
      </c>
      <c r="F219" s="4">
        <v>12</v>
      </c>
      <c r="G219" s="1" t="s">
        <v>14</v>
      </c>
      <c r="H219" s="1" t="s">
        <v>37</v>
      </c>
      <c r="I219" s="5" t="s">
        <v>449</v>
      </c>
      <c r="J219" s="4">
        <v>65</v>
      </c>
      <c r="K219" s="1">
        <f t="shared" si="9"/>
        <v>1800</v>
      </c>
      <c r="L219" s="1">
        <f t="shared" si="10"/>
        <v>1800</v>
      </c>
      <c r="M219" s="1">
        <f t="shared" si="11"/>
        <v>1800</v>
      </c>
    </row>
    <row r="220" spans="1:13" x14ac:dyDescent="0.3">
      <c r="A220" s="1" t="s">
        <v>450</v>
      </c>
      <c r="B220" s="1" t="s">
        <v>54</v>
      </c>
      <c r="C220" s="1" t="s">
        <v>55</v>
      </c>
      <c r="D220" s="1" t="s">
        <v>31</v>
      </c>
      <c r="E220" s="4">
        <v>19</v>
      </c>
      <c r="F220" s="4">
        <v>12</v>
      </c>
      <c r="G220" s="1" t="s">
        <v>43</v>
      </c>
      <c r="H220" s="1" t="s">
        <v>20</v>
      </c>
      <c r="I220" s="5" t="s">
        <v>451</v>
      </c>
      <c r="J220" s="4">
        <v>58</v>
      </c>
      <c r="K220" s="1">
        <f t="shared" si="9"/>
        <v>1800</v>
      </c>
      <c r="L220" s="1">
        <f t="shared" si="10"/>
        <v>1800</v>
      </c>
      <c r="M220" s="1">
        <f t="shared" si="11"/>
        <v>1800</v>
      </c>
    </row>
    <row r="221" spans="1:13" x14ac:dyDescent="0.3">
      <c r="A221" s="1" t="s">
        <v>452</v>
      </c>
      <c r="B221" s="1" t="s">
        <v>51</v>
      </c>
      <c r="C221" s="1" t="s">
        <v>12</v>
      </c>
      <c r="D221" s="1" t="s">
        <v>13</v>
      </c>
      <c r="E221" s="4">
        <v>18</v>
      </c>
      <c r="F221" s="4">
        <v>9</v>
      </c>
      <c r="G221" s="1" t="s">
        <v>32</v>
      </c>
      <c r="H221" s="1" t="s">
        <v>76</v>
      </c>
      <c r="I221" s="5" t="s">
        <v>453</v>
      </c>
      <c r="J221" s="4">
        <v>35</v>
      </c>
      <c r="K221" s="1">
        <f t="shared" si="9"/>
        <v>1000</v>
      </c>
      <c r="L221" s="1">
        <f t="shared" si="10"/>
        <v>1000</v>
      </c>
      <c r="M221" s="1">
        <f t="shared" si="11"/>
        <v>1000</v>
      </c>
    </row>
    <row r="222" spans="1:13" x14ac:dyDescent="0.3">
      <c r="A222" s="1" t="s">
        <v>454</v>
      </c>
      <c r="B222" s="1" t="s">
        <v>29</v>
      </c>
      <c r="C222" s="1" t="s">
        <v>12</v>
      </c>
      <c r="D222" s="1" t="s">
        <v>31</v>
      </c>
      <c r="E222" s="4">
        <v>16</v>
      </c>
      <c r="F222" s="4">
        <v>11</v>
      </c>
      <c r="G222" s="1" t="s">
        <v>43</v>
      </c>
      <c r="H222" s="1" t="s">
        <v>61</v>
      </c>
      <c r="I222" s="5" t="s">
        <v>385</v>
      </c>
      <c r="J222" s="4">
        <v>40</v>
      </c>
      <c r="K222" s="1">
        <f t="shared" si="9"/>
        <v>1500</v>
      </c>
      <c r="L222" s="1">
        <f t="shared" si="10"/>
        <v>1500</v>
      </c>
      <c r="M222" s="1">
        <f t="shared" si="11"/>
        <v>1500</v>
      </c>
    </row>
    <row r="223" spans="1:13" x14ac:dyDescent="0.3">
      <c r="A223" s="1" t="s">
        <v>455</v>
      </c>
      <c r="B223" s="1" t="s">
        <v>29</v>
      </c>
      <c r="C223" s="1" t="s">
        <v>30</v>
      </c>
      <c r="D223" s="1" t="s">
        <v>13</v>
      </c>
      <c r="E223" s="4">
        <v>16</v>
      </c>
      <c r="F223" s="4">
        <v>9</v>
      </c>
      <c r="G223" s="1" t="s">
        <v>14</v>
      </c>
      <c r="H223" s="1" t="s">
        <v>61</v>
      </c>
      <c r="I223" s="5" t="s">
        <v>447</v>
      </c>
      <c r="J223" s="4">
        <v>60</v>
      </c>
      <c r="K223" s="1">
        <f t="shared" si="9"/>
        <v>1000</v>
      </c>
      <c r="L223" s="1">
        <f t="shared" si="10"/>
        <v>1000</v>
      </c>
      <c r="M223" s="1">
        <f t="shared" si="11"/>
        <v>1000</v>
      </c>
    </row>
    <row r="224" spans="1:13" x14ac:dyDescent="0.3">
      <c r="A224" s="1" t="s">
        <v>456</v>
      </c>
      <c r="B224" s="1" t="s">
        <v>11</v>
      </c>
      <c r="C224" s="1" t="s">
        <v>55</v>
      </c>
      <c r="D224" s="1" t="s">
        <v>13</v>
      </c>
      <c r="E224" s="4">
        <v>15</v>
      </c>
      <c r="F224" s="4">
        <v>9</v>
      </c>
      <c r="G224" s="1" t="s">
        <v>32</v>
      </c>
      <c r="H224" s="1" t="s">
        <v>61</v>
      </c>
      <c r="I224" s="5" t="s">
        <v>457</v>
      </c>
      <c r="J224" s="4">
        <v>97</v>
      </c>
      <c r="K224" s="1">
        <f t="shared" si="9"/>
        <v>1000</v>
      </c>
      <c r="L224" s="1">
        <f t="shared" si="10"/>
        <v>1000</v>
      </c>
      <c r="M224" s="1">
        <f t="shared" si="11"/>
        <v>1000</v>
      </c>
    </row>
    <row r="225" spans="1:13" x14ac:dyDescent="0.3">
      <c r="A225" s="1" t="s">
        <v>458</v>
      </c>
      <c r="B225" s="1" t="s">
        <v>11</v>
      </c>
      <c r="C225" s="1" t="s">
        <v>55</v>
      </c>
      <c r="D225" s="1" t="s">
        <v>13</v>
      </c>
      <c r="E225" s="4">
        <v>19</v>
      </c>
      <c r="F225" s="4">
        <v>11</v>
      </c>
      <c r="G225" s="1" t="s">
        <v>14</v>
      </c>
      <c r="H225" s="1" t="s">
        <v>46</v>
      </c>
      <c r="I225" s="5" t="s">
        <v>459</v>
      </c>
      <c r="J225" s="4">
        <v>81</v>
      </c>
      <c r="K225" s="1">
        <f t="shared" si="9"/>
        <v>1500</v>
      </c>
      <c r="L225" s="1">
        <f t="shared" si="10"/>
        <v>1500</v>
      </c>
      <c r="M225" s="1">
        <f t="shared" si="11"/>
        <v>1500</v>
      </c>
    </row>
    <row r="226" spans="1:13" x14ac:dyDescent="0.3">
      <c r="A226" s="1" t="s">
        <v>460</v>
      </c>
      <c r="B226" s="1" t="s">
        <v>51</v>
      </c>
      <c r="C226" s="1" t="s">
        <v>96</v>
      </c>
      <c r="D226" s="1" t="s">
        <v>31</v>
      </c>
      <c r="E226" s="4">
        <v>16</v>
      </c>
      <c r="F226" s="4">
        <v>12</v>
      </c>
      <c r="G226" s="1" t="s">
        <v>43</v>
      </c>
      <c r="H226" s="1" t="s">
        <v>15</v>
      </c>
      <c r="I226" s="5" t="s">
        <v>461</v>
      </c>
      <c r="J226" s="4">
        <v>65</v>
      </c>
      <c r="K226" s="1">
        <f t="shared" si="9"/>
        <v>1800</v>
      </c>
      <c r="L226" s="1">
        <f t="shared" si="10"/>
        <v>1800</v>
      </c>
      <c r="M226" s="1">
        <f t="shared" si="11"/>
        <v>1800</v>
      </c>
    </row>
    <row r="227" spans="1:13" x14ac:dyDescent="0.3">
      <c r="A227" s="1" t="s">
        <v>462</v>
      </c>
      <c r="B227" s="1" t="s">
        <v>11</v>
      </c>
      <c r="C227" s="1" t="s">
        <v>24</v>
      </c>
      <c r="D227" s="1" t="s">
        <v>31</v>
      </c>
      <c r="E227" s="4">
        <v>19</v>
      </c>
      <c r="F227" s="4">
        <v>12</v>
      </c>
      <c r="G227" s="1" t="s">
        <v>43</v>
      </c>
      <c r="H227" s="1" t="s">
        <v>37</v>
      </c>
      <c r="I227" s="5" t="s">
        <v>463</v>
      </c>
      <c r="J227" s="4">
        <v>45</v>
      </c>
      <c r="K227" s="1">
        <f t="shared" si="9"/>
        <v>1800</v>
      </c>
      <c r="L227" s="1">
        <f t="shared" si="10"/>
        <v>1800</v>
      </c>
      <c r="M227" s="1">
        <f t="shared" si="11"/>
        <v>1800</v>
      </c>
    </row>
    <row r="228" spans="1:13" x14ac:dyDescent="0.3">
      <c r="A228" s="1" t="s">
        <v>464</v>
      </c>
      <c r="B228" s="1" t="s">
        <v>11</v>
      </c>
      <c r="C228" s="1" t="s">
        <v>36</v>
      </c>
      <c r="D228" s="1" t="s">
        <v>13</v>
      </c>
      <c r="E228" s="4">
        <v>16</v>
      </c>
      <c r="F228" s="4">
        <v>11</v>
      </c>
      <c r="G228" s="1" t="s">
        <v>25</v>
      </c>
      <c r="H228" s="1" t="s">
        <v>40</v>
      </c>
      <c r="I228" s="5" t="s">
        <v>465</v>
      </c>
      <c r="J228" s="4">
        <v>79</v>
      </c>
      <c r="K228" s="1">
        <f t="shared" si="9"/>
        <v>1500</v>
      </c>
      <c r="L228" s="1">
        <f t="shared" si="10"/>
        <v>1500</v>
      </c>
      <c r="M228" s="1">
        <f t="shared" si="11"/>
        <v>1500</v>
      </c>
    </row>
    <row r="229" spans="1:13" x14ac:dyDescent="0.3">
      <c r="A229" s="1" t="s">
        <v>466</v>
      </c>
      <c r="B229" s="1" t="s">
        <v>11</v>
      </c>
      <c r="C229" s="1" t="s">
        <v>55</v>
      </c>
      <c r="D229" s="1" t="s">
        <v>31</v>
      </c>
      <c r="E229" s="4">
        <v>20</v>
      </c>
      <c r="F229" s="4">
        <v>11</v>
      </c>
      <c r="G229" s="1" t="s">
        <v>32</v>
      </c>
      <c r="H229" s="1" t="s">
        <v>40</v>
      </c>
      <c r="I229" s="5" t="s">
        <v>467</v>
      </c>
      <c r="J229" s="4">
        <v>46</v>
      </c>
      <c r="K229" s="1">
        <f t="shared" si="9"/>
        <v>1500</v>
      </c>
      <c r="L229" s="1">
        <f t="shared" si="10"/>
        <v>1500</v>
      </c>
      <c r="M229" s="1">
        <f t="shared" si="11"/>
        <v>1500</v>
      </c>
    </row>
    <row r="230" spans="1:13" x14ac:dyDescent="0.3">
      <c r="A230" s="1" t="s">
        <v>468</v>
      </c>
      <c r="B230" s="1" t="s">
        <v>73</v>
      </c>
      <c r="C230" s="1" t="s">
        <v>12</v>
      </c>
      <c r="D230" s="1" t="s">
        <v>13</v>
      </c>
      <c r="E230" s="4">
        <v>17</v>
      </c>
      <c r="F230" s="4">
        <v>10</v>
      </c>
      <c r="G230" s="1" t="s">
        <v>43</v>
      </c>
      <c r="H230" s="1" t="s">
        <v>15</v>
      </c>
      <c r="I230" s="5" t="s">
        <v>469</v>
      </c>
      <c r="J230" s="4">
        <v>75</v>
      </c>
      <c r="K230" s="1">
        <f t="shared" si="9"/>
        <v>1200</v>
      </c>
      <c r="L230" s="1">
        <f t="shared" si="10"/>
        <v>1200</v>
      </c>
      <c r="M230" s="1">
        <f t="shared" si="11"/>
        <v>1200</v>
      </c>
    </row>
    <row r="231" spans="1:13" x14ac:dyDescent="0.3">
      <c r="A231" s="1" t="s">
        <v>470</v>
      </c>
      <c r="B231" s="1" t="s">
        <v>35</v>
      </c>
      <c r="C231" s="1" t="s">
        <v>96</v>
      </c>
      <c r="D231" s="1" t="s">
        <v>31</v>
      </c>
      <c r="E231" s="4">
        <v>16</v>
      </c>
      <c r="F231" s="4">
        <v>11</v>
      </c>
      <c r="G231" s="1" t="s">
        <v>32</v>
      </c>
      <c r="H231" s="1" t="s">
        <v>61</v>
      </c>
      <c r="I231" s="5" t="s">
        <v>471</v>
      </c>
      <c r="J231" s="4">
        <v>65</v>
      </c>
      <c r="K231" s="1">
        <f t="shared" si="9"/>
        <v>1500</v>
      </c>
      <c r="L231" s="1">
        <f t="shared" si="10"/>
        <v>1500</v>
      </c>
      <c r="M231" s="1">
        <f t="shared" si="11"/>
        <v>1500</v>
      </c>
    </row>
    <row r="232" spans="1:13" x14ac:dyDescent="0.3">
      <c r="A232" s="1" t="s">
        <v>472</v>
      </c>
      <c r="B232" s="1" t="s">
        <v>84</v>
      </c>
      <c r="C232" s="1" t="s">
        <v>79</v>
      </c>
      <c r="D232" s="1" t="s">
        <v>31</v>
      </c>
      <c r="E232" s="4">
        <v>15</v>
      </c>
      <c r="F232" s="4">
        <v>11</v>
      </c>
      <c r="G232" s="1" t="s">
        <v>14</v>
      </c>
      <c r="H232" s="1" t="s">
        <v>40</v>
      </c>
      <c r="I232" s="5" t="s">
        <v>317</v>
      </c>
      <c r="J232" s="4">
        <v>72</v>
      </c>
      <c r="K232" s="1">
        <f t="shared" si="9"/>
        <v>1500</v>
      </c>
      <c r="L232" s="1">
        <f t="shared" si="10"/>
        <v>1500</v>
      </c>
      <c r="M232" s="1">
        <f t="shared" si="11"/>
        <v>1500</v>
      </c>
    </row>
    <row r="233" spans="1:13" x14ac:dyDescent="0.3">
      <c r="A233" s="1" t="s">
        <v>473</v>
      </c>
      <c r="B233" s="1" t="s">
        <v>18</v>
      </c>
      <c r="C233" s="1" t="s">
        <v>19</v>
      </c>
      <c r="D233" s="1" t="s">
        <v>31</v>
      </c>
      <c r="E233" s="4">
        <v>16</v>
      </c>
      <c r="F233" s="4">
        <v>11</v>
      </c>
      <c r="G233" s="1" t="s">
        <v>14</v>
      </c>
      <c r="H233" s="1" t="s">
        <v>61</v>
      </c>
      <c r="I233" s="5" t="s">
        <v>474</v>
      </c>
      <c r="J233" s="4">
        <v>75</v>
      </c>
      <c r="K233" s="1">
        <f t="shared" si="9"/>
        <v>1500</v>
      </c>
      <c r="L233" s="1">
        <f t="shared" si="10"/>
        <v>1500</v>
      </c>
      <c r="M233" s="1">
        <f t="shared" si="11"/>
        <v>1500</v>
      </c>
    </row>
    <row r="234" spans="1:13" x14ac:dyDescent="0.3">
      <c r="A234" s="1" t="s">
        <v>475</v>
      </c>
      <c r="B234" s="1" t="s">
        <v>35</v>
      </c>
      <c r="C234" s="1" t="s">
        <v>79</v>
      </c>
      <c r="D234" s="1" t="s">
        <v>13</v>
      </c>
      <c r="E234" s="4">
        <v>17</v>
      </c>
      <c r="F234" s="4">
        <v>9</v>
      </c>
      <c r="G234" s="1" t="s">
        <v>32</v>
      </c>
      <c r="H234" s="1" t="s">
        <v>15</v>
      </c>
      <c r="I234" s="5" t="s">
        <v>248</v>
      </c>
      <c r="J234" s="4">
        <v>50</v>
      </c>
      <c r="K234" s="1">
        <f t="shared" si="9"/>
        <v>1000</v>
      </c>
      <c r="L234" s="1">
        <f t="shared" si="10"/>
        <v>1000</v>
      </c>
      <c r="M234" s="1">
        <f t="shared" si="11"/>
        <v>1000</v>
      </c>
    </row>
    <row r="235" spans="1:13" x14ac:dyDescent="0.3">
      <c r="A235" s="1" t="s">
        <v>476</v>
      </c>
      <c r="B235" s="1" t="s">
        <v>29</v>
      </c>
      <c r="C235" s="1" t="s">
        <v>55</v>
      </c>
      <c r="D235" s="1" t="s">
        <v>13</v>
      </c>
      <c r="E235" s="4">
        <v>19</v>
      </c>
      <c r="F235" s="4">
        <v>10</v>
      </c>
      <c r="G235" s="1" t="s">
        <v>43</v>
      </c>
      <c r="H235" s="1" t="s">
        <v>26</v>
      </c>
      <c r="I235" s="5" t="s">
        <v>477</v>
      </c>
      <c r="J235" s="4">
        <v>88</v>
      </c>
      <c r="K235" s="1">
        <f t="shared" si="9"/>
        <v>1200</v>
      </c>
      <c r="L235" s="1">
        <f t="shared" si="10"/>
        <v>1200</v>
      </c>
      <c r="M235" s="1">
        <f t="shared" si="11"/>
        <v>1200</v>
      </c>
    </row>
    <row r="236" spans="1:13" x14ac:dyDescent="0.3">
      <c r="A236" s="1" t="s">
        <v>478</v>
      </c>
      <c r="B236" s="1" t="s">
        <v>11</v>
      </c>
      <c r="C236" s="1" t="s">
        <v>36</v>
      </c>
      <c r="D236" s="1" t="s">
        <v>13</v>
      </c>
      <c r="E236" s="4">
        <v>17</v>
      </c>
      <c r="F236" s="4">
        <v>12</v>
      </c>
      <c r="G236" s="1" t="s">
        <v>14</v>
      </c>
      <c r="H236" s="1" t="s">
        <v>37</v>
      </c>
      <c r="I236" s="5" t="s">
        <v>479</v>
      </c>
      <c r="J236" s="4">
        <v>63</v>
      </c>
      <c r="K236" s="1">
        <f t="shared" si="9"/>
        <v>1800</v>
      </c>
      <c r="L236" s="1">
        <f t="shared" si="10"/>
        <v>1800</v>
      </c>
      <c r="M236" s="1">
        <f t="shared" si="11"/>
        <v>1800</v>
      </c>
    </row>
    <row r="237" spans="1:13" x14ac:dyDescent="0.3">
      <c r="A237" s="1" t="s">
        <v>480</v>
      </c>
      <c r="B237" s="1" t="s">
        <v>35</v>
      </c>
      <c r="C237" s="1" t="s">
        <v>12</v>
      </c>
      <c r="D237" s="1" t="s">
        <v>31</v>
      </c>
      <c r="E237" s="4">
        <v>18</v>
      </c>
      <c r="F237" s="4">
        <v>10</v>
      </c>
      <c r="G237" s="1" t="s">
        <v>14</v>
      </c>
      <c r="H237" s="1" t="s">
        <v>37</v>
      </c>
      <c r="I237" s="5" t="s">
        <v>481</v>
      </c>
      <c r="J237" s="4">
        <v>36</v>
      </c>
      <c r="K237" s="1">
        <f t="shared" si="9"/>
        <v>1200</v>
      </c>
      <c r="L237" s="1">
        <f t="shared" si="10"/>
        <v>1200</v>
      </c>
      <c r="M237" s="1">
        <f t="shared" si="11"/>
        <v>1200</v>
      </c>
    </row>
    <row r="238" spans="1:13" x14ac:dyDescent="0.3">
      <c r="A238" s="1" t="s">
        <v>482</v>
      </c>
      <c r="B238" s="1" t="s">
        <v>35</v>
      </c>
      <c r="C238" s="1" t="s">
        <v>24</v>
      </c>
      <c r="D238" s="1" t="s">
        <v>13</v>
      </c>
      <c r="E238" s="4">
        <v>18</v>
      </c>
      <c r="F238" s="4">
        <v>11</v>
      </c>
      <c r="G238" s="1" t="s">
        <v>14</v>
      </c>
      <c r="H238" s="1" t="s">
        <v>61</v>
      </c>
      <c r="I238" s="5" t="s">
        <v>483</v>
      </c>
      <c r="J238" s="4">
        <v>86</v>
      </c>
      <c r="K238" s="1">
        <f t="shared" si="9"/>
        <v>1500</v>
      </c>
      <c r="L238" s="1">
        <f t="shared" si="10"/>
        <v>1500</v>
      </c>
      <c r="M238" s="1">
        <f t="shared" si="11"/>
        <v>1500</v>
      </c>
    </row>
    <row r="239" spans="1:13" x14ac:dyDescent="0.3">
      <c r="A239" s="1" t="s">
        <v>484</v>
      </c>
      <c r="B239" s="1" t="s">
        <v>29</v>
      </c>
      <c r="C239" s="1" t="s">
        <v>79</v>
      </c>
      <c r="D239" s="1" t="s">
        <v>31</v>
      </c>
      <c r="E239" s="4">
        <v>14</v>
      </c>
      <c r="F239" s="4">
        <v>11</v>
      </c>
      <c r="G239" s="1" t="s">
        <v>32</v>
      </c>
      <c r="H239" s="1" t="s">
        <v>40</v>
      </c>
      <c r="I239" s="5" t="s">
        <v>184</v>
      </c>
      <c r="J239" s="4">
        <v>42</v>
      </c>
      <c r="K239" s="1">
        <f t="shared" si="9"/>
        <v>1500</v>
      </c>
      <c r="L239" s="1">
        <f t="shared" si="10"/>
        <v>1500</v>
      </c>
      <c r="M239" s="1">
        <f t="shared" si="11"/>
        <v>1500</v>
      </c>
    </row>
    <row r="240" spans="1:13" x14ac:dyDescent="0.3">
      <c r="A240" s="1" t="s">
        <v>485</v>
      </c>
      <c r="B240" s="1" t="s">
        <v>18</v>
      </c>
      <c r="C240" s="1" t="s">
        <v>12</v>
      </c>
      <c r="D240" s="1" t="s">
        <v>31</v>
      </c>
      <c r="E240" s="4">
        <v>16</v>
      </c>
      <c r="F240" s="4">
        <v>12</v>
      </c>
      <c r="G240" s="1" t="s">
        <v>14</v>
      </c>
      <c r="H240" s="1" t="s">
        <v>76</v>
      </c>
      <c r="I240" s="5" t="s">
        <v>486</v>
      </c>
      <c r="J240" s="4">
        <v>70</v>
      </c>
      <c r="K240" s="1">
        <f t="shared" si="9"/>
        <v>1800</v>
      </c>
      <c r="L240" s="1">
        <f t="shared" si="10"/>
        <v>1800</v>
      </c>
      <c r="M240" s="1">
        <f t="shared" si="11"/>
        <v>1800</v>
      </c>
    </row>
    <row r="241" spans="1:13" x14ac:dyDescent="0.3">
      <c r="A241" s="1" t="s">
        <v>487</v>
      </c>
      <c r="B241" s="1" t="s">
        <v>18</v>
      </c>
      <c r="C241" s="1" t="s">
        <v>79</v>
      </c>
      <c r="D241" s="1" t="s">
        <v>13</v>
      </c>
      <c r="E241" s="4">
        <v>16</v>
      </c>
      <c r="F241" s="4">
        <v>11</v>
      </c>
      <c r="G241" s="1" t="s">
        <v>43</v>
      </c>
      <c r="H241" s="1" t="s">
        <v>61</v>
      </c>
      <c r="I241" s="5" t="s">
        <v>488</v>
      </c>
      <c r="J241" s="4">
        <v>86</v>
      </c>
      <c r="K241" s="1">
        <f t="shared" si="9"/>
        <v>1500</v>
      </c>
      <c r="L241" s="1">
        <f t="shared" si="10"/>
        <v>1500</v>
      </c>
      <c r="M241" s="1">
        <f t="shared" si="11"/>
        <v>1500</v>
      </c>
    </row>
    <row r="242" spans="1:13" x14ac:dyDescent="0.3">
      <c r="A242" s="1" t="s">
        <v>489</v>
      </c>
      <c r="B242" s="1" t="s">
        <v>68</v>
      </c>
      <c r="C242" s="1" t="s">
        <v>58</v>
      </c>
      <c r="D242" s="1" t="s">
        <v>31</v>
      </c>
      <c r="E242" s="4">
        <v>20</v>
      </c>
      <c r="F242" s="4">
        <v>10</v>
      </c>
      <c r="G242" s="1" t="s">
        <v>32</v>
      </c>
      <c r="H242" s="1" t="s">
        <v>20</v>
      </c>
      <c r="I242" s="5" t="s">
        <v>370</v>
      </c>
      <c r="J242" s="4">
        <v>93</v>
      </c>
      <c r="K242" s="1">
        <f t="shared" si="9"/>
        <v>1200</v>
      </c>
      <c r="L242" s="1">
        <f t="shared" si="10"/>
        <v>1200</v>
      </c>
      <c r="M242" s="1">
        <f t="shared" si="11"/>
        <v>1200</v>
      </c>
    </row>
    <row r="243" spans="1:13" x14ac:dyDescent="0.3">
      <c r="A243" s="1" t="s">
        <v>490</v>
      </c>
      <c r="B243" s="1" t="s">
        <v>73</v>
      </c>
      <c r="C243" s="1" t="s">
        <v>96</v>
      </c>
      <c r="D243" s="1" t="s">
        <v>13</v>
      </c>
      <c r="E243" s="4">
        <v>17</v>
      </c>
      <c r="F243" s="4">
        <v>10</v>
      </c>
      <c r="G243" s="1" t="s">
        <v>32</v>
      </c>
      <c r="H243" s="1" t="s">
        <v>61</v>
      </c>
      <c r="I243" s="5" t="s">
        <v>491</v>
      </c>
      <c r="J243" s="4">
        <v>60</v>
      </c>
      <c r="K243" s="1">
        <f t="shared" si="9"/>
        <v>1200</v>
      </c>
      <c r="L243" s="1">
        <f t="shared" si="10"/>
        <v>1200</v>
      </c>
      <c r="M243" s="1">
        <f t="shared" si="11"/>
        <v>1200</v>
      </c>
    </row>
    <row r="244" spans="1:13" x14ac:dyDescent="0.3">
      <c r="A244" s="1" t="s">
        <v>492</v>
      </c>
      <c r="B244" s="1" t="s">
        <v>18</v>
      </c>
      <c r="C244" s="1" t="s">
        <v>85</v>
      </c>
      <c r="D244" s="1" t="s">
        <v>31</v>
      </c>
      <c r="E244" s="4">
        <v>19</v>
      </c>
      <c r="F244" s="4">
        <v>11</v>
      </c>
      <c r="G244" s="1" t="s">
        <v>43</v>
      </c>
      <c r="H244" s="1" t="s">
        <v>15</v>
      </c>
      <c r="I244" s="5" t="s">
        <v>394</v>
      </c>
      <c r="J244" s="4">
        <v>50</v>
      </c>
      <c r="K244" s="1">
        <f t="shared" si="9"/>
        <v>1500</v>
      </c>
      <c r="L244" s="1">
        <f t="shared" si="10"/>
        <v>1500</v>
      </c>
      <c r="M244" s="1">
        <f t="shared" si="11"/>
        <v>1500</v>
      </c>
    </row>
    <row r="245" spans="1:13" x14ac:dyDescent="0.3">
      <c r="A245" s="1" t="s">
        <v>493</v>
      </c>
      <c r="B245" s="1" t="s">
        <v>51</v>
      </c>
      <c r="C245" s="1" t="s">
        <v>96</v>
      </c>
      <c r="D245" s="1" t="s">
        <v>31</v>
      </c>
      <c r="E245" s="4">
        <v>14</v>
      </c>
      <c r="F245" s="4">
        <v>12</v>
      </c>
      <c r="G245" s="1" t="s">
        <v>14</v>
      </c>
      <c r="H245" s="1" t="s">
        <v>26</v>
      </c>
      <c r="I245" s="5" t="s">
        <v>494</v>
      </c>
      <c r="J245" s="4">
        <v>47</v>
      </c>
      <c r="K245" s="1">
        <f t="shared" si="9"/>
        <v>1800</v>
      </c>
      <c r="L245" s="1">
        <f t="shared" si="10"/>
        <v>1800</v>
      </c>
      <c r="M245" s="1">
        <f t="shared" si="11"/>
        <v>1800</v>
      </c>
    </row>
    <row r="246" spans="1:13" x14ac:dyDescent="0.3">
      <c r="A246" s="1" t="s">
        <v>495</v>
      </c>
      <c r="B246" s="1" t="s">
        <v>35</v>
      </c>
      <c r="C246" s="1" t="s">
        <v>12</v>
      </c>
      <c r="D246" s="1" t="s">
        <v>13</v>
      </c>
      <c r="E246" s="4">
        <v>15</v>
      </c>
      <c r="F246" s="4">
        <v>12</v>
      </c>
      <c r="G246" s="1" t="s">
        <v>43</v>
      </c>
      <c r="H246" s="1" t="s">
        <v>20</v>
      </c>
      <c r="I246" s="5" t="s">
        <v>496</v>
      </c>
      <c r="J246" s="4">
        <v>49</v>
      </c>
      <c r="K246" s="1">
        <f t="shared" si="9"/>
        <v>1800</v>
      </c>
      <c r="L246" s="1">
        <f t="shared" si="10"/>
        <v>1800</v>
      </c>
      <c r="M246" s="1">
        <f t="shared" si="11"/>
        <v>1800</v>
      </c>
    </row>
    <row r="247" spans="1:13" x14ac:dyDescent="0.3">
      <c r="A247" s="1" t="s">
        <v>497</v>
      </c>
      <c r="B247" s="1" t="s">
        <v>51</v>
      </c>
      <c r="C247" s="1" t="s">
        <v>96</v>
      </c>
      <c r="D247" s="1" t="s">
        <v>13</v>
      </c>
      <c r="E247" s="4">
        <v>16</v>
      </c>
      <c r="F247" s="4">
        <v>9</v>
      </c>
      <c r="G247" s="1" t="s">
        <v>25</v>
      </c>
      <c r="H247" s="1" t="s">
        <v>26</v>
      </c>
      <c r="I247" s="5" t="s">
        <v>498</v>
      </c>
      <c r="J247" s="4">
        <v>42</v>
      </c>
      <c r="K247" s="1">
        <f t="shared" si="9"/>
        <v>1000</v>
      </c>
      <c r="L247" s="1">
        <f t="shared" si="10"/>
        <v>1000</v>
      </c>
      <c r="M247" s="1">
        <f t="shared" si="11"/>
        <v>1000</v>
      </c>
    </row>
    <row r="248" spans="1:13" x14ac:dyDescent="0.3">
      <c r="A248" s="1" t="s">
        <v>499</v>
      </c>
      <c r="B248" s="1" t="s">
        <v>54</v>
      </c>
      <c r="C248" s="1" t="s">
        <v>19</v>
      </c>
      <c r="D248" s="1" t="s">
        <v>31</v>
      </c>
      <c r="E248" s="4">
        <v>20</v>
      </c>
      <c r="F248" s="4">
        <v>9</v>
      </c>
      <c r="G248" s="1" t="s">
        <v>32</v>
      </c>
      <c r="H248" s="1" t="s">
        <v>46</v>
      </c>
      <c r="I248" s="5" t="s">
        <v>500</v>
      </c>
      <c r="J248" s="4">
        <v>42</v>
      </c>
      <c r="K248" s="1">
        <f t="shared" si="9"/>
        <v>1000</v>
      </c>
      <c r="L248" s="1">
        <f t="shared" si="10"/>
        <v>1000</v>
      </c>
      <c r="M248" s="1">
        <f t="shared" si="11"/>
        <v>1000</v>
      </c>
    </row>
    <row r="249" spans="1:13" x14ac:dyDescent="0.3">
      <c r="A249" s="1" t="s">
        <v>501</v>
      </c>
      <c r="B249" s="1" t="s">
        <v>84</v>
      </c>
      <c r="C249" s="1" t="s">
        <v>19</v>
      </c>
      <c r="D249" s="1" t="s">
        <v>13</v>
      </c>
      <c r="E249" s="4">
        <v>18</v>
      </c>
      <c r="F249" s="4">
        <v>10</v>
      </c>
      <c r="G249" s="1" t="s">
        <v>14</v>
      </c>
      <c r="H249" s="1" t="s">
        <v>61</v>
      </c>
      <c r="I249" s="5" t="s">
        <v>502</v>
      </c>
      <c r="J249" s="4">
        <v>76</v>
      </c>
      <c r="K249" s="1">
        <f t="shared" si="9"/>
        <v>1200</v>
      </c>
      <c r="L249" s="1">
        <f t="shared" si="10"/>
        <v>1200</v>
      </c>
      <c r="M249" s="1">
        <f t="shared" si="11"/>
        <v>1200</v>
      </c>
    </row>
    <row r="250" spans="1:13" x14ac:dyDescent="0.3">
      <c r="A250" s="1" t="s">
        <v>503</v>
      </c>
      <c r="B250" s="1" t="s">
        <v>84</v>
      </c>
      <c r="C250" s="1" t="s">
        <v>19</v>
      </c>
      <c r="D250" s="1" t="s">
        <v>31</v>
      </c>
      <c r="E250" s="4">
        <v>15</v>
      </c>
      <c r="F250" s="4">
        <v>10</v>
      </c>
      <c r="G250" s="1" t="s">
        <v>43</v>
      </c>
      <c r="H250" s="1" t="s">
        <v>61</v>
      </c>
      <c r="I250" s="5" t="s">
        <v>504</v>
      </c>
      <c r="J250" s="4">
        <v>44</v>
      </c>
      <c r="K250" s="1">
        <f t="shared" si="9"/>
        <v>1200</v>
      </c>
      <c r="L250" s="1">
        <f t="shared" si="10"/>
        <v>1200</v>
      </c>
      <c r="M250" s="1">
        <f t="shared" si="11"/>
        <v>1200</v>
      </c>
    </row>
    <row r="251" spans="1:13" x14ac:dyDescent="0.3">
      <c r="A251" s="1" t="s">
        <v>505</v>
      </c>
      <c r="B251" s="1" t="s">
        <v>11</v>
      </c>
      <c r="C251" s="1" t="s">
        <v>12</v>
      </c>
      <c r="D251" s="1" t="s">
        <v>31</v>
      </c>
      <c r="E251" s="4">
        <v>19</v>
      </c>
      <c r="F251" s="4">
        <v>10</v>
      </c>
      <c r="G251" s="1" t="s">
        <v>14</v>
      </c>
      <c r="H251" s="1" t="s">
        <v>40</v>
      </c>
      <c r="I251" s="5" t="s">
        <v>506</v>
      </c>
      <c r="J251" s="4">
        <v>77</v>
      </c>
      <c r="K251" s="1">
        <f t="shared" si="9"/>
        <v>1200</v>
      </c>
      <c r="L251" s="1">
        <f t="shared" si="10"/>
        <v>1200</v>
      </c>
      <c r="M251" s="1">
        <f t="shared" si="11"/>
        <v>1200</v>
      </c>
    </row>
    <row r="252" spans="1:13" x14ac:dyDescent="0.3">
      <c r="A252" s="1" t="s">
        <v>507</v>
      </c>
      <c r="B252" s="1" t="s">
        <v>54</v>
      </c>
      <c r="C252" s="1" t="s">
        <v>12</v>
      </c>
      <c r="D252" s="1" t="s">
        <v>31</v>
      </c>
      <c r="E252" s="4">
        <v>16</v>
      </c>
      <c r="F252" s="4">
        <v>12</v>
      </c>
      <c r="G252" s="1" t="s">
        <v>43</v>
      </c>
      <c r="H252" s="1" t="s">
        <v>61</v>
      </c>
      <c r="I252" s="5" t="s">
        <v>483</v>
      </c>
      <c r="J252" s="4">
        <v>45</v>
      </c>
      <c r="K252" s="1">
        <f t="shared" si="9"/>
        <v>1800</v>
      </c>
      <c r="L252" s="1">
        <f t="shared" si="10"/>
        <v>1800</v>
      </c>
      <c r="M252" s="1">
        <f t="shared" si="11"/>
        <v>1800</v>
      </c>
    </row>
    <row r="253" spans="1:13" x14ac:dyDescent="0.3">
      <c r="A253" s="1" t="s">
        <v>508</v>
      </c>
      <c r="B253" s="1" t="s">
        <v>73</v>
      </c>
      <c r="C253" s="1" t="s">
        <v>55</v>
      </c>
      <c r="D253" s="1" t="s">
        <v>13</v>
      </c>
      <c r="E253" s="4">
        <v>15</v>
      </c>
      <c r="F253" s="4">
        <v>11</v>
      </c>
      <c r="G253" s="1" t="s">
        <v>43</v>
      </c>
      <c r="H253" s="1" t="s">
        <v>46</v>
      </c>
      <c r="I253" s="5" t="s">
        <v>509</v>
      </c>
      <c r="J253" s="4">
        <v>54</v>
      </c>
      <c r="K253" s="1">
        <f t="shared" si="9"/>
        <v>1500</v>
      </c>
      <c r="L253" s="1">
        <f t="shared" si="10"/>
        <v>1500</v>
      </c>
      <c r="M253" s="1">
        <f t="shared" si="11"/>
        <v>1500</v>
      </c>
    </row>
    <row r="254" spans="1:13" x14ac:dyDescent="0.3">
      <c r="A254" s="1" t="s">
        <v>510</v>
      </c>
      <c r="B254" s="1" t="s">
        <v>54</v>
      </c>
      <c r="C254" s="1" t="s">
        <v>79</v>
      </c>
      <c r="D254" s="1" t="s">
        <v>31</v>
      </c>
      <c r="E254" s="4">
        <v>15</v>
      </c>
      <c r="F254" s="4">
        <v>9</v>
      </c>
      <c r="G254" s="1" t="s">
        <v>14</v>
      </c>
      <c r="H254" s="1" t="s">
        <v>40</v>
      </c>
      <c r="I254" s="5" t="s">
        <v>479</v>
      </c>
      <c r="J254" s="4">
        <v>66</v>
      </c>
      <c r="K254" s="1">
        <f t="shared" si="9"/>
        <v>1000</v>
      </c>
      <c r="L254" s="1">
        <f t="shared" si="10"/>
        <v>1000</v>
      </c>
      <c r="M254" s="1">
        <f t="shared" si="11"/>
        <v>1000</v>
      </c>
    </row>
    <row r="255" spans="1:13" x14ac:dyDescent="0.3">
      <c r="A255" s="1" t="s">
        <v>511</v>
      </c>
      <c r="B255" s="1" t="s">
        <v>35</v>
      </c>
      <c r="C255" s="1" t="s">
        <v>19</v>
      </c>
      <c r="D255" s="1" t="s">
        <v>31</v>
      </c>
      <c r="E255" s="4">
        <v>15</v>
      </c>
      <c r="F255" s="4">
        <v>9</v>
      </c>
      <c r="G255" s="1" t="s">
        <v>25</v>
      </c>
      <c r="H255" s="1" t="s">
        <v>15</v>
      </c>
      <c r="I255" s="5" t="s">
        <v>512</v>
      </c>
      <c r="J255" s="4">
        <v>95</v>
      </c>
      <c r="K255" s="1">
        <f t="shared" si="9"/>
        <v>1000</v>
      </c>
      <c r="L255" s="1">
        <f t="shared" si="10"/>
        <v>1000</v>
      </c>
      <c r="M255" s="1">
        <f t="shared" si="11"/>
        <v>1000</v>
      </c>
    </row>
    <row r="256" spans="1:13" x14ac:dyDescent="0.3">
      <c r="A256" s="1" t="s">
        <v>513</v>
      </c>
      <c r="B256" s="1" t="s">
        <v>11</v>
      </c>
      <c r="C256" s="1" t="s">
        <v>19</v>
      </c>
      <c r="D256" s="1" t="s">
        <v>31</v>
      </c>
      <c r="E256" s="4">
        <v>14</v>
      </c>
      <c r="F256" s="4">
        <v>12</v>
      </c>
      <c r="G256" s="1" t="s">
        <v>32</v>
      </c>
      <c r="H256" s="1" t="s">
        <v>15</v>
      </c>
      <c r="I256" s="5" t="s">
        <v>381</v>
      </c>
      <c r="J256" s="4">
        <v>65</v>
      </c>
      <c r="K256" s="1">
        <f t="shared" si="9"/>
        <v>1800</v>
      </c>
      <c r="L256" s="1">
        <f t="shared" si="10"/>
        <v>1800</v>
      </c>
      <c r="M256" s="1">
        <f t="shared" si="11"/>
        <v>1800</v>
      </c>
    </row>
    <row r="257" spans="1:13" x14ac:dyDescent="0.3">
      <c r="A257" s="1" t="s">
        <v>514</v>
      </c>
      <c r="B257" s="1" t="s">
        <v>11</v>
      </c>
      <c r="C257" s="1" t="s">
        <v>12</v>
      </c>
      <c r="D257" s="1" t="s">
        <v>31</v>
      </c>
      <c r="E257" s="4">
        <v>15</v>
      </c>
      <c r="F257" s="4">
        <v>11</v>
      </c>
      <c r="G257" s="1" t="s">
        <v>25</v>
      </c>
      <c r="H257" s="1" t="s">
        <v>20</v>
      </c>
      <c r="I257" s="5" t="s">
        <v>515</v>
      </c>
      <c r="J257" s="4">
        <v>61</v>
      </c>
      <c r="K257" s="1">
        <f t="shared" si="9"/>
        <v>1500</v>
      </c>
      <c r="L257" s="1">
        <f t="shared" si="10"/>
        <v>1500</v>
      </c>
      <c r="M257" s="1">
        <f t="shared" si="11"/>
        <v>1500</v>
      </c>
    </row>
    <row r="258" spans="1:13" x14ac:dyDescent="0.3">
      <c r="A258" s="1" t="s">
        <v>516</v>
      </c>
      <c r="B258" s="1" t="s">
        <v>18</v>
      </c>
      <c r="C258" s="1" t="s">
        <v>96</v>
      </c>
      <c r="D258" s="1" t="s">
        <v>31</v>
      </c>
      <c r="E258" s="4">
        <v>14</v>
      </c>
      <c r="F258" s="4">
        <v>11</v>
      </c>
      <c r="G258" s="1" t="s">
        <v>32</v>
      </c>
      <c r="H258" s="1" t="s">
        <v>46</v>
      </c>
      <c r="I258" s="5" t="s">
        <v>517</v>
      </c>
      <c r="J258" s="4">
        <v>86</v>
      </c>
      <c r="K258" s="1">
        <f t="shared" si="9"/>
        <v>1500</v>
      </c>
      <c r="L258" s="1">
        <f t="shared" si="10"/>
        <v>1500</v>
      </c>
      <c r="M258" s="1">
        <f t="shared" si="11"/>
        <v>1500</v>
      </c>
    </row>
    <row r="259" spans="1:13" x14ac:dyDescent="0.3">
      <c r="A259" s="1" t="s">
        <v>518</v>
      </c>
      <c r="B259" s="1" t="s">
        <v>51</v>
      </c>
      <c r="C259" s="1" t="s">
        <v>96</v>
      </c>
      <c r="D259" s="1" t="s">
        <v>31</v>
      </c>
      <c r="E259" s="4">
        <v>17</v>
      </c>
      <c r="F259" s="4">
        <v>11</v>
      </c>
      <c r="G259" s="1" t="s">
        <v>25</v>
      </c>
      <c r="H259" s="1" t="s">
        <v>61</v>
      </c>
      <c r="I259" s="5" t="s">
        <v>519</v>
      </c>
      <c r="J259" s="4">
        <v>52</v>
      </c>
      <c r="K259" s="1">
        <f t="shared" si="9"/>
        <v>1500</v>
      </c>
      <c r="L259" s="1">
        <f t="shared" si="10"/>
        <v>1500</v>
      </c>
      <c r="M259" s="1">
        <f t="shared" si="11"/>
        <v>1500</v>
      </c>
    </row>
    <row r="260" spans="1:13" x14ac:dyDescent="0.3">
      <c r="A260" s="1" t="s">
        <v>520</v>
      </c>
      <c r="B260" s="1" t="s">
        <v>68</v>
      </c>
      <c r="C260" s="1" t="s">
        <v>12</v>
      </c>
      <c r="D260" s="1" t="s">
        <v>31</v>
      </c>
      <c r="E260" s="4">
        <v>20</v>
      </c>
      <c r="F260" s="4">
        <v>10</v>
      </c>
      <c r="G260" s="1" t="s">
        <v>32</v>
      </c>
      <c r="H260" s="1" t="s">
        <v>26</v>
      </c>
      <c r="I260" s="5" t="s">
        <v>521</v>
      </c>
      <c r="J260" s="4">
        <v>42</v>
      </c>
      <c r="K260" s="1">
        <f t="shared" si="9"/>
        <v>1200</v>
      </c>
      <c r="L260" s="1">
        <f t="shared" si="10"/>
        <v>1200</v>
      </c>
      <c r="M260" s="1">
        <f t="shared" si="11"/>
        <v>1200</v>
      </c>
    </row>
    <row r="261" spans="1:13" x14ac:dyDescent="0.3">
      <c r="A261" s="1" t="s">
        <v>522</v>
      </c>
      <c r="B261" s="1" t="s">
        <v>54</v>
      </c>
      <c r="C261" s="1" t="s">
        <v>79</v>
      </c>
      <c r="D261" s="1" t="s">
        <v>31</v>
      </c>
      <c r="E261" s="4">
        <v>18</v>
      </c>
      <c r="F261" s="4">
        <v>10</v>
      </c>
      <c r="G261" s="1" t="s">
        <v>14</v>
      </c>
      <c r="H261" s="1" t="s">
        <v>61</v>
      </c>
      <c r="I261" s="5" t="s">
        <v>523</v>
      </c>
      <c r="J261" s="4">
        <v>82</v>
      </c>
      <c r="K261" s="1">
        <f t="shared" si="9"/>
        <v>1200</v>
      </c>
      <c r="L261" s="1">
        <f t="shared" si="10"/>
        <v>1200</v>
      </c>
      <c r="M261" s="1">
        <f t="shared" si="11"/>
        <v>1200</v>
      </c>
    </row>
    <row r="262" spans="1:13" x14ac:dyDescent="0.3">
      <c r="A262" s="1" t="s">
        <v>524</v>
      </c>
      <c r="B262" s="1" t="s">
        <v>35</v>
      </c>
      <c r="C262" s="1" t="s">
        <v>85</v>
      </c>
      <c r="D262" s="1" t="s">
        <v>13</v>
      </c>
      <c r="E262" s="4">
        <v>20</v>
      </c>
      <c r="F262" s="4">
        <v>10</v>
      </c>
      <c r="G262" s="1" t="s">
        <v>14</v>
      </c>
      <c r="H262" s="1" t="s">
        <v>40</v>
      </c>
      <c r="I262" s="5" t="s">
        <v>525</v>
      </c>
      <c r="J262" s="4">
        <v>92</v>
      </c>
      <c r="K262" s="1">
        <f t="shared" si="9"/>
        <v>1200</v>
      </c>
      <c r="L262" s="1">
        <f t="shared" si="10"/>
        <v>1200</v>
      </c>
      <c r="M262" s="1">
        <f t="shared" si="11"/>
        <v>1200</v>
      </c>
    </row>
    <row r="263" spans="1:13" x14ac:dyDescent="0.3">
      <c r="A263" s="1" t="s">
        <v>526</v>
      </c>
      <c r="B263" s="1" t="s">
        <v>18</v>
      </c>
      <c r="C263" s="1" t="s">
        <v>12</v>
      </c>
      <c r="D263" s="1" t="s">
        <v>31</v>
      </c>
      <c r="E263" s="4">
        <v>18</v>
      </c>
      <c r="F263" s="4">
        <v>9</v>
      </c>
      <c r="G263" s="1" t="s">
        <v>14</v>
      </c>
      <c r="H263" s="1" t="s">
        <v>15</v>
      </c>
      <c r="I263" s="5" t="s">
        <v>346</v>
      </c>
      <c r="J263" s="4">
        <v>59</v>
      </c>
      <c r="K263" s="1">
        <f t="shared" si="9"/>
        <v>1000</v>
      </c>
      <c r="L263" s="1">
        <f t="shared" si="10"/>
        <v>1000</v>
      </c>
      <c r="M263" s="1">
        <f t="shared" si="11"/>
        <v>1000</v>
      </c>
    </row>
    <row r="264" spans="1:13" x14ac:dyDescent="0.3">
      <c r="A264" s="1" t="s">
        <v>527</v>
      </c>
      <c r="B264" s="1" t="s">
        <v>11</v>
      </c>
      <c r="C264" s="1" t="s">
        <v>85</v>
      </c>
      <c r="D264" s="1" t="s">
        <v>13</v>
      </c>
      <c r="E264" s="4">
        <v>20</v>
      </c>
      <c r="F264" s="4">
        <v>12</v>
      </c>
      <c r="G264" s="1" t="s">
        <v>25</v>
      </c>
      <c r="H264" s="1" t="s">
        <v>46</v>
      </c>
      <c r="I264" s="5" t="s">
        <v>451</v>
      </c>
      <c r="J264" s="4">
        <v>86</v>
      </c>
      <c r="K264" s="1">
        <f t="shared" si="9"/>
        <v>1800</v>
      </c>
      <c r="L264" s="1">
        <f t="shared" si="10"/>
        <v>1800</v>
      </c>
      <c r="M264" s="1">
        <f t="shared" si="11"/>
        <v>1800</v>
      </c>
    </row>
    <row r="265" spans="1:13" x14ac:dyDescent="0.3">
      <c r="A265" s="1" t="s">
        <v>528</v>
      </c>
      <c r="B265" s="1" t="s">
        <v>51</v>
      </c>
      <c r="C265" s="1" t="s">
        <v>19</v>
      </c>
      <c r="D265" s="1" t="s">
        <v>13</v>
      </c>
      <c r="E265" s="4">
        <v>19</v>
      </c>
      <c r="F265" s="4">
        <v>9</v>
      </c>
      <c r="G265" s="1" t="s">
        <v>43</v>
      </c>
      <c r="H265" s="1" t="s">
        <v>46</v>
      </c>
      <c r="I265" s="5" t="s">
        <v>222</v>
      </c>
      <c r="J265" s="4">
        <v>46</v>
      </c>
      <c r="K265" s="1">
        <f t="shared" ref="K265:K328" si="12">VLOOKUP($F265,$A$1:$B$5,2,0)</f>
        <v>1000</v>
      </c>
      <c r="L265" s="1">
        <f t="shared" ref="L265:L328" si="13">INDEX($B$2:$B$5,MATCH($F265,$A$2:$A$5,0))</f>
        <v>1000</v>
      </c>
      <c r="M265" s="1">
        <f t="shared" ref="M265:M328" si="14">_xlfn.XLOOKUP($F265,$A$2:$A$5,$B$2:$B$5)</f>
        <v>1000</v>
      </c>
    </row>
    <row r="266" spans="1:13" x14ac:dyDescent="0.3">
      <c r="A266" s="1" t="s">
        <v>529</v>
      </c>
      <c r="B266" s="1" t="s">
        <v>84</v>
      </c>
      <c r="C266" s="1" t="s">
        <v>24</v>
      </c>
      <c r="D266" s="1" t="s">
        <v>31</v>
      </c>
      <c r="E266" s="4">
        <v>20</v>
      </c>
      <c r="F266" s="4">
        <v>12</v>
      </c>
      <c r="G266" s="1" t="s">
        <v>25</v>
      </c>
      <c r="H266" s="1" t="s">
        <v>76</v>
      </c>
      <c r="I266" s="5" t="s">
        <v>186</v>
      </c>
      <c r="J266" s="4">
        <v>51</v>
      </c>
      <c r="K266" s="1">
        <f t="shared" si="12"/>
        <v>1800</v>
      </c>
      <c r="L266" s="1">
        <f t="shared" si="13"/>
        <v>1800</v>
      </c>
      <c r="M266" s="1">
        <f t="shared" si="14"/>
        <v>1800</v>
      </c>
    </row>
    <row r="267" spans="1:13" x14ac:dyDescent="0.3">
      <c r="A267" s="1" t="s">
        <v>530</v>
      </c>
      <c r="B267" s="1" t="s">
        <v>54</v>
      </c>
      <c r="C267" s="1" t="s">
        <v>58</v>
      </c>
      <c r="D267" s="1" t="s">
        <v>13</v>
      </c>
      <c r="E267" s="4">
        <v>17</v>
      </c>
      <c r="F267" s="4">
        <v>10</v>
      </c>
      <c r="G267" s="1" t="s">
        <v>32</v>
      </c>
      <c r="H267" s="1" t="s">
        <v>15</v>
      </c>
      <c r="I267" s="5" t="s">
        <v>64</v>
      </c>
      <c r="J267" s="4">
        <v>46</v>
      </c>
      <c r="K267" s="1">
        <f t="shared" si="12"/>
        <v>1200</v>
      </c>
      <c r="L267" s="1">
        <f t="shared" si="13"/>
        <v>1200</v>
      </c>
      <c r="M267" s="1">
        <f t="shared" si="14"/>
        <v>1200</v>
      </c>
    </row>
    <row r="268" spans="1:13" x14ac:dyDescent="0.3">
      <c r="A268" s="1" t="s">
        <v>531</v>
      </c>
      <c r="B268" s="1" t="s">
        <v>23</v>
      </c>
      <c r="C268" s="1" t="s">
        <v>36</v>
      </c>
      <c r="D268" s="1" t="s">
        <v>13</v>
      </c>
      <c r="E268" s="4">
        <v>20</v>
      </c>
      <c r="F268" s="4">
        <v>11</v>
      </c>
      <c r="G268" s="1" t="s">
        <v>43</v>
      </c>
      <c r="H268" s="1" t="s">
        <v>20</v>
      </c>
      <c r="I268" s="5" t="s">
        <v>178</v>
      </c>
      <c r="J268" s="4">
        <v>44</v>
      </c>
      <c r="K268" s="1">
        <f t="shared" si="12"/>
        <v>1500</v>
      </c>
      <c r="L268" s="1">
        <f t="shared" si="13"/>
        <v>1500</v>
      </c>
      <c r="M268" s="1">
        <f t="shared" si="14"/>
        <v>1500</v>
      </c>
    </row>
    <row r="269" spans="1:13" x14ac:dyDescent="0.3">
      <c r="A269" s="1" t="s">
        <v>532</v>
      </c>
      <c r="B269" s="1" t="s">
        <v>51</v>
      </c>
      <c r="C269" s="1" t="s">
        <v>19</v>
      </c>
      <c r="D269" s="1" t="s">
        <v>31</v>
      </c>
      <c r="E269" s="4">
        <v>14</v>
      </c>
      <c r="F269" s="4">
        <v>11</v>
      </c>
      <c r="G269" s="1" t="s">
        <v>43</v>
      </c>
      <c r="H269" s="1" t="s">
        <v>20</v>
      </c>
      <c r="I269" s="5" t="s">
        <v>533</v>
      </c>
      <c r="J269" s="4">
        <v>93</v>
      </c>
      <c r="K269" s="1">
        <f t="shared" si="12"/>
        <v>1500</v>
      </c>
      <c r="L269" s="1">
        <f t="shared" si="13"/>
        <v>1500</v>
      </c>
      <c r="M269" s="1">
        <f t="shared" si="14"/>
        <v>1500</v>
      </c>
    </row>
    <row r="270" spans="1:13" x14ac:dyDescent="0.3">
      <c r="A270" s="1" t="s">
        <v>534</v>
      </c>
      <c r="B270" s="1" t="s">
        <v>23</v>
      </c>
      <c r="C270" s="1" t="s">
        <v>19</v>
      </c>
      <c r="D270" s="1" t="s">
        <v>13</v>
      </c>
      <c r="E270" s="4">
        <v>20</v>
      </c>
      <c r="F270" s="4">
        <v>11</v>
      </c>
      <c r="G270" s="1" t="s">
        <v>32</v>
      </c>
      <c r="H270" s="1" t="s">
        <v>76</v>
      </c>
      <c r="I270" s="5" t="s">
        <v>358</v>
      </c>
      <c r="J270" s="4">
        <v>41</v>
      </c>
      <c r="K270" s="1">
        <f t="shared" si="12"/>
        <v>1500</v>
      </c>
      <c r="L270" s="1">
        <f t="shared" si="13"/>
        <v>1500</v>
      </c>
      <c r="M270" s="1">
        <f t="shared" si="14"/>
        <v>1500</v>
      </c>
    </row>
    <row r="271" spans="1:13" x14ac:dyDescent="0.3">
      <c r="A271" s="1" t="s">
        <v>535</v>
      </c>
      <c r="B271" s="1" t="s">
        <v>84</v>
      </c>
      <c r="C271" s="1" t="s">
        <v>58</v>
      </c>
      <c r="D271" s="1" t="s">
        <v>13</v>
      </c>
      <c r="E271" s="4">
        <v>20</v>
      </c>
      <c r="F271" s="4">
        <v>9</v>
      </c>
      <c r="G271" s="1" t="s">
        <v>25</v>
      </c>
      <c r="H271" s="1" t="s">
        <v>46</v>
      </c>
      <c r="I271" s="5" t="s">
        <v>536</v>
      </c>
      <c r="J271" s="4">
        <v>58</v>
      </c>
      <c r="K271" s="1">
        <f t="shared" si="12"/>
        <v>1000</v>
      </c>
      <c r="L271" s="1">
        <f t="shared" si="13"/>
        <v>1000</v>
      </c>
      <c r="M271" s="1">
        <f t="shared" si="14"/>
        <v>1000</v>
      </c>
    </row>
    <row r="272" spans="1:13" x14ac:dyDescent="0.3">
      <c r="A272" s="1" t="s">
        <v>537</v>
      </c>
      <c r="B272" s="1" t="s">
        <v>68</v>
      </c>
      <c r="C272" s="1" t="s">
        <v>36</v>
      </c>
      <c r="D272" s="1" t="s">
        <v>31</v>
      </c>
      <c r="E272" s="4">
        <v>16</v>
      </c>
      <c r="F272" s="4">
        <v>12</v>
      </c>
      <c r="G272" s="1" t="s">
        <v>25</v>
      </c>
      <c r="H272" s="1" t="s">
        <v>26</v>
      </c>
      <c r="I272" s="5" t="s">
        <v>538</v>
      </c>
      <c r="J272" s="4">
        <v>42</v>
      </c>
      <c r="K272" s="1">
        <f t="shared" si="12"/>
        <v>1800</v>
      </c>
      <c r="L272" s="1">
        <f t="shared" si="13"/>
        <v>1800</v>
      </c>
      <c r="M272" s="1">
        <f t="shared" si="14"/>
        <v>1800</v>
      </c>
    </row>
    <row r="273" spans="1:13" x14ac:dyDescent="0.3">
      <c r="A273" s="1" t="s">
        <v>539</v>
      </c>
      <c r="B273" s="1" t="s">
        <v>73</v>
      </c>
      <c r="C273" s="1" t="s">
        <v>36</v>
      </c>
      <c r="D273" s="1" t="s">
        <v>31</v>
      </c>
      <c r="E273" s="4">
        <v>14</v>
      </c>
      <c r="F273" s="4">
        <v>12</v>
      </c>
      <c r="G273" s="1" t="s">
        <v>43</v>
      </c>
      <c r="H273" s="1" t="s">
        <v>61</v>
      </c>
      <c r="I273" s="5" t="s">
        <v>387</v>
      </c>
      <c r="J273" s="4">
        <v>37</v>
      </c>
      <c r="K273" s="1">
        <f t="shared" si="12"/>
        <v>1800</v>
      </c>
      <c r="L273" s="1">
        <f t="shared" si="13"/>
        <v>1800</v>
      </c>
      <c r="M273" s="1">
        <f t="shared" si="14"/>
        <v>1800</v>
      </c>
    </row>
    <row r="274" spans="1:13" x14ac:dyDescent="0.3">
      <c r="A274" s="1" t="s">
        <v>540</v>
      </c>
      <c r="B274" s="1" t="s">
        <v>51</v>
      </c>
      <c r="C274" s="1" t="s">
        <v>85</v>
      </c>
      <c r="D274" s="1" t="s">
        <v>13</v>
      </c>
      <c r="E274" s="4">
        <v>18</v>
      </c>
      <c r="F274" s="4">
        <v>10</v>
      </c>
      <c r="G274" s="1" t="s">
        <v>14</v>
      </c>
      <c r="H274" s="1" t="s">
        <v>46</v>
      </c>
      <c r="I274" s="5" t="s">
        <v>541</v>
      </c>
      <c r="J274" s="4">
        <v>63</v>
      </c>
      <c r="K274" s="1">
        <f t="shared" si="12"/>
        <v>1200</v>
      </c>
      <c r="L274" s="1">
        <f t="shared" si="13"/>
        <v>1200</v>
      </c>
      <c r="M274" s="1">
        <f t="shared" si="14"/>
        <v>1200</v>
      </c>
    </row>
    <row r="275" spans="1:13" x14ac:dyDescent="0.3">
      <c r="A275" s="1" t="s">
        <v>542</v>
      </c>
      <c r="B275" s="1" t="s">
        <v>84</v>
      </c>
      <c r="C275" s="1" t="s">
        <v>55</v>
      </c>
      <c r="D275" s="1" t="s">
        <v>31</v>
      </c>
      <c r="E275" s="4">
        <v>18</v>
      </c>
      <c r="F275" s="4">
        <v>12</v>
      </c>
      <c r="G275" s="1" t="s">
        <v>32</v>
      </c>
      <c r="H275" s="1" t="s">
        <v>40</v>
      </c>
      <c r="I275" s="5" t="s">
        <v>543</v>
      </c>
      <c r="J275" s="4">
        <v>51</v>
      </c>
      <c r="K275" s="1">
        <f t="shared" si="12"/>
        <v>1800</v>
      </c>
      <c r="L275" s="1">
        <f t="shared" si="13"/>
        <v>1800</v>
      </c>
      <c r="M275" s="1">
        <f t="shared" si="14"/>
        <v>1800</v>
      </c>
    </row>
    <row r="276" spans="1:13" x14ac:dyDescent="0.3">
      <c r="A276" s="1" t="s">
        <v>544</v>
      </c>
      <c r="B276" s="1" t="s">
        <v>68</v>
      </c>
      <c r="C276" s="1" t="s">
        <v>19</v>
      </c>
      <c r="D276" s="1" t="s">
        <v>31</v>
      </c>
      <c r="E276" s="4">
        <v>16</v>
      </c>
      <c r="F276" s="4">
        <v>9</v>
      </c>
      <c r="G276" s="1" t="s">
        <v>14</v>
      </c>
      <c r="H276" s="1" t="s">
        <v>40</v>
      </c>
      <c r="I276" s="5" t="s">
        <v>545</v>
      </c>
      <c r="J276" s="4">
        <v>37</v>
      </c>
      <c r="K276" s="1">
        <f t="shared" si="12"/>
        <v>1000</v>
      </c>
      <c r="L276" s="1">
        <f t="shared" si="13"/>
        <v>1000</v>
      </c>
      <c r="M276" s="1">
        <f t="shared" si="14"/>
        <v>1000</v>
      </c>
    </row>
    <row r="277" spans="1:13" x14ac:dyDescent="0.3">
      <c r="A277" s="1" t="s">
        <v>546</v>
      </c>
      <c r="B277" s="1" t="s">
        <v>51</v>
      </c>
      <c r="C277" s="1" t="s">
        <v>36</v>
      </c>
      <c r="D277" s="1" t="s">
        <v>31</v>
      </c>
      <c r="E277" s="4">
        <v>14</v>
      </c>
      <c r="F277" s="4">
        <v>9</v>
      </c>
      <c r="G277" s="1" t="s">
        <v>14</v>
      </c>
      <c r="H277" s="1" t="s">
        <v>46</v>
      </c>
      <c r="I277" s="5" t="s">
        <v>547</v>
      </c>
      <c r="J277" s="4">
        <v>81</v>
      </c>
      <c r="K277" s="1">
        <f t="shared" si="12"/>
        <v>1000</v>
      </c>
      <c r="L277" s="1">
        <f t="shared" si="13"/>
        <v>1000</v>
      </c>
      <c r="M277" s="1">
        <f t="shared" si="14"/>
        <v>1000</v>
      </c>
    </row>
    <row r="278" spans="1:13" x14ac:dyDescent="0.3">
      <c r="A278" s="1" t="s">
        <v>548</v>
      </c>
      <c r="B278" s="1" t="s">
        <v>51</v>
      </c>
      <c r="C278" s="1" t="s">
        <v>24</v>
      </c>
      <c r="D278" s="1" t="s">
        <v>31</v>
      </c>
      <c r="E278" s="4">
        <v>15</v>
      </c>
      <c r="F278" s="4">
        <v>11</v>
      </c>
      <c r="G278" s="1" t="s">
        <v>32</v>
      </c>
      <c r="H278" s="1" t="s">
        <v>40</v>
      </c>
      <c r="I278" s="5" t="s">
        <v>549</v>
      </c>
      <c r="J278" s="4">
        <v>90</v>
      </c>
      <c r="K278" s="1">
        <f t="shared" si="12"/>
        <v>1500</v>
      </c>
      <c r="L278" s="1">
        <f t="shared" si="13"/>
        <v>1500</v>
      </c>
      <c r="M278" s="1">
        <f t="shared" si="14"/>
        <v>1500</v>
      </c>
    </row>
    <row r="279" spans="1:13" x14ac:dyDescent="0.3">
      <c r="A279" s="1" t="s">
        <v>550</v>
      </c>
      <c r="B279" s="1" t="s">
        <v>73</v>
      </c>
      <c r="C279" s="1" t="s">
        <v>19</v>
      </c>
      <c r="D279" s="1" t="s">
        <v>13</v>
      </c>
      <c r="E279" s="4">
        <v>14</v>
      </c>
      <c r="F279" s="4">
        <v>11</v>
      </c>
      <c r="G279" s="1" t="s">
        <v>32</v>
      </c>
      <c r="H279" s="1" t="s">
        <v>26</v>
      </c>
      <c r="I279" s="5" t="s">
        <v>551</v>
      </c>
      <c r="J279" s="4">
        <v>90</v>
      </c>
      <c r="K279" s="1">
        <f t="shared" si="12"/>
        <v>1500</v>
      </c>
      <c r="L279" s="1">
        <f t="shared" si="13"/>
        <v>1500</v>
      </c>
      <c r="M279" s="1">
        <f t="shared" si="14"/>
        <v>1500</v>
      </c>
    </row>
    <row r="280" spans="1:13" x14ac:dyDescent="0.3">
      <c r="A280" s="1" t="s">
        <v>552</v>
      </c>
      <c r="B280" s="1" t="s">
        <v>35</v>
      </c>
      <c r="C280" s="1" t="s">
        <v>30</v>
      </c>
      <c r="D280" s="1" t="s">
        <v>13</v>
      </c>
      <c r="E280" s="4">
        <v>19</v>
      </c>
      <c r="F280" s="4">
        <v>11</v>
      </c>
      <c r="G280" s="1" t="s">
        <v>14</v>
      </c>
      <c r="H280" s="1" t="s">
        <v>76</v>
      </c>
      <c r="I280" s="5" t="s">
        <v>553</v>
      </c>
      <c r="J280" s="4">
        <v>81</v>
      </c>
      <c r="K280" s="1">
        <f t="shared" si="12"/>
        <v>1500</v>
      </c>
      <c r="L280" s="1">
        <f t="shared" si="13"/>
        <v>1500</v>
      </c>
      <c r="M280" s="1">
        <f t="shared" si="14"/>
        <v>1500</v>
      </c>
    </row>
    <row r="281" spans="1:13" x14ac:dyDescent="0.3">
      <c r="A281" s="1" t="s">
        <v>554</v>
      </c>
      <c r="B281" s="1" t="s">
        <v>29</v>
      </c>
      <c r="C281" s="1" t="s">
        <v>79</v>
      </c>
      <c r="D281" s="1" t="s">
        <v>13</v>
      </c>
      <c r="E281" s="4">
        <v>15</v>
      </c>
      <c r="F281" s="4">
        <v>9</v>
      </c>
      <c r="G281" s="1" t="s">
        <v>32</v>
      </c>
      <c r="H281" s="1" t="s">
        <v>76</v>
      </c>
      <c r="I281" s="5" t="s">
        <v>184</v>
      </c>
      <c r="J281" s="4">
        <v>53</v>
      </c>
      <c r="K281" s="1">
        <f t="shared" si="12"/>
        <v>1000</v>
      </c>
      <c r="L281" s="1">
        <f t="shared" si="13"/>
        <v>1000</v>
      </c>
      <c r="M281" s="1">
        <f t="shared" si="14"/>
        <v>1000</v>
      </c>
    </row>
    <row r="282" spans="1:13" x14ac:dyDescent="0.3">
      <c r="A282" s="1" t="s">
        <v>555</v>
      </c>
      <c r="B282" s="1" t="s">
        <v>73</v>
      </c>
      <c r="C282" s="1" t="s">
        <v>55</v>
      </c>
      <c r="D282" s="1" t="s">
        <v>31</v>
      </c>
      <c r="E282" s="4">
        <v>16</v>
      </c>
      <c r="F282" s="4">
        <v>9</v>
      </c>
      <c r="G282" s="1" t="s">
        <v>14</v>
      </c>
      <c r="H282" s="1" t="s">
        <v>76</v>
      </c>
      <c r="I282" s="5" t="s">
        <v>556</v>
      </c>
      <c r="J282" s="4">
        <v>93</v>
      </c>
      <c r="K282" s="1">
        <f t="shared" si="12"/>
        <v>1000</v>
      </c>
      <c r="L282" s="1">
        <f t="shared" si="13"/>
        <v>1000</v>
      </c>
      <c r="M282" s="1">
        <f t="shared" si="14"/>
        <v>1000</v>
      </c>
    </row>
    <row r="283" spans="1:13" x14ac:dyDescent="0.3">
      <c r="A283" s="1" t="s">
        <v>557</v>
      </c>
      <c r="B283" s="1" t="s">
        <v>23</v>
      </c>
      <c r="C283" s="1" t="s">
        <v>96</v>
      </c>
      <c r="D283" s="1" t="s">
        <v>13</v>
      </c>
      <c r="E283" s="4">
        <v>18</v>
      </c>
      <c r="F283" s="4">
        <v>11</v>
      </c>
      <c r="G283" s="1" t="s">
        <v>25</v>
      </c>
      <c r="H283" s="1" t="s">
        <v>76</v>
      </c>
      <c r="I283" s="5" t="s">
        <v>182</v>
      </c>
      <c r="J283" s="4">
        <v>77</v>
      </c>
      <c r="K283" s="1">
        <f t="shared" si="12"/>
        <v>1500</v>
      </c>
      <c r="L283" s="1">
        <f t="shared" si="13"/>
        <v>1500</v>
      </c>
      <c r="M283" s="1">
        <f t="shared" si="14"/>
        <v>1500</v>
      </c>
    </row>
    <row r="284" spans="1:13" x14ac:dyDescent="0.3">
      <c r="A284" s="1" t="s">
        <v>558</v>
      </c>
      <c r="B284" s="1" t="s">
        <v>54</v>
      </c>
      <c r="C284" s="1" t="s">
        <v>30</v>
      </c>
      <c r="D284" s="1" t="s">
        <v>31</v>
      </c>
      <c r="E284" s="4">
        <v>19</v>
      </c>
      <c r="F284" s="4">
        <v>10</v>
      </c>
      <c r="G284" s="1" t="s">
        <v>43</v>
      </c>
      <c r="H284" s="1" t="s">
        <v>76</v>
      </c>
      <c r="I284" s="5" t="s">
        <v>559</v>
      </c>
      <c r="J284" s="4">
        <v>40</v>
      </c>
      <c r="K284" s="1">
        <f t="shared" si="12"/>
        <v>1200</v>
      </c>
      <c r="L284" s="1">
        <f t="shared" si="13"/>
        <v>1200</v>
      </c>
      <c r="M284" s="1">
        <f t="shared" si="14"/>
        <v>1200</v>
      </c>
    </row>
    <row r="285" spans="1:13" x14ac:dyDescent="0.3">
      <c r="A285" s="1" t="s">
        <v>560</v>
      </c>
      <c r="B285" s="1" t="s">
        <v>68</v>
      </c>
      <c r="C285" s="1" t="s">
        <v>85</v>
      </c>
      <c r="D285" s="1" t="s">
        <v>31</v>
      </c>
      <c r="E285" s="4">
        <v>15</v>
      </c>
      <c r="F285" s="4">
        <v>10</v>
      </c>
      <c r="G285" s="1" t="s">
        <v>43</v>
      </c>
      <c r="H285" s="1" t="s">
        <v>26</v>
      </c>
      <c r="I285" s="5" t="s">
        <v>561</v>
      </c>
      <c r="J285" s="4">
        <v>63</v>
      </c>
      <c r="K285" s="1">
        <f t="shared" si="12"/>
        <v>1200</v>
      </c>
      <c r="L285" s="1">
        <f t="shared" si="13"/>
        <v>1200</v>
      </c>
      <c r="M285" s="1">
        <f t="shared" si="14"/>
        <v>1200</v>
      </c>
    </row>
    <row r="286" spans="1:13" x14ac:dyDescent="0.3">
      <c r="A286" s="1" t="s">
        <v>562</v>
      </c>
      <c r="B286" s="1" t="s">
        <v>29</v>
      </c>
      <c r="C286" s="1" t="s">
        <v>79</v>
      </c>
      <c r="D286" s="1" t="s">
        <v>31</v>
      </c>
      <c r="E286" s="4">
        <v>15</v>
      </c>
      <c r="F286" s="4">
        <v>12</v>
      </c>
      <c r="G286" s="1" t="s">
        <v>32</v>
      </c>
      <c r="H286" s="1" t="s">
        <v>46</v>
      </c>
      <c r="I286" s="5" t="s">
        <v>121</v>
      </c>
      <c r="J286" s="4">
        <v>53</v>
      </c>
      <c r="K286" s="1">
        <f t="shared" si="12"/>
        <v>1800</v>
      </c>
      <c r="L286" s="1">
        <f t="shared" si="13"/>
        <v>1800</v>
      </c>
      <c r="M286" s="1">
        <f t="shared" si="14"/>
        <v>1800</v>
      </c>
    </row>
    <row r="287" spans="1:13" x14ac:dyDescent="0.3">
      <c r="A287" s="1" t="s">
        <v>563</v>
      </c>
      <c r="B287" s="1" t="s">
        <v>35</v>
      </c>
      <c r="C287" s="1" t="s">
        <v>55</v>
      </c>
      <c r="D287" s="1" t="s">
        <v>31</v>
      </c>
      <c r="E287" s="4">
        <v>19</v>
      </c>
      <c r="F287" s="4">
        <v>10</v>
      </c>
      <c r="G287" s="1" t="s">
        <v>43</v>
      </c>
      <c r="H287" s="1" t="s">
        <v>46</v>
      </c>
      <c r="I287" s="5" t="s">
        <v>564</v>
      </c>
      <c r="J287" s="4">
        <v>72</v>
      </c>
      <c r="K287" s="1">
        <f t="shared" si="12"/>
        <v>1200</v>
      </c>
      <c r="L287" s="1">
        <f t="shared" si="13"/>
        <v>1200</v>
      </c>
      <c r="M287" s="1">
        <f t="shared" si="14"/>
        <v>1200</v>
      </c>
    </row>
    <row r="288" spans="1:13" x14ac:dyDescent="0.3">
      <c r="A288" s="1" t="s">
        <v>565</v>
      </c>
      <c r="B288" s="1" t="s">
        <v>54</v>
      </c>
      <c r="C288" s="1" t="s">
        <v>79</v>
      </c>
      <c r="D288" s="1" t="s">
        <v>31</v>
      </c>
      <c r="E288" s="4">
        <v>20</v>
      </c>
      <c r="F288" s="4">
        <v>9</v>
      </c>
      <c r="G288" s="1" t="s">
        <v>43</v>
      </c>
      <c r="H288" s="1" t="s">
        <v>20</v>
      </c>
      <c r="I288" s="5" t="s">
        <v>566</v>
      </c>
      <c r="J288" s="4">
        <v>67</v>
      </c>
      <c r="K288" s="1">
        <f t="shared" si="12"/>
        <v>1000</v>
      </c>
      <c r="L288" s="1">
        <f t="shared" si="13"/>
        <v>1000</v>
      </c>
      <c r="M288" s="1">
        <f t="shared" si="14"/>
        <v>1000</v>
      </c>
    </row>
    <row r="289" spans="1:13" x14ac:dyDescent="0.3">
      <c r="A289" s="1" t="s">
        <v>567</v>
      </c>
      <c r="B289" s="1" t="s">
        <v>54</v>
      </c>
      <c r="C289" s="1" t="s">
        <v>12</v>
      </c>
      <c r="D289" s="1" t="s">
        <v>31</v>
      </c>
      <c r="E289" s="4">
        <v>18</v>
      </c>
      <c r="F289" s="4">
        <v>12</v>
      </c>
      <c r="G289" s="1" t="s">
        <v>25</v>
      </c>
      <c r="H289" s="1" t="s">
        <v>26</v>
      </c>
      <c r="I289" s="5" t="s">
        <v>568</v>
      </c>
      <c r="J289" s="4">
        <v>96</v>
      </c>
      <c r="K289" s="1">
        <f t="shared" si="12"/>
        <v>1800</v>
      </c>
      <c r="L289" s="1">
        <f t="shared" si="13"/>
        <v>1800</v>
      </c>
      <c r="M289" s="1">
        <f t="shared" si="14"/>
        <v>1800</v>
      </c>
    </row>
    <row r="290" spans="1:13" x14ac:dyDescent="0.3">
      <c r="A290" s="1" t="s">
        <v>569</v>
      </c>
      <c r="B290" s="1" t="s">
        <v>54</v>
      </c>
      <c r="C290" s="1" t="s">
        <v>12</v>
      </c>
      <c r="D290" s="1" t="s">
        <v>31</v>
      </c>
      <c r="E290" s="4">
        <v>17</v>
      </c>
      <c r="F290" s="4">
        <v>9</v>
      </c>
      <c r="G290" s="1" t="s">
        <v>25</v>
      </c>
      <c r="H290" s="1" t="s">
        <v>37</v>
      </c>
      <c r="I290" s="5" t="s">
        <v>570</v>
      </c>
      <c r="J290" s="4">
        <v>100</v>
      </c>
      <c r="K290" s="1">
        <f t="shared" si="12"/>
        <v>1000</v>
      </c>
      <c r="L290" s="1">
        <f t="shared" si="13"/>
        <v>1000</v>
      </c>
      <c r="M290" s="1">
        <f t="shared" si="14"/>
        <v>1000</v>
      </c>
    </row>
    <row r="291" spans="1:13" x14ac:dyDescent="0.3">
      <c r="A291" s="1" t="s">
        <v>571</v>
      </c>
      <c r="B291" s="1" t="s">
        <v>68</v>
      </c>
      <c r="C291" s="1" t="s">
        <v>12</v>
      </c>
      <c r="D291" s="1" t="s">
        <v>13</v>
      </c>
      <c r="E291" s="4">
        <v>16</v>
      </c>
      <c r="F291" s="4">
        <v>10</v>
      </c>
      <c r="G291" s="1" t="s">
        <v>25</v>
      </c>
      <c r="H291" s="1" t="s">
        <v>26</v>
      </c>
      <c r="I291" s="5" t="s">
        <v>434</v>
      </c>
      <c r="J291" s="4">
        <v>63</v>
      </c>
      <c r="K291" s="1">
        <f t="shared" si="12"/>
        <v>1200</v>
      </c>
      <c r="L291" s="1">
        <f t="shared" si="13"/>
        <v>1200</v>
      </c>
      <c r="M291" s="1">
        <f t="shared" si="14"/>
        <v>1200</v>
      </c>
    </row>
    <row r="292" spans="1:13" x14ac:dyDescent="0.3">
      <c r="A292" s="1" t="s">
        <v>572</v>
      </c>
      <c r="B292" s="1" t="s">
        <v>23</v>
      </c>
      <c r="C292" s="1" t="s">
        <v>19</v>
      </c>
      <c r="D292" s="1" t="s">
        <v>31</v>
      </c>
      <c r="E292" s="4">
        <v>19</v>
      </c>
      <c r="F292" s="4">
        <v>10</v>
      </c>
      <c r="G292" s="1" t="s">
        <v>32</v>
      </c>
      <c r="H292" s="1" t="s">
        <v>20</v>
      </c>
      <c r="I292" s="5" t="s">
        <v>400</v>
      </c>
      <c r="J292" s="4">
        <v>53</v>
      </c>
      <c r="K292" s="1">
        <f t="shared" si="12"/>
        <v>1200</v>
      </c>
      <c r="L292" s="1">
        <f t="shared" si="13"/>
        <v>1200</v>
      </c>
      <c r="M292" s="1">
        <f t="shared" si="14"/>
        <v>1200</v>
      </c>
    </row>
    <row r="293" spans="1:13" x14ac:dyDescent="0.3">
      <c r="A293" s="1" t="s">
        <v>573</v>
      </c>
      <c r="B293" s="1" t="s">
        <v>54</v>
      </c>
      <c r="C293" s="1" t="s">
        <v>24</v>
      </c>
      <c r="D293" s="1" t="s">
        <v>13</v>
      </c>
      <c r="E293" s="4">
        <v>19</v>
      </c>
      <c r="F293" s="4">
        <v>9</v>
      </c>
      <c r="G293" s="1" t="s">
        <v>43</v>
      </c>
      <c r="H293" s="1" t="s">
        <v>46</v>
      </c>
      <c r="I293" s="5" t="s">
        <v>574</v>
      </c>
      <c r="J293" s="4">
        <v>94</v>
      </c>
      <c r="K293" s="1">
        <f t="shared" si="12"/>
        <v>1000</v>
      </c>
      <c r="L293" s="1">
        <f t="shared" si="13"/>
        <v>1000</v>
      </c>
      <c r="M293" s="1">
        <f t="shared" si="14"/>
        <v>1000</v>
      </c>
    </row>
    <row r="294" spans="1:13" x14ac:dyDescent="0.3">
      <c r="A294" s="1" t="s">
        <v>575</v>
      </c>
      <c r="B294" s="1" t="s">
        <v>35</v>
      </c>
      <c r="C294" s="1" t="s">
        <v>30</v>
      </c>
      <c r="D294" s="1" t="s">
        <v>31</v>
      </c>
      <c r="E294" s="4">
        <v>14</v>
      </c>
      <c r="F294" s="4">
        <v>10</v>
      </c>
      <c r="G294" s="1" t="s">
        <v>32</v>
      </c>
      <c r="H294" s="1" t="s">
        <v>40</v>
      </c>
      <c r="I294" s="5" t="s">
        <v>576</v>
      </c>
      <c r="J294" s="4">
        <v>50</v>
      </c>
      <c r="K294" s="1">
        <f t="shared" si="12"/>
        <v>1200</v>
      </c>
      <c r="L294" s="1">
        <f t="shared" si="13"/>
        <v>1200</v>
      </c>
      <c r="M294" s="1">
        <f t="shared" si="14"/>
        <v>1200</v>
      </c>
    </row>
    <row r="295" spans="1:13" x14ac:dyDescent="0.3">
      <c r="A295" s="1" t="s">
        <v>577</v>
      </c>
      <c r="B295" s="1" t="s">
        <v>84</v>
      </c>
      <c r="C295" s="1" t="s">
        <v>79</v>
      </c>
      <c r="D295" s="1" t="s">
        <v>31</v>
      </c>
      <c r="E295" s="4">
        <v>15</v>
      </c>
      <c r="F295" s="4">
        <v>11</v>
      </c>
      <c r="G295" s="1" t="s">
        <v>25</v>
      </c>
      <c r="H295" s="1" t="s">
        <v>40</v>
      </c>
      <c r="I295" s="5" t="s">
        <v>578</v>
      </c>
      <c r="J295" s="4">
        <v>72</v>
      </c>
      <c r="K295" s="1">
        <f t="shared" si="12"/>
        <v>1500</v>
      </c>
      <c r="L295" s="1">
        <f t="shared" si="13"/>
        <v>1500</v>
      </c>
      <c r="M295" s="1">
        <f t="shared" si="14"/>
        <v>1500</v>
      </c>
    </row>
    <row r="296" spans="1:13" x14ac:dyDescent="0.3">
      <c r="A296" s="1" t="s">
        <v>579</v>
      </c>
      <c r="B296" s="1" t="s">
        <v>51</v>
      </c>
      <c r="C296" s="1" t="s">
        <v>55</v>
      </c>
      <c r="D296" s="1" t="s">
        <v>31</v>
      </c>
      <c r="E296" s="4">
        <v>20</v>
      </c>
      <c r="F296" s="4">
        <v>9</v>
      </c>
      <c r="G296" s="1" t="s">
        <v>25</v>
      </c>
      <c r="H296" s="1" t="s">
        <v>26</v>
      </c>
      <c r="I296" s="5" t="s">
        <v>212</v>
      </c>
      <c r="J296" s="4">
        <v>35</v>
      </c>
      <c r="K296" s="1">
        <f t="shared" si="12"/>
        <v>1000</v>
      </c>
      <c r="L296" s="1">
        <f t="shared" si="13"/>
        <v>1000</v>
      </c>
      <c r="M296" s="1">
        <f t="shared" si="14"/>
        <v>1000</v>
      </c>
    </row>
    <row r="297" spans="1:13" x14ac:dyDescent="0.3">
      <c r="A297" s="1" t="s">
        <v>580</v>
      </c>
      <c r="B297" s="1" t="s">
        <v>29</v>
      </c>
      <c r="C297" s="1" t="s">
        <v>36</v>
      </c>
      <c r="D297" s="1" t="s">
        <v>13</v>
      </c>
      <c r="E297" s="4">
        <v>17</v>
      </c>
      <c r="F297" s="4">
        <v>10</v>
      </c>
      <c r="G297" s="1" t="s">
        <v>32</v>
      </c>
      <c r="H297" s="1" t="s">
        <v>15</v>
      </c>
      <c r="I297" s="5" t="s">
        <v>581</v>
      </c>
      <c r="J297" s="4">
        <v>37</v>
      </c>
      <c r="K297" s="1">
        <f t="shared" si="12"/>
        <v>1200</v>
      </c>
      <c r="L297" s="1">
        <f t="shared" si="13"/>
        <v>1200</v>
      </c>
      <c r="M297" s="1">
        <f t="shared" si="14"/>
        <v>1200</v>
      </c>
    </row>
    <row r="298" spans="1:13" x14ac:dyDescent="0.3">
      <c r="A298" s="1" t="s">
        <v>582</v>
      </c>
      <c r="B298" s="1" t="s">
        <v>51</v>
      </c>
      <c r="C298" s="1" t="s">
        <v>55</v>
      </c>
      <c r="D298" s="1" t="s">
        <v>31</v>
      </c>
      <c r="E298" s="4">
        <v>14</v>
      </c>
      <c r="F298" s="4">
        <v>11</v>
      </c>
      <c r="G298" s="1" t="s">
        <v>25</v>
      </c>
      <c r="H298" s="1" t="s">
        <v>37</v>
      </c>
      <c r="I298" s="5" t="s">
        <v>583</v>
      </c>
      <c r="J298" s="4">
        <v>47</v>
      </c>
      <c r="K298" s="1">
        <f t="shared" si="12"/>
        <v>1500</v>
      </c>
      <c r="L298" s="1">
        <f t="shared" si="13"/>
        <v>1500</v>
      </c>
      <c r="M298" s="1">
        <f t="shared" si="14"/>
        <v>1500</v>
      </c>
    </row>
    <row r="299" spans="1:13" x14ac:dyDescent="0.3">
      <c r="A299" s="1" t="s">
        <v>584</v>
      </c>
      <c r="B299" s="1" t="s">
        <v>68</v>
      </c>
      <c r="C299" s="1" t="s">
        <v>55</v>
      </c>
      <c r="D299" s="1" t="s">
        <v>31</v>
      </c>
      <c r="E299" s="4">
        <v>16</v>
      </c>
      <c r="F299" s="4">
        <v>9</v>
      </c>
      <c r="G299" s="1" t="s">
        <v>14</v>
      </c>
      <c r="H299" s="1" t="s">
        <v>61</v>
      </c>
      <c r="I299" s="5" t="s">
        <v>585</v>
      </c>
      <c r="J299" s="4">
        <v>59</v>
      </c>
      <c r="K299" s="1">
        <f t="shared" si="12"/>
        <v>1000</v>
      </c>
      <c r="L299" s="1">
        <f t="shared" si="13"/>
        <v>1000</v>
      </c>
      <c r="M299" s="1">
        <f t="shared" si="14"/>
        <v>1000</v>
      </c>
    </row>
    <row r="300" spans="1:13" x14ac:dyDescent="0.3">
      <c r="A300" s="1" t="s">
        <v>586</v>
      </c>
      <c r="B300" s="1" t="s">
        <v>11</v>
      </c>
      <c r="C300" s="1" t="s">
        <v>24</v>
      </c>
      <c r="D300" s="1" t="s">
        <v>31</v>
      </c>
      <c r="E300" s="4">
        <v>17</v>
      </c>
      <c r="F300" s="4">
        <v>11</v>
      </c>
      <c r="G300" s="1" t="s">
        <v>43</v>
      </c>
      <c r="H300" s="1" t="s">
        <v>61</v>
      </c>
      <c r="I300" s="5" t="s">
        <v>587</v>
      </c>
      <c r="J300" s="4">
        <v>73</v>
      </c>
      <c r="K300" s="1">
        <f t="shared" si="12"/>
        <v>1500</v>
      </c>
      <c r="L300" s="1">
        <f t="shared" si="13"/>
        <v>1500</v>
      </c>
      <c r="M300" s="1">
        <f t="shared" si="14"/>
        <v>1500</v>
      </c>
    </row>
    <row r="301" spans="1:13" x14ac:dyDescent="0.3">
      <c r="A301" s="1" t="s">
        <v>588</v>
      </c>
      <c r="B301" s="1" t="s">
        <v>68</v>
      </c>
      <c r="C301" s="1" t="s">
        <v>85</v>
      </c>
      <c r="D301" s="1" t="s">
        <v>31</v>
      </c>
      <c r="E301" s="4">
        <v>17</v>
      </c>
      <c r="F301" s="4">
        <v>9</v>
      </c>
      <c r="G301" s="1" t="s">
        <v>25</v>
      </c>
      <c r="H301" s="1" t="s">
        <v>61</v>
      </c>
      <c r="I301" s="5" t="s">
        <v>589</v>
      </c>
      <c r="J301" s="4">
        <v>45</v>
      </c>
      <c r="K301" s="1">
        <f t="shared" si="12"/>
        <v>1000</v>
      </c>
      <c r="L301" s="1">
        <f t="shared" si="13"/>
        <v>1000</v>
      </c>
      <c r="M301" s="1">
        <f t="shared" si="14"/>
        <v>1000</v>
      </c>
    </row>
    <row r="302" spans="1:13" x14ac:dyDescent="0.3">
      <c r="A302" s="1" t="s">
        <v>590</v>
      </c>
      <c r="B302" s="1" t="s">
        <v>35</v>
      </c>
      <c r="C302" s="1" t="s">
        <v>12</v>
      </c>
      <c r="D302" s="1" t="s">
        <v>13</v>
      </c>
      <c r="E302" s="4">
        <v>14</v>
      </c>
      <c r="F302" s="4">
        <v>11</v>
      </c>
      <c r="G302" s="1" t="s">
        <v>25</v>
      </c>
      <c r="H302" s="1" t="s">
        <v>20</v>
      </c>
      <c r="I302" s="5" t="s">
        <v>591</v>
      </c>
      <c r="J302" s="4">
        <v>64</v>
      </c>
      <c r="K302" s="1">
        <f t="shared" si="12"/>
        <v>1500</v>
      </c>
      <c r="L302" s="1">
        <f t="shared" si="13"/>
        <v>1500</v>
      </c>
      <c r="M302" s="1">
        <f t="shared" si="14"/>
        <v>1500</v>
      </c>
    </row>
    <row r="303" spans="1:13" x14ac:dyDescent="0.3">
      <c r="A303" s="1" t="s">
        <v>592</v>
      </c>
      <c r="B303" s="1" t="s">
        <v>51</v>
      </c>
      <c r="C303" s="1" t="s">
        <v>19</v>
      </c>
      <c r="D303" s="1" t="s">
        <v>31</v>
      </c>
      <c r="E303" s="4">
        <v>18</v>
      </c>
      <c r="F303" s="4">
        <v>10</v>
      </c>
      <c r="G303" s="1" t="s">
        <v>43</v>
      </c>
      <c r="H303" s="1" t="s">
        <v>76</v>
      </c>
      <c r="I303" s="5" t="s">
        <v>593</v>
      </c>
      <c r="J303" s="4">
        <v>98</v>
      </c>
      <c r="K303" s="1">
        <f t="shared" si="12"/>
        <v>1200</v>
      </c>
      <c r="L303" s="1">
        <f t="shared" si="13"/>
        <v>1200</v>
      </c>
      <c r="M303" s="1">
        <f t="shared" si="14"/>
        <v>1200</v>
      </c>
    </row>
    <row r="304" spans="1:13" x14ac:dyDescent="0.3">
      <c r="A304" s="1" t="s">
        <v>594</v>
      </c>
      <c r="B304" s="1" t="s">
        <v>54</v>
      </c>
      <c r="C304" s="1" t="s">
        <v>55</v>
      </c>
      <c r="D304" s="1" t="s">
        <v>13</v>
      </c>
      <c r="E304" s="4">
        <v>20</v>
      </c>
      <c r="F304" s="4">
        <v>11</v>
      </c>
      <c r="G304" s="1" t="s">
        <v>43</v>
      </c>
      <c r="H304" s="1" t="s">
        <v>40</v>
      </c>
      <c r="I304" s="5" t="s">
        <v>595</v>
      </c>
      <c r="J304" s="4">
        <v>84</v>
      </c>
      <c r="K304" s="1">
        <f t="shared" si="12"/>
        <v>1500</v>
      </c>
      <c r="L304" s="1">
        <f t="shared" si="13"/>
        <v>1500</v>
      </c>
      <c r="M304" s="1">
        <f t="shared" si="14"/>
        <v>1500</v>
      </c>
    </row>
    <row r="305" spans="1:13" x14ac:dyDescent="0.3">
      <c r="A305" s="1" t="s">
        <v>596</v>
      </c>
      <c r="B305" s="1" t="s">
        <v>11</v>
      </c>
      <c r="C305" s="1" t="s">
        <v>30</v>
      </c>
      <c r="D305" s="1" t="s">
        <v>13</v>
      </c>
      <c r="E305" s="4">
        <v>14</v>
      </c>
      <c r="F305" s="4">
        <v>9</v>
      </c>
      <c r="G305" s="1" t="s">
        <v>25</v>
      </c>
      <c r="H305" s="1" t="s">
        <v>76</v>
      </c>
      <c r="I305" s="5" t="s">
        <v>447</v>
      </c>
      <c r="J305" s="4">
        <v>62</v>
      </c>
      <c r="K305" s="1">
        <f t="shared" si="12"/>
        <v>1000</v>
      </c>
      <c r="L305" s="1">
        <f t="shared" si="13"/>
        <v>1000</v>
      </c>
      <c r="M305" s="1">
        <f t="shared" si="14"/>
        <v>1000</v>
      </c>
    </row>
    <row r="306" spans="1:13" x14ac:dyDescent="0.3">
      <c r="A306" s="1" t="s">
        <v>597</v>
      </c>
      <c r="B306" s="1" t="s">
        <v>18</v>
      </c>
      <c r="C306" s="1" t="s">
        <v>85</v>
      </c>
      <c r="D306" s="1" t="s">
        <v>31</v>
      </c>
      <c r="E306" s="4">
        <v>18</v>
      </c>
      <c r="F306" s="4">
        <v>11</v>
      </c>
      <c r="G306" s="1" t="s">
        <v>43</v>
      </c>
      <c r="H306" s="1" t="s">
        <v>40</v>
      </c>
      <c r="I306" s="5" t="s">
        <v>598</v>
      </c>
      <c r="J306" s="4">
        <v>55</v>
      </c>
      <c r="K306" s="1">
        <f t="shared" si="12"/>
        <v>1500</v>
      </c>
      <c r="L306" s="1">
        <f t="shared" si="13"/>
        <v>1500</v>
      </c>
      <c r="M306" s="1">
        <f t="shared" si="14"/>
        <v>1500</v>
      </c>
    </row>
    <row r="307" spans="1:13" x14ac:dyDescent="0.3">
      <c r="A307" s="1" t="s">
        <v>599</v>
      </c>
      <c r="B307" s="1" t="s">
        <v>84</v>
      </c>
      <c r="C307" s="1" t="s">
        <v>30</v>
      </c>
      <c r="D307" s="1" t="s">
        <v>13</v>
      </c>
      <c r="E307" s="4">
        <v>17</v>
      </c>
      <c r="F307" s="4">
        <v>11</v>
      </c>
      <c r="G307" s="1" t="s">
        <v>43</v>
      </c>
      <c r="H307" s="1" t="s">
        <v>15</v>
      </c>
      <c r="I307" s="5" t="s">
        <v>600</v>
      </c>
      <c r="J307" s="4">
        <v>73</v>
      </c>
      <c r="K307" s="1">
        <f t="shared" si="12"/>
        <v>1500</v>
      </c>
      <c r="L307" s="1">
        <f t="shared" si="13"/>
        <v>1500</v>
      </c>
      <c r="M307" s="1">
        <f t="shared" si="14"/>
        <v>1500</v>
      </c>
    </row>
    <row r="308" spans="1:13" x14ac:dyDescent="0.3">
      <c r="A308" s="1" t="s">
        <v>601</v>
      </c>
      <c r="B308" s="1" t="s">
        <v>73</v>
      </c>
      <c r="C308" s="1" t="s">
        <v>55</v>
      </c>
      <c r="D308" s="1" t="s">
        <v>31</v>
      </c>
      <c r="E308" s="4">
        <v>17</v>
      </c>
      <c r="F308" s="4">
        <v>11</v>
      </c>
      <c r="G308" s="1" t="s">
        <v>43</v>
      </c>
      <c r="H308" s="1" t="s">
        <v>61</v>
      </c>
      <c r="I308" s="5" t="s">
        <v>502</v>
      </c>
      <c r="J308" s="4">
        <v>76</v>
      </c>
      <c r="K308" s="1">
        <f t="shared" si="12"/>
        <v>1500</v>
      </c>
      <c r="L308" s="1">
        <f t="shared" si="13"/>
        <v>1500</v>
      </c>
      <c r="M308" s="1">
        <f t="shared" si="14"/>
        <v>1500</v>
      </c>
    </row>
    <row r="309" spans="1:13" x14ac:dyDescent="0.3">
      <c r="A309" s="1" t="s">
        <v>602</v>
      </c>
      <c r="B309" s="1" t="s">
        <v>23</v>
      </c>
      <c r="C309" s="1" t="s">
        <v>19</v>
      </c>
      <c r="D309" s="1" t="s">
        <v>13</v>
      </c>
      <c r="E309" s="4">
        <v>15</v>
      </c>
      <c r="F309" s="4">
        <v>12</v>
      </c>
      <c r="G309" s="1" t="s">
        <v>14</v>
      </c>
      <c r="H309" s="1" t="s">
        <v>61</v>
      </c>
      <c r="I309" s="5" t="s">
        <v>603</v>
      </c>
      <c r="J309" s="4">
        <v>54</v>
      </c>
      <c r="K309" s="1">
        <f t="shared" si="12"/>
        <v>1800</v>
      </c>
      <c r="L309" s="1">
        <f t="shared" si="13"/>
        <v>1800</v>
      </c>
      <c r="M309" s="1">
        <f t="shared" si="14"/>
        <v>1800</v>
      </c>
    </row>
    <row r="310" spans="1:13" x14ac:dyDescent="0.3">
      <c r="A310" s="1" t="s">
        <v>604</v>
      </c>
      <c r="B310" s="1" t="s">
        <v>51</v>
      </c>
      <c r="C310" s="1" t="s">
        <v>85</v>
      </c>
      <c r="D310" s="1" t="s">
        <v>31</v>
      </c>
      <c r="E310" s="4">
        <v>20</v>
      </c>
      <c r="F310" s="4">
        <v>12</v>
      </c>
      <c r="G310" s="1" t="s">
        <v>25</v>
      </c>
      <c r="H310" s="1" t="s">
        <v>26</v>
      </c>
      <c r="I310" s="5" t="s">
        <v>299</v>
      </c>
      <c r="J310" s="4">
        <v>69</v>
      </c>
      <c r="K310" s="1">
        <f t="shared" si="12"/>
        <v>1800</v>
      </c>
      <c r="L310" s="1">
        <f t="shared" si="13"/>
        <v>1800</v>
      </c>
      <c r="M310" s="1">
        <f t="shared" si="14"/>
        <v>1800</v>
      </c>
    </row>
    <row r="311" spans="1:13" x14ac:dyDescent="0.3">
      <c r="A311" s="1" t="s">
        <v>605</v>
      </c>
      <c r="B311" s="1" t="s">
        <v>54</v>
      </c>
      <c r="C311" s="1" t="s">
        <v>19</v>
      </c>
      <c r="D311" s="1" t="s">
        <v>31</v>
      </c>
      <c r="E311" s="4">
        <v>20</v>
      </c>
      <c r="F311" s="4">
        <v>10</v>
      </c>
      <c r="G311" s="1" t="s">
        <v>43</v>
      </c>
      <c r="H311" s="1" t="s">
        <v>37</v>
      </c>
      <c r="I311" s="5" t="s">
        <v>606</v>
      </c>
      <c r="J311" s="4">
        <v>99</v>
      </c>
      <c r="K311" s="1">
        <f t="shared" si="12"/>
        <v>1200</v>
      </c>
      <c r="L311" s="1">
        <f t="shared" si="13"/>
        <v>1200</v>
      </c>
      <c r="M311" s="1">
        <f t="shared" si="14"/>
        <v>1200</v>
      </c>
    </row>
    <row r="312" spans="1:13" x14ac:dyDescent="0.3">
      <c r="A312" s="1" t="s">
        <v>607</v>
      </c>
      <c r="B312" s="1" t="s">
        <v>68</v>
      </c>
      <c r="C312" s="1" t="s">
        <v>55</v>
      </c>
      <c r="D312" s="1" t="s">
        <v>13</v>
      </c>
      <c r="E312" s="4">
        <v>19</v>
      </c>
      <c r="F312" s="4">
        <v>11</v>
      </c>
      <c r="G312" s="1" t="s">
        <v>25</v>
      </c>
      <c r="H312" s="1" t="s">
        <v>20</v>
      </c>
      <c r="I312" s="5" t="s">
        <v>608</v>
      </c>
      <c r="J312" s="4">
        <v>43</v>
      </c>
      <c r="K312" s="1">
        <f t="shared" si="12"/>
        <v>1500</v>
      </c>
      <c r="L312" s="1">
        <f t="shared" si="13"/>
        <v>1500</v>
      </c>
      <c r="M312" s="1">
        <f t="shared" si="14"/>
        <v>1500</v>
      </c>
    </row>
    <row r="313" spans="1:13" x14ac:dyDescent="0.3">
      <c r="A313" s="1" t="s">
        <v>609</v>
      </c>
      <c r="B313" s="1" t="s">
        <v>68</v>
      </c>
      <c r="C313" s="1" t="s">
        <v>58</v>
      </c>
      <c r="D313" s="1" t="s">
        <v>13</v>
      </c>
      <c r="E313" s="4">
        <v>14</v>
      </c>
      <c r="F313" s="4">
        <v>10</v>
      </c>
      <c r="G313" s="1" t="s">
        <v>25</v>
      </c>
      <c r="H313" s="1" t="s">
        <v>37</v>
      </c>
      <c r="I313" s="5" t="s">
        <v>610</v>
      </c>
      <c r="J313" s="4">
        <v>90</v>
      </c>
      <c r="K313" s="1">
        <f t="shared" si="12"/>
        <v>1200</v>
      </c>
      <c r="L313" s="1">
        <f t="shared" si="13"/>
        <v>1200</v>
      </c>
      <c r="M313" s="1">
        <f t="shared" si="14"/>
        <v>1200</v>
      </c>
    </row>
    <row r="314" spans="1:13" x14ac:dyDescent="0.3">
      <c r="A314" s="1" t="s">
        <v>611</v>
      </c>
      <c r="B314" s="1" t="s">
        <v>18</v>
      </c>
      <c r="C314" s="1" t="s">
        <v>24</v>
      </c>
      <c r="D314" s="1" t="s">
        <v>31</v>
      </c>
      <c r="E314" s="4">
        <v>19</v>
      </c>
      <c r="F314" s="4">
        <v>12</v>
      </c>
      <c r="G314" s="1" t="s">
        <v>43</v>
      </c>
      <c r="H314" s="1" t="s">
        <v>26</v>
      </c>
      <c r="I314" s="5" t="s">
        <v>612</v>
      </c>
      <c r="J314" s="4">
        <v>82</v>
      </c>
      <c r="K314" s="1">
        <f t="shared" si="12"/>
        <v>1800</v>
      </c>
      <c r="L314" s="1">
        <f t="shared" si="13"/>
        <v>1800</v>
      </c>
      <c r="M314" s="1">
        <f t="shared" si="14"/>
        <v>1800</v>
      </c>
    </row>
    <row r="315" spans="1:13" x14ac:dyDescent="0.3">
      <c r="A315" s="1" t="s">
        <v>613</v>
      </c>
      <c r="B315" s="1" t="s">
        <v>68</v>
      </c>
      <c r="C315" s="1" t="s">
        <v>85</v>
      </c>
      <c r="D315" s="1" t="s">
        <v>31</v>
      </c>
      <c r="E315" s="4">
        <v>15</v>
      </c>
      <c r="F315" s="4">
        <v>9</v>
      </c>
      <c r="G315" s="1" t="s">
        <v>32</v>
      </c>
      <c r="H315" s="1" t="s">
        <v>37</v>
      </c>
      <c r="I315" s="5" t="s">
        <v>614</v>
      </c>
      <c r="J315" s="4">
        <v>39</v>
      </c>
      <c r="K315" s="1">
        <f t="shared" si="12"/>
        <v>1000</v>
      </c>
      <c r="L315" s="1">
        <f t="shared" si="13"/>
        <v>1000</v>
      </c>
      <c r="M315" s="1">
        <f t="shared" si="14"/>
        <v>1000</v>
      </c>
    </row>
    <row r="316" spans="1:13" x14ac:dyDescent="0.3">
      <c r="A316" s="1" t="s">
        <v>615</v>
      </c>
      <c r="B316" s="1" t="s">
        <v>18</v>
      </c>
      <c r="C316" s="1" t="s">
        <v>12</v>
      </c>
      <c r="D316" s="1" t="s">
        <v>13</v>
      </c>
      <c r="E316" s="4">
        <v>17</v>
      </c>
      <c r="F316" s="4">
        <v>12</v>
      </c>
      <c r="G316" s="1" t="s">
        <v>14</v>
      </c>
      <c r="H316" s="1" t="s">
        <v>61</v>
      </c>
      <c r="I316" s="5" t="s">
        <v>616</v>
      </c>
      <c r="J316" s="4">
        <v>99</v>
      </c>
      <c r="K316" s="1">
        <f t="shared" si="12"/>
        <v>1800</v>
      </c>
      <c r="L316" s="1">
        <f t="shared" si="13"/>
        <v>1800</v>
      </c>
      <c r="M316" s="1">
        <f t="shared" si="14"/>
        <v>1800</v>
      </c>
    </row>
    <row r="317" spans="1:13" x14ac:dyDescent="0.3">
      <c r="A317" s="1" t="s">
        <v>617</v>
      </c>
      <c r="B317" s="1" t="s">
        <v>35</v>
      </c>
      <c r="C317" s="1" t="s">
        <v>12</v>
      </c>
      <c r="D317" s="1" t="s">
        <v>13</v>
      </c>
      <c r="E317" s="4">
        <v>15</v>
      </c>
      <c r="F317" s="4">
        <v>9</v>
      </c>
      <c r="G317" s="1" t="s">
        <v>25</v>
      </c>
      <c r="H317" s="1" t="s">
        <v>46</v>
      </c>
      <c r="I317" s="5" t="s">
        <v>155</v>
      </c>
      <c r="J317" s="4">
        <v>85</v>
      </c>
      <c r="K317" s="1">
        <f t="shared" si="12"/>
        <v>1000</v>
      </c>
      <c r="L317" s="1">
        <f t="shared" si="13"/>
        <v>1000</v>
      </c>
      <c r="M317" s="1">
        <f t="shared" si="14"/>
        <v>1000</v>
      </c>
    </row>
    <row r="318" spans="1:13" x14ac:dyDescent="0.3">
      <c r="A318" s="1" t="s">
        <v>618</v>
      </c>
      <c r="B318" s="1" t="s">
        <v>73</v>
      </c>
      <c r="C318" s="1" t="s">
        <v>85</v>
      </c>
      <c r="D318" s="1" t="s">
        <v>31</v>
      </c>
      <c r="E318" s="4">
        <v>14</v>
      </c>
      <c r="F318" s="4">
        <v>11</v>
      </c>
      <c r="G318" s="1" t="s">
        <v>25</v>
      </c>
      <c r="H318" s="1" t="s">
        <v>20</v>
      </c>
      <c r="I318" s="5" t="s">
        <v>619</v>
      </c>
      <c r="J318" s="4">
        <v>67</v>
      </c>
      <c r="K318" s="1">
        <f t="shared" si="12"/>
        <v>1500</v>
      </c>
      <c r="L318" s="1">
        <f t="shared" si="13"/>
        <v>1500</v>
      </c>
      <c r="M318" s="1">
        <f t="shared" si="14"/>
        <v>1500</v>
      </c>
    </row>
    <row r="319" spans="1:13" x14ac:dyDescent="0.3">
      <c r="A319" s="1" t="s">
        <v>620</v>
      </c>
      <c r="B319" s="1" t="s">
        <v>84</v>
      </c>
      <c r="C319" s="1" t="s">
        <v>24</v>
      </c>
      <c r="D319" s="1" t="s">
        <v>31</v>
      </c>
      <c r="E319" s="4">
        <v>19</v>
      </c>
      <c r="F319" s="4">
        <v>12</v>
      </c>
      <c r="G319" s="1" t="s">
        <v>14</v>
      </c>
      <c r="H319" s="1" t="s">
        <v>61</v>
      </c>
      <c r="I319" s="5" t="s">
        <v>621</v>
      </c>
      <c r="J319" s="4">
        <v>77</v>
      </c>
      <c r="K319" s="1">
        <f t="shared" si="12"/>
        <v>1800</v>
      </c>
      <c r="L319" s="1">
        <f t="shared" si="13"/>
        <v>1800</v>
      </c>
      <c r="M319" s="1">
        <f t="shared" si="14"/>
        <v>1800</v>
      </c>
    </row>
    <row r="320" spans="1:13" x14ac:dyDescent="0.3">
      <c r="A320" s="1" t="s">
        <v>622</v>
      </c>
      <c r="B320" s="1" t="s">
        <v>23</v>
      </c>
      <c r="C320" s="1" t="s">
        <v>96</v>
      </c>
      <c r="D320" s="1" t="s">
        <v>31</v>
      </c>
      <c r="E320" s="4">
        <v>17</v>
      </c>
      <c r="F320" s="4">
        <v>12</v>
      </c>
      <c r="G320" s="1" t="s">
        <v>43</v>
      </c>
      <c r="H320" s="1" t="s">
        <v>46</v>
      </c>
      <c r="I320" s="5" t="s">
        <v>170</v>
      </c>
      <c r="J320" s="4">
        <v>62</v>
      </c>
      <c r="K320" s="1">
        <f t="shared" si="12"/>
        <v>1800</v>
      </c>
      <c r="L320" s="1">
        <f t="shared" si="13"/>
        <v>1800</v>
      </c>
      <c r="M320" s="1">
        <f t="shared" si="14"/>
        <v>1800</v>
      </c>
    </row>
    <row r="321" spans="1:13" x14ac:dyDescent="0.3">
      <c r="A321" s="1" t="s">
        <v>623</v>
      </c>
      <c r="B321" s="1" t="s">
        <v>29</v>
      </c>
      <c r="C321" s="1" t="s">
        <v>12</v>
      </c>
      <c r="D321" s="1" t="s">
        <v>31</v>
      </c>
      <c r="E321" s="4">
        <v>19</v>
      </c>
      <c r="F321" s="4">
        <v>11</v>
      </c>
      <c r="G321" s="1" t="s">
        <v>25</v>
      </c>
      <c r="H321" s="1" t="s">
        <v>76</v>
      </c>
      <c r="I321" s="5" t="s">
        <v>624</v>
      </c>
      <c r="J321" s="4">
        <v>49</v>
      </c>
      <c r="K321" s="1">
        <f t="shared" si="12"/>
        <v>1500</v>
      </c>
      <c r="L321" s="1">
        <f t="shared" si="13"/>
        <v>1500</v>
      </c>
      <c r="M321" s="1">
        <f t="shared" si="14"/>
        <v>1500</v>
      </c>
    </row>
    <row r="322" spans="1:13" x14ac:dyDescent="0.3">
      <c r="A322" s="1" t="s">
        <v>625</v>
      </c>
      <c r="B322" s="1" t="s">
        <v>68</v>
      </c>
      <c r="C322" s="1" t="s">
        <v>96</v>
      </c>
      <c r="D322" s="1" t="s">
        <v>31</v>
      </c>
      <c r="E322" s="4">
        <v>19</v>
      </c>
      <c r="F322" s="4">
        <v>12</v>
      </c>
      <c r="G322" s="1" t="s">
        <v>32</v>
      </c>
      <c r="H322" s="1" t="s">
        <v>15</v>
      </c>
      <c r="I322" s="5" t="s">
        <v>626</v>
      </c>
      <c r="J322" s="4">
        <v>86</v>
      </c>
      <c r="K322" s="1">
        <f t="shared" si="12"/>
        <v>1800</v>
      </c>
      <c r="L322" s="1">
        <f t="shared" si="13"/>
        <v>1800</v>
      </c>
      <c r="M322" s="1">
        <f t="shared" si="14"/>
        <v>1800</v>
      </c>
    </row>
    <row r="323" spans="1:13" x14ac:dyDescent="0.3">
      <c r="A323" s="1" t="s">
        <v>627</v>
      </c>
      <c r="B323" s="1" t="s">
        <v>35</v>
      </c>
      <c r="C323" s="1" t="s">
        <v>85</v>
      </c>
      <c r="D323" s="1" t="s">
        <v>31</v>
      </c>
      <c r="E323" s="4">
        <v>16</v>
      </c>
      <c r="F323" s="4">
        <v>9</v>
      </c>
      <c r="G323" s="1" t="s">
        <v>43</v>
      </c>
      <c r="H323" s="1" t="s">
        <v>20</v>
      </c>
      <c r="I323" s="5" t="s">
        <v>628</v>
      </c>
      <c r="J323" s="4">
        <v>84</v>
      </c>
      <c r="K323" s="1">
        <f t="shared" si="12"/>
        <v>1000</v>
      </c>
      <c r="L323" s="1">
        <f t="shared" si="13"/>
        <v>1000</v>
      </c>
      <c r="M323" s="1">
        <f t="shared" si="14"/>
        <v>1000</v>
      </c>
    </row>
    <row r="324" spans="1:13" x14ac:dyDescent="0.3">
      <c r="A324" s="1" t="s">
        <v>629</v>
      </c>
      <c r="B324" s="1" t="s">
        <v>35</v>
      </c>
      <c r="C324" s="1" t="s">
        <v>58</v>
      </c>
      <c r="D324" s="1" t="s">
        <v>13</v>
      </c>
      <c r="E324" s="4">
        <v>18</v>
      </c>
      <c r="F324" s="4">
        <v>9</v>
      </c>
      <c r="G324" s="1" t="s">
        <v>25</v>
      </c>
      <c r="H324" s="1" t="s">
        <v>76</v>
      </c>
      <c r="I324" s="5" t="s">
        <v>105</v>
      </c>
      <c r="J324" s="4">
        <v>82</v>
      </c>
      <c r="K324" s="1">
        <f t="shared" si="12"/>
        <v>1000</v>
      </c>
      <c r="L324" s="1">
        <f t="shared" si="13"/>
        <v>1000</v>
      </c>
      <c r="M324" s="1">
        <f t="shared" si="14"/>
        <v>1000</v>
      </c>
    </row>
    <row r="325" spans="1:13" x14ac:dyDescent="0.3">
      <c r="A325" s="1" t="s">
        <v>630</v>
      </c>
      <c r="B325" s="1" t="s">
        <v>84</v>
      </c>
      <c r="C325" s="1" t="s">
        <v>96</v>
      </c>
      <c r="D325" s="1" t="s">
        <v>31</v>
      </c>
      <c r="E325" s="4">
        <v>19</v>
      </c>
      <c r="F325" s="4">
        <v>10</v>
      </c>
      <c r="G325" s="1" t="s">
        <v>43</v>
      </c>
      <c r="H325" s="1" t="s">
        <v>20</v>
      </c>
      <c r="I325" s="5" t="s">
        <v>631</v>
      </c>
      <c r="J325" s="4">
        <v>63</v>
      </c>
      <c r="K325" s="1">
        <f t="shared" si="12"/>
        <v>1200</v>
      </c>
      <c r="L325" s="1">
        <f t="shared" si="13"/>
        <v>1200</v>
      </c>
      <c r="M325" s="1">
        <f t="shared" si="14"/>
        <v>1200</v>
      </c>
    </row>
    <row r="326" spans="1:13" x14ac:dyDescent="0.3">
      <c r="A326" s="1" t="s">
        <v>632</v>
      </c>
      <c r="B326" s="1" t="s">
        <v>54</v>
      </c>
      <c r="C326" s="1" t="s">
        <v>55</v>
      </c>
      <c r="D326" s="1" t="s">
        <v>31</v>
      </c>
      <c r="E326" s="4">
        <v>19</v>
      </c>
      <c r="F326" s="4">
        <v>11</v>
      </c>
      <c r="G326" s="1" t="s">
        <v>25</v>
      </c>
      <c r="H326" s="1" t="s">
        <v>61</v>
      </c>
      <c r="I326" s="5" t="s">
        <v>633</v>
      </c>
      <c r="J326" s="4">
        <v>82</v>
      </c>
      <c r="K326" s="1">
        <f t="shared" si="12"/>
        <v>1500</v>
      </c>
      <c r="L326" s="1">
        <f t="shared" si="13"/>
        <v>1500</v>
      </c>
      <c r="M326" s="1">
        <f t="shared" si="14"/>
        <v>1500</v>
      </c>
    </row>
    <row r="327" spans="1:13" x14ac:dyDescent="0.3">
      <c r="A327" s="1" t="s">
        <v>634</v>
      </c>
      <c r="B327" s="1" t="s">
        <v>54</v>
      </c>
      <c r="C327" s="1" t="s">
        <v>30</v>
      </c>
      <c r="D327" s="1" t="s">
        <v>31</v>
      </c>
      <c r="E327" s="4">
        <v>15</v>
      </c>
      <c r="F327" s="4">
        <v>9</v>
      </c>
      <c r="G327" s="1" t="s">
        <v>25</v>
      </c>
      <c r="H327" s="1" t="s">
        <v>40</v>
      </c>
      <c r="I327" s="5" t="s">
        <v>635</v>
      </c>
      <c r="J327" s="4">
        <v>53</v>
      </c>
      <c r="K327" s="1">
        <f t="shared" si="12"/>
        <v>1000</v>
      </c>
      <c r="L327" s="1">
        <f t="shared" si="13"/>
        <v>1000</v>
      </c>
      <c r="M327" s="1">
        <f t="shared" si="14"/>
        <v>1000</v>
      </c>
    </row>
    <row r="328" spans="1:13" x14ac:dyDescent="0.3">
      <c r="A328" s="1" t="s">
        <v>636</v>
      </c>
      <c r="B328" s="1" t="s">
        <v>11</v>
      </c>
      <c r="C328" s="1" t="s">
        <v>79</v>
      </c>
      <c r="D328" s="1" t="s">
        <v>13</v>
      </c>
      <c r="E328" s="4">
        <v>19</v>
      </c>
      <c r="F328" s="4">
        <v>9</v>
      </c>
      <c r="G328" s="1" t="s">
        <v>32</v>
      </c>
      <c r="H328" s="1" t="s">
        <v>76</v>
      </c>
      <c r="I328" s="5" t="s">
        <v>637</v>
      </c>
      <c r="J328" s="4">
        <v>97</v>
      </c>
      <c r="K328" s="1">
        <f t="shared" si="12"/>
        <v>1000</v>
      </c>
      <c r="L328" s="1">
        <f t="shared" si="13"/>
        <v>1000</v>
      </c>
      <c r="M328" s="1">
        <f t="shared" si="14"/>
        <v>1000</v>
      </c>
    </row>
    <row r="329" spans="1:13" x14ac:dyDescent="0.3">
      <c r="A329" s="1" t="s">
        <v>638</v>
      </c>
      <c r="B329" s="1" t="s">
        <v>54</v>
      </c>
      <c r="C329" s="1" t="s">
        <v>12</v>
      </c>
      <c r="D329" s="1" t="s">
        <v>31</v>
      </c>
      <c r="E329" s="4">
        <v>15</v>
      </c>
      <c r="F329" s="4">
        <v>12</v>
      </c>
      <c r="G329" s="1" t="s">
        <v>43</v>
      </c>
      <c r="H329" s="1" t="s">
        <v>76</v>
      </c>
      <c r="I329" s="5" t="s">
        <v>639</v>
      </c>
      <c r="J329" s="4">
        <v>51</v>
      </c>
      <c r="K329" s="1">
        <f t="shared" ref="K329:K392" si="15">VLOOKUP($F329,$A$1:$B$5,2,0)</f>
        <v>1800</v>
      </c>
      <c r="L329" s="1">
        <f t="shared" ref="L329:L392" si="16">INDEX($B$2:$B$5,MATCH($F329,$A$2:$A$5,0))</f>
        <v>1800</v>
      </c>
      <c r="M329" s="1">
        <f t="shared" ref="M329:M392" si="17">_xlfn.XLOOKUP($F329,$A$2:$A$5,$B$2:$B$5)</f>
        <v>1800</v>
      </c>
    </row>
    <row r="330" spans="1:13" x14ac:dyDescent="0.3">
      <c r="A330" s="1" t="s">
        <v>640</v>
      </c>
      <c r="B330" s="1" t="s">
        <v>84</v>
      </c>
      <c r="C330" s="1" t="s">
        <v>79</v>
      </c>
      <c r="D330" s="1" t="s">
        <v>31</v>
      </c>
      <c r="E330" s="4">
        <v>14</v>
      </c>
      <c r="F330" s="4">
        <v>9</v>
      </c>
      <c r="G330" s="1" t="s">
        <v>14</v>
      </c>
      <c r="H330" s="1" t="s">
        <v>37</v>
      </c>
      <c r="I330" s="5" t="s">
        <v>641</v>
      </c>
      <c r="J330" s="4">
        <v>43</v>
      </c>
      <c r="K330" s="1">
        <f t="shared" si="15"/>
        <v>1000</v>
      </c>
      <c r="L330" s="1">
        <f t="shared" si="16"/>
        <v>1000</v>
      </c>
      <c r="M330" s="1">
        <f t="shared" si="17"/>
        <v>1000</v>
      </c>
    </row>
    <row r="331" spans="1:13" x14ac:dyDescent="0.3">
      <c r="A331" s="1" t="s">
        <v>642</v>
      </c>
      <c r="B331" s="1" t="s">
        <v>18</v>
      </c>
      <c r="C331" s="1" t="s">
        <v>19</v>
      </c>
      <c r="D331" s="1" t="s">
        <v>13</v>
      </c>
      <c r="E331" s="4">
        <v>14</v>
      </c>
      <c r="F331" s="4">
        <v>9</v>
      </c>
      <c r="G331" s="1" t="s">
        <v>43</v>
      </c>
      <c r="H331" s="1" t="s">
        <v>20</v>
      </c>
      <c r="I331" s="5" t="s">
        <v>643</v>
      </c>
      <c r="J331" s="4">
        <v>57</v>
      </c>
      <c r="K331" s="1">
        <f t="shared" si="15"/>
        <v>1000</v>
      </c>
      <c r="L331" s="1">
        <f t="shared" si="16"/>
        <v>1000</v>
      </c>
      <c r="M331" s="1">
        <f t="shared" si="17"/>
        <v>1000</v>
      </c>
    </row>
    <row r="332" spans="1:13" x14ac:dyDescent="0.3">
      <c r="A332" s="1" t="s">
        <v>644</v>
      </c>
      <c r="B332" s="1" t="s">
        <v>51</v>
      </c>
      <c r="C332" s="1" t="s">
        <v>36</v>
      </c>
      <c r="D332" s="1" t="s">
        <v>31</v>
      </c>
      <c r="E332" s="4">
        <v>16</v>
      </c>
      <c r="F332" s="4">
        <v>11</v>
      </c>
      <c r="G332" s="1" t="s">
        <v>43</v>
      </c>
      <c r="H332" s="1" t="s">
        <v>20</v>
      </c>
      <c r="I332" s="5" t="s">
        <v>645</v>
      </c>
      <c r="J332" s="4">
        <v>81</v>
      </c>
      <c r="K332" s="1">
        <f t="shared" si="15"/>
        <v>1500</v>
      </c>
      <c r="L332" s="1">
        <f t="shared" si="16"/>
        <v>1500</v>
      </c>
      <c r="M332" s="1">
        <f t="shared" si="17"/>
        <v>1500</v>
      </c>
    </row>
    <row r="333" spans="1:13" x14ac:dyDescent="0.3">
      <c r="A333" s="1" t="s">
        <v>646</v>
      </c>
      <c r="B333" s="1" t="s">
        <v>84</v>
      </c>
      <c r="C333" s="1" t="s">
        <v>12</v>
      </c>
      <c r="D333" s="1" t="s">
        <v>31</v>
      </c>
      <c r="E333" s="4">
        <v>17</v>
      </c>
      <c r="F333" s="4">
        <v>12</v>
      </c>
      <c r="G333" s="1" t="s">
        <v>25</v>
      </c>
      <c r="H333" s="1" t="s">
        <v>76</v>
      </c>
      <c r="I333" s="5" t="s">
        <v>647</v>
      </c>
      <c r="J333" s="4">
        <v>83</v>
      </c>
      <c r="K333" s="1">
        <f t="shared" si="15"/>
        <v>1800</v>
      </c>
      <c r="L333" s="1">
        <f t="shared" si="16"/>
        <v>1800</v>
      </c>
      <c r="M333" s="1">
        <f t="shared" si="17"/>
        <v>1800</v>
      </c>
    </row>
    <row r="334" spans="1:13" x14ac:dyDescent="0.3">
      <c r="A334" s="1" t="s">
        <v>648</v>
      </c>
      <c r="B334" s="1" t="s">
        <v>51</v>
      </c>
      <c r="C334" s="1" t="s">
        <v>79</v>
      </c>
      <c r="D334" s="1" t="s">
        <v>13</v>
      </c>
      <c r="E334" s="4">
        <v>14</v>
      </c>
      <c r="F334" s="4">
        <v>9</v>
      </c>
      <c r="G334" s="1" t="s">
        <v>25</v>
      </c>
      <c r="H334" s="1" t="s">
        <v>15</v>
      </c>
      <c r="I334" s="5" t="s">
        <v>649</v>
      </c>
      <c r="J334" s="4">
        <v>77</v>
      </c>
      <c r="K334" s="1">
        <f t="shared" si="15"/>
        <v>1000</v>
      </c>
      <c r="L334" s="1">
        <f t="shared" si="16"/>
        <v>1000</v>
      </c>
      <c r="M334" s="1">
        <f t="shared" si="17"/>
        <v>1000</v>
      </c>
    </row>
    <row r="335" spans="1:13" x14ac:dyDescent="0.3">
      <c r="A335" s="1" t="s">
        <v>650</v>
      </c>
      <c r="B335" s="1" t="s">
        <v>23</v>
      </c>
      <c r="C335" s="1" t="s">
        <v>24</v>
      </c>
      <c r="D335" s="1" t="s">
        <v>13</v>
      </c>
      <c r="E335" s="4">
        <v>17</v>
      </c>
      <c r="F335" s="4">
        <v>12</v>
      </c>
      <c r="G335" s="1" t="s">
        <v>25</v>
      </c>
      <c r="H335" s="1" t="s">
        <v>46</v>
      </c>
      <c r="I335" s="5" t="s">
        <v>651</v>
      </c>
      <c r="J335" s="4">
        <v>45</v>
      </c>
      <c r="K335" s="1">
        <f t="shared" si="15"/>
        <v>1800</v>
      </c>
      <c r="L335" s="1">
        <f t="shared" si="16"/>
        <v>1800</v>
      </c>
      <c r="M335" s="1">
        <f t="shared" si="17"/>
        <v>1800</v>
      </c>
    </row>
    <row r="336" spans="1:13" x14ac:dyDescent="0.3">
      <c r="A336" s="1" t="s">
        <v>652</v>
      </c>
      <c r="B336" s="1" t="s">
        <v>51</v>
      </c>
      <c r="C336" s="1" t="s">
        <v>55</v>
      </c>
      <c r="D336" s="1" t="s">
        <v>13</v>
      </c>
      <c r="E336" s="4">
        <v>16</v>
      </c>
      <c r="F336" s="4">
        <v>12</v>
      </c>
      <c r="G336" s="1" t="s">
        <v>32</v>
      </c>
      <c r="H336" s="1" t="s">
        <v>61</v>
      </c>
      <c r="I336" s="5" t="s">
        <v>653</v>
      </c>
      <c r="J336" s="4">
        <v>45</v>
      </c>
      <c r="K336" s="1">
        <f t="shared" si="15"/>
        <v>1800</v>
      </c>
      <c r="L336" s="1">
        <f t="shared" si="16"/>
        <v>1800</v>
      </c>
      <c r="M336" s="1">
        <f t="shared" si="17"/>
        <v>1800</v>
      </c>
    </row>
    <row r="337" spans="1:13" x14ac:dyDescent="0.3">
      <c r="A337" s="1" t="s">
        <v>654</v>
      </c>
      <c r="B337" s="1" t="s">
        <v>18</v>
      </c>
      <c r="C337" s="1" t="s">
        <v>24</v>
      </c>
      <c r="D337" s="1" t="s">
        <v>31</v>
      </c>
      <c r="E337" s="4">
        <v>14</v>
      </c>
      <c r="F337" s="4">
        <v>12</v>
      </c>
      <c r="G337" s="1" t="s">
        <v>14</v>
      </c>
      <c r="H337" s="1" t="s">
        <v>46</v>
      </c>
      <c r="I337" s="5" t="s">
        <v>655</v>
      </c>
      <c r="J337" s="4">
        <v>42</v>
      </c>
      <c r="K337" s="1">
        <f t="shared" si="15"/>
        <v>1800</v>
      </c>
      <c r="L337" s="1">
        <f t="shared" si="16"/>
        <v>1800</v>
      </c>
      <c r="M337" s="1">
        <f t="shared" si="17"/>
        <v>1800</v>
      </c>
    </row>
    <row r="338" spans="1:13" x14ac:dyDescent="0.3">
      <c r="A338" s="1" t="s">
        <v>656</v>
      </c>
      <c r="B338" s="1" t="s">
        <v>29</v>
      </c>
      <c r="C338" s="1" t="s">
        <v>30</v>
      </c>
      <c r="D338" s="1" t="s">
        <v>13</v>
      </c>
      <c r="E338" s="4">
        <v>19</v>
      </c>
      <c r="F338" s="4">
        <v>10</v>
      </c>
      <c r="G338" s="1" t="s">
        <v>43</v>
      </c>
      <c r="H338" s="1" t="s">
        <v>15</v>
      </c>
      <c r="I338" s="5" t="s">
        <v>657</v>
      </c>
      <c r="J338" s="4">
        <v>85</v>
      </c>
      <c r="K338" s="1">
        <f t="shared" si="15"/>
        <v>1200</v>
      </c>
      <c r="L338" s="1">
        <f t="shared" si="16"/>
        <v>1200</v>
      </c>
      <c r="M338" s="1">
        <f t="shared" si="17"/>
        <v>1200</v>
      </c>
    </row>
    <row r="339" spans="1:13" x14ac:dyDescent="0.3">
      <c r="A339" s="1" t="s">
        <v>658</v>
      </c>
      <c r="B339" s="1" t="s">
        <v>11</v>
      </c>
      <c r="C339" s="1" t="s">
        <v>96</v>
      </c>
      <c r="D339" s="1" t="s">
        <v>31</v>
      </c>
      <c r="E339" s="4">
        <v>20</v>
      </c>
      <c r="F339" s="4">
        <v>10</v>
      </c>
      <c r="G339" s="1" t="s">
        <v>43</v>
      </c>
      <c r="H339" s="1" t="s">
        <v>37</v>
      </c>
      <c r="I339" s="5" t="s">
        <v>659</v>
      </c>
      <c r="J339" s="4">
        <v>62</v>
      </c>
      <c r="K339" s="1">
        <f t="shared" si="15"/>
        <v>1200</v>
      </c>
      <c r="L339" s="1">
        <f t="shared" si="16"/>
        <v>1200</v>
      </c>
      <c r="M339" s="1">
        <f t="shared" si="17"/>
        <v>1200</v>
      </c>
    </row>
    <row r="340" spans="1:13" x14ac:dyDescent="0.3">
      <c r="A340" s="1" t="s">
        <v>660</v>
      </c>
      <c r="B340" s="1" t="s">
        <v>23</v>
      </c>
      <c r="C340" s="1" t="s">
        <v>12</v>
      </c>
      <c r="D340" s="1" t="s">
        <v>13</v>
      </c>
      <c r="E340" s="4">
        <v>16</v>
      </c>
      <c r="F340" s="4">
        <v>11</v>
      </c>
      <c r="G340" s="1" t="s">
        <v>25</v>
      </c>
      <c r="H340" s="1" t="s">
        <v>40</v>
      </c>
      <c r="I340" s="5" t="s">
        <v>41</v>
      </c>
      <c r="J340" s="4">
        <v>86</v>
      </c>
      <c r="K340" s="1">
        <f t="shared" si="15"/>
        <v>1500</v>
      </c>
      <c r="L340" s="1">
        <f t="shared" si="16"/>
        <v>1500</v>
      </c>
      <c r="M340" s="1">
        <f t="shared" si="17"/>
        <v>1500</v>
      </c>
    </row>
    <row r="341" spans="1:13" x14ac:dyDescent="0.3">
      <c r="A341" s="1" t="s">
        <v>661</v>
      </c>
      <c r="B341" s="1" t="s">
        <v>54</v>
      </c>
      <c r="C341" s="1" t="s">
        <v>12</v>
      </c>
      <c r="D341" s="1" t="s">
        <v>31</v>
      </c>
      <c r="E341" s="4">
        <v>19</v>
      </c>
      <c r="F341" s="4">
        <v>10</v>
      </c>
      <c r="G341" s="1" t="s">
        <v>14</v>
      </c>
      <c r="H341" s="1" t="s">
        <v>76</v>
      </c>
      <c r="I341" s="5" t="s">
        <v>662</v>
      </c>
      <c r="J341" s="4">
        <v>54</v>
      </c>
      <c r="K341" s="1">
        <f t="shared" si="15"/>
        <v>1200</v>
      </c>
      <c r="L341" s="1">
        <f t="shared" si="16"/>
        <v>1200</v>
      </c>
      <c r="M341" s="1">
        <f t="shared" si="17"/>
        <v>1200</v>
      </c>
    </row>
    <row r="342" spans="1:13" x14ac:dyDescent="0.3">
      <c r="A342" s="1" t="s">
        <v>663</v>
      </c>
      <c r="B342" s="1" t="s">
        <v>73</v>
      </c>
      <c r="C342" s="1" t="s">
        <v>36</v>
      </c>
      <c r="D342" s="1" t="s">
        <v>13</v>
      </c>
      <c r="E342" s="4">
        <v>20</v>
      </c>
      <c r="F342" s="4">
        <v>12</v>
      </c>
      <c r="G342" s="1" t="s">
        <v>25</v>
      </c>
      <c r="H342" s="1" t="s">
        <v>40</v>
      </c>
      <c r="I342" s="5" t="s">
        <v>664</v>
      </c>
      <c r="J342" s="4">
        <v>50</v>
      </c>
      <c r="K342" s="1">
        <f t="shared" si="15"/>
        <v>1800</v>
      </c>
      <c r="L342" s="1">
        <f t="shared" si="16"/>
        <v>1800</v>
      </c>
      <c r="M342" s="1">
        <f t="shared" si="17"/>
        <v>1800</v>
      </c>
    </row>
    <row r="343" spans="1:13" x14ac:dyDescent="0.3">
      <c r="A343" s="1" t="s">
        <v>665</v>
      </c>
      <c r="B343" s="1" t="s">
        <v>51</v>
      </c>
      <c r="C343" s="1" t="s">
        <v>96</v>
      </c>
      <c r="D343" s="1" t="s">
        <v>13</v>
      </c>
      <c r="E343" s="4">
        <v>14</v>
      </c>
      <c r="F343" s="4">
        <v>10</v>
      </c>
      <c r="G343" s="1" t="s">
        <v>14</v>
      </c>
      <c r="H343" s="1" t="s">
        <v>37</v>
      </c>
      <c r="I343" s="5" t="s">
        <v>666</v>
      </c>
      <c r="J343" s="4">
        <v>68</v>
      </c>
      <c r="K343" s="1">
        <f t="shared" si="15"/>
        <v>1200</v>
      </c>
      <c r="L343" s="1">
        <f t="shared" si="16"/>
        <v>1200</v>
      </c>
      <c r="M343" s="1">
        <f t="shared" si="17"/>
        <v>1200</v>
      </c>
    </row>
    <row r="344" spans="1:13" x14ac:dyDescent="0.3">
      <c r="A344" s="1" t="s">
        <v>667</v>
      </c>
      <c r="B344" s="1" t="s">
        <v>35</v>
      </c>
      <c r="C344" s="1" t="s">
        <v>12</v>
      </c>
      <c r="D344" s="1" t="s">
        <v>31</v>
      </c>
      <c r="E344" s="4">
        <v>15</v>
      </c>
      <c r="F344" s="4">
        <v>12</v>
      </c>
      <c r="G344" s="1" t="s">
        <v>14</v>
      </c>
      <c r="H344" s="1" t="s">
        <v>46</v>
      </c>
      <c r="I344" s="5" t="s">
        <v>668</v>
      </c>
      <c r="J344" s="4">
        <v>82</v>
      </c>
      <c r="K344" s="1">
        <f t="shared" si="15"/>
        <v>1800</v>
      </c>
      <c r="L344" s="1">
        <f t="shared" si="16"/>
        <v>1800</v>
      </c>
      <c r="M344" s="1">
        <f t="shared" si="17"/>
        <v>1800</v>
      </c>
    </row>
    <row r="345" spans="1:13" x14ac:dyDescent="0.3">
      <c r="A345" s="1" t="s">
        <v>669</v>
      </c>
      <c r="B345" s="1" t="s">
        <v>11</v>
      </c>
      <c r="C345" s="1" t="s">
        <v>24</v>
      </c>
      <c r="D345" s="1" t="s">
        <v>13</v>
      </c>
      <c r="E345" s="4">
        <v>19</v>
      </c>
      <c r="F345" s="4">
        <v>9</v>
      </c>
      <c r="G345" s="1" t="s">
        <v>32</v>
      </c>
      <c r="H345" s="1" t="s">
        <v>40</v>
      </c>
      <c r="I345" s="5" t="s">
        <v>670</v>
      </c>
      <c r="J345" s="4">
        <v>51</v>
      </c>
      <c r="K345" s="1">
        <f t="shared" si="15"/>
        <v>1000</v>
      </c>
      <c r="L345" s="1">
        <f t="shared" si="16"/>
        <v>1000</v>
      </c>
      <c r="M345" s="1">
        <f t="shared" si="17"/>
        <v>1000</v>
      </c>
    </row>
    <row r="346" spans="1:13" x14ac:dyDescent="0.3">
      <c r="A346" s="1" t="s">
        <v>671</v>
      </c>
      <c r="B346" s="1" t="s">
        <v>11</v>
      </c>
      <c r="C346" s="1" t="s">
        <v>36</v>
      </c>
      <c r="D346" s="1" t="s">
        <v>13</v>
      </c>
      <c r="E346" s="4">
        <v>14</v>
      </c>
      <c r="F346" s="4">
        <v>10</v>
      </c>
      <c r="G346" s="1" t="s">
        <v>32</v>
      </c>
      <c r="H346" s="1" t="s">
        <v>40</v>
      </c>
      <c r="I346" s="5" t="s">
        <v>672</v>
      </c>
      <c r="J346" s="4">
        <v>64</v>
      </c>
      <c r="K346" s="1">
        <f t="shared" si="15"/>
        <v>1200</v>
      </c>
      <c r="L346" s="1">
        <f t="shared" si="16"/>
        <v>1200</v>
      </c>
      <c r="M346" s="1">
        <f t="shared" si="17"/>
        <v>1200</v>
      </c>
    </row>
    <row r="347" spans="1:13" x14ac:dyDescent="0.3">
      <c r="A347" s="1" t="s">
        <v>673</v>
      </c>
      <c r="B347" s="1" t="s">
        <v>11</v>
      </c>
      <c r="C347" s="1" t="s">
        <v>19</v>
      </c>
      <c r="D347" s="1" t="s">
        <v>31</v>
      </c>
      <c r="E347" s="4">
        <v>17</v>
      </c>
      <c r="F347" s="4">
        <v>10</v>
      </c>
      <c r="G347" s="1" t="s">
        <v>32</v>
      </c>
      <c r="H347" s="1" t="s">
        <v>46</v>
      </c>
      <c r="I347" s="5" t="s">
        <v>674</v>
      </c>
      <c r="J347" s="4">
        <v>85</v>
      </c>
      <c r="K347" s="1">
        <f t="shared" si="15"/>
        <v>1200</v>
      </c>
      <c r="L347" s="1">
        <f t="shared" si="16"/>
        <v>1200</v>
      </c>
      <c r="M347" s="1">
        <f t="shared" si="17"/>
        <v>1200</v>
      </c>
    </row>
    <row r="348" spans="1:13" x14ac:dyDescent="0.3">
      <c r="A348" s="1" t="s">
        <v>675</v>
      </c>
      <c r="B348" s="1" t="s">
        <v>73</v>
      </c>
      <c r="C348" s="1" t="s">
        <v>24</v>
      </c>
      <c r="D348" s="1" t="s">
        <v>13</v>
      </c>
      <c r="E348" s="4">
        <v>19</v>
      </c>
      <c r="F348" s="4">
        <v>11</v>
      </c>
      <c r="G348" s="1" t="s">
        <v>14</v>
      </c>
      <c r="H348" s="1" t="s">
        <v>37</v>
      </c>
      <c r="I348" s="5" t="s">
        <v>676</v>
      </c>
      <c r="J348" s="4">
        <v>51</v>
      </c>
      <c r="K348" s="1">
        <f t="shared" si="15"/>
        <v>1500</v>
      </c>
      <c r="L348" s="1">
        <f t="shared" si="16"/>
        <v>1500</v>
      </c>
      <c r="M348" s="1">
        <f t="shared" si="17"/>
        <v>1500</v>
      </c>
    </row>
    <row r="349" spans="1:13" x14ac:dyDescent="0.3">
      <c r="A349" s="1" t="s">
        <v>677</v>
      </c>
      <c r="B349" s="1" t="s">
        <v>23</v>
      </c>
      <c r="C349" s="1" t="s">
        <v>85</v>
      </c>
      <c r="D349" s="1" t="s">
        <v>13</v>
      </c>
      <c r="E349" s="4">
        <v>20</v>
      </c>
      <c r="F349" s="4">
        <v>10</v>
      </c>
      <c r="G349" s="1" t="s">
        <v>32</v>
      </c>
      <c r="H349" s="1" t="s">
        <v>40</v>
      </c>
      <c r="I349" s="5" t="s">
        <v>678</v>
      </c>
      <c r="J349" s="4">
        <v>56</v>
      </c>
      <c r="K349" s="1">
        <f t="shared" si="15"/>
        <v>1200</v>
      </c>
      <c r="L349" s="1">
        <f t="shared" si="16"/>
        <v>1200</v>
      </c>
      <c r="M349" s="1">
        <f t="shared" si="17"/>
        <v>1200</v>
      </c>
    </row>
    <row r="350" spans="1:13" x14ac:dyDescent="0.3">
      <c r="A350" s="1" t="s">
        <v>679</v>
      </c>
      <c r="B350" s="1" t="s">
        <v>18</v>
      </c>
      <c r="C350" s="1" t="s">
        <v>96</v>
      </c>
      <c r="D350" s="1" t="s">
        <v>13</v>
      </c>
      <c r="E350" s="4">
        <v>14</v>
      </c>
      <c r="F350" s="4">
        <v>12</v>
      </c>
      <c r="G350" s="1" t="s">
        <v>32</v>
      </c>
      <c r="H350" s="1" t="s">
        <v>46</v>
      </c>
      <c r="I350" s="5" t="s">
        <v>680</v>
      </c>
      <c r="J350" s="4">
        <v>44</v>
      </c>
      <c r="K350" s="1">
        <f t="shared" si="15"/>
        <v>1800</v>
      </c>
      <c r="L350" s="1">
        <f t="shared" si="16"/>
        <v>1800</v>
      </c>
      <c r="M350" s="1">
        <f t="shared" si="17"/>
        <v>1800</v>
      </c>
    </row>
    <row r="351" spans="1:13" x14ac:dyDescent="0.3">
      <c r="A351" s="1" t="s">
        <v>681</v>
      </c>
      <c r="B351" s="1" t="s">
        <v>35</v>
      </c>
      <c r="C351" s="1" t="s">
        <v>36</v>
      </c>
      <c r="D351" s="1" t="s">
        <v>13</v>
      </c>
      <c r="E351" s="4">
        <v>14</v>
      </c>
      <c r="F351" s="4">
        <v>9</v>
      </c>
      <c r="G351" s="1" t="s">
        <v>43</v>
      </c>
      <c r="H351" s="1" t="s">
        <v>46</v>
      </c>
      <c r="I351" s="5" t="s">
        <v>682</v>
      </c>
      <c r="J351" s="4">
        <v>67</v>
      </c>
      <c r="K351" s="1">
        <f t="shared" si="15"/>
        <v>1000</v>
      </c>
      <c r="L351" s="1">
        <f t="shared" si="16"/>
        <v>1000</v>
      </c>
      <c r="M351" s="1">
        <f t="shared" si="17"/>
        <v>1000</v>
      </c>
    </row>
    <row r="352" spans="1:13" x14ac:dyDescent="0.3">
      <c r="A352" s="1" t="s">
        <v>683</v>
      </c>
      <c r="B352" s="1" t="s">
        <v>84</v>
      </c>
      <c r="C352" s="1" t="s">
        <v>55</v>
      </c>
      <c r="D352" s="1" t="s">
        <v>31</v>
      </c>
      <c r="E352" s="4">
        <v>16</v>
      </c>
      <c r="F352" s="4">
        <v>12</v>
      </c>
      <c r="G352" s="1" t="s">
        <v>14</v>
      </c>
      <c r="H352" s="1" t="s">
        <v>76</v>
      </c>
      <c r="I352" s="5" t="s">
        <v>125</v>
      </c>
      <c r="J352" s="4">
        <v>60</v>
      </c>
      <c r="K352" s="1">
        <f t="shared" si="15"/>
        <v>1800</v>
      </c>
      <c r="L352" s="1">
        <f t="shared" si="16"/>
        <v>1800</v>
      </c>
      <c r="M352" s="1">
        <f t="shared" si="17"/>
        <v>1800</v>
      </c>
    </row>
    <row r="353" spans="1:13" x14ac:dyDescent="0.3">
      <c r="A353" s="1" t="s">
        <v>684</v>
      </c>
      <c r="B353" s="1" t="s">
        <v>54</v>
      </c>
      <c r="C353" s="1" t="s">
        <v>24</v>
      </c>
      <c r="D353" s="1" t="s">
        <v>31</v>
      </c>
      <c r="E353" s="4">
        <v>17</v>
      </c>
      <c r="F353" s="4">
        <v>10</v>
      </c>
      <c r="G353" s="1" t="s">
        <v>43</v>
      </c>
      <c r="H353" s="1" t="s">
        <v>46</v>
      </c>
      <c r="I353" s="5" t="s">
        <v>685</v>
      </c>
      <c r="J353" s="4">
        <v>74</v>
      </c>
      <c r="K353" s="1">
        <f t="shared" si="15"/>
        <v>1200</v>
      </c>
      <c r="L353" s="1">
        <f t="shared" si="16"/>
        <v>1200</v>
      </c>
      <c r="M353" s="1">
        <f t="shared" si="17"/>
        <v>1200</v>
      </c>
    </row>
    <row r="354" spans="1:13" x14ac:dyDescent="0.3">
      <c r="A354" s="1" t="s">
        <v>686</v>
      </c>
      <c r="B354" s="1" t="s">
        <v>23</v>
      </c>
      <c r="C354" s="1" t="s">
        <v>96</v>
      </c>
      <c r="D354" s="1" t="s">
        <v>31</v>
      </c>
      <c r="E354" s="4">
        <v>16</v>
      </c>
      <c r="F354" s="4">
        <v>9</v>
      </c>
      <c r="G354" s="1" t="s">
        <v>25</v>
      </c>
      <c r="H354" s="1" t="s">
        <v>20</v>
      </c>
      <c r="I354" s="5" t="s">
        <v>277</v>
      </c>
      <c r="J354" s="4">
        <v>71</v>
      </c>
      <c r="K354" s="1">
        <f t="shared" si="15"/>
        <v>1000</v>
      </c>
      <c r="L354" s="1">
        <f t="shared" si="16"/>
        <v>1000</v>
      </c>
      <c r="M354" s="1">
        <f t="shared" si="17"/>
        <v>1000</v>
      </c>
    </row>
    <row r="355" spans="1:13" x14ac:dyDescent="0.3">
      <c r="A355" s="1" t="s">
        <v>687</v>
      </c>
      <c r="B355" s="1" t="s">
        <v>84</v>
      </c>
      <c r="C355" s="1" t="s">
        <v>19</v>
      </c>
      <c r="D355" s="1" t="s">
        <v>13</v>
      </c>
      <c r="E355" s="4">
        <v>16</v>
      </c>
      <c r="F355" s="4">
        <v>10</v>
      </c>
      <c r="G355" s="1" t="s">
        <v>25</v>
      </c>
      <c r="H355" s="1" t="s">
        <v>46</v>
      </c>
      <c r="I355" s="5" t="s">
        <v>564</v>
      </c>
      <c r="J355" s="4">
        <v>52</v>
      </c>
      <c r="K355" s="1">
        <f t="shared" si="15"/>
        <v>1200</v>
      </c>
      <c r="L355" s="1">
        <f t="shared" si="16"/>
        <v>1200</v>
      </c>
      <c r="M355" s="1">
        <f t="shared" si="17"/>
        <v>1200</v>
      </c>
    </row>
    <row r="356" spans="1:13" x14ac:dyDescent="0.3">
      <c r="A356" s="1" t="s">
        <v>688</v>
      </c>
      <c r="B356" s="1" t="s">
        <v>23</v>
      </c>
      <c r="C356" s="1" t="s">
        <v>96</v>
      </c>
      <c r="D356" s="1" t="s">
        <v>31</v>
      </c>
      <c r="E356" s="4">
        <v>19</v>
      </c>
      <c r="F356" s="4">
        <v>10</v>
      </c>
      <c r="G356" s="1" t="s">
        <v>25</v>
      </c>
      <c r="H356" s="1" t="s">
        <v>40</v>
      </c>
      <c r="I356" s="5" t="s">
        <v>195</v>
      </c>
      <c r="J356" s="4">
        <v>55</v>
      </c>
      <c r="K356" s="1">
        <f t="shared" si="15"/>
        <v>1200</v>
      </c>
      <c r="L356" s="1">
        <f t="shared" si="16"/>
        <v>1200</v>
      </c>
      <c r="M356" s="1">
        <f t="shared" si="17"/>
        <v>1200</v>
      </c>
    </row>
    <row r="357" spans="1:13" x14ac:dyDescent="0.3">
      <c r="A357" s="1" t="s">
        <v>689</v>
      </c>
      <c r="B357" s="1" t="s">
        <v>68</v>
      </c>
      <c r="C357" s="1" t="s">
        <v>96</v>
      </c>
      <c r="D357" s="1" t="s">
        <v>13</v>
      </c>
      <c r="E357" s="4">
        <v>20</v>
      </c>
      <c r="F357" s="4">
        <v>12</v>
      </c>
      <c r="G357" s="1" t="s">
        <v>43</v>
      </c>
      <c r="H357" s="1" t="s">
        <v>20</v>
      </c>
      <c r="I357" s="5" t="s">
        <v>626</v>
      </c>
      <c r="J357" s="4">
        <v>48</v>
      </c>
      <c r="K357" s="1">
        <f t="shared" si="15"/>
        <v>1800</v>
      </c>
      <c r="L357" s="1">
        <f t="shared" si="16"/>
        <v>1800</v>
      </c>
      <c r="M357" s="1">
        <f t="shared" si="17"/>
        <v>1800</v>
      </c>
    </row>
    <row r="358" spans="1:13" x14ac:dyDescent="0.3">
      <c r="A358" s="1" t="s">
        <v>690</v>
      </c>
      <c r="B358" s="1" t="s">
        <v>23</v>
      </c>
      <c r="C358" s="1" t="s">
        <v>85</v>
      </c>
      <c r="D358" s="1" t="s">
        <v>13</v>
      </c>
      <c r="E358" s="4">
        <v>19</v>
      </c>
      <c r="F358" s="4">
        <v>9</v>
      </c>
      <c r="G358" s="1" t="s">
        <v>14</v>
      </c>
      <c r="H358" s="1" t="s">
        <v>76</v>
      </c>
      <c r="I358" s="5" t="s">
        <v>635</v>
      </c>
      <c r="J358" s="4">
        <v>91</v>
      </c>
      <c r="K358" s="1">
        <f t="shared" si="15"/>
        <v>1000</v>
      </c>
      <c r="L358" s="1">
        <f t="shared" si="16"/>
        <v>1000</v>
      </c>
      <c r="M358" s="1">
        <f t="shared" si="17"/>
        <v>1000</v>
      </c>
    </row>
    <row r="359" spans="1:13" x14ac:dyDescent="0.3">
      <c r="A359" s="1" t="s">
        <v>691</v>
      </c>
      <c r="B359" s="1" t="s">
        <v>84</v>
      </c>
      <c r="C359" s="1" t="s">
        <v>55</v>
      </c>
      <c r="D359" s="1" t="s">
        <v>13</v>
      </c>
      <c r="E359" s="4">
        <v>16</v>
      </c>
      <c r="F359" s="4">
        <v>10</v>
      </c>
      <c r="G359" s="1" t="s">
        <v>43</v>
      </c>
      <c r="H359" s="1" t="s">
        <v>46</v>
      </c>
      <c r="I359" s="5" t="s">
        <v>692</v>
      </c>
      <c r="J359" s="4">
        <v>91</v>
      </c>
      <c r="K359" s="1">
        <f t="shared" si="15"/>
        <v>1200</v>
      </c>
      <c r="L359" s="1">
        <f t="shared" si="16"/>
        <v>1200</v>
      </c>
      <c r="M359" s="1">
        <f t="shared" si="17"/>
        <v>1200</v>
      </c>
    </row>
    <row r="360" spans="1:13" x14ac:dyDescent="0.3">
      <c r="A360" s="1" t="s">
        <v>693</v>
      </c>
      <c r="B360" s="1" t="s">
        <v>73</v>
      </c>
      <c r="C360" s="1" t="s">
        <v>58</v>
      </c>
      <c r="D360" s="1" t="s">
        <v>31</v>
      </c>
      <c r="E360" s="4">
        <v>16</v>
      </c>
      <c r="F360" s="4">
        <v>11</v>
      </c>
      <c r="G360" s="1" t="s">
        <v>25</v>
      </c>
      <c r="H360" s="1" t="s">
        <v>37</v>
      </c>
      <c r="I360" s="5" t="s">
        <v>694</v>
      </c>
      <c r="J360" s="4">
        <v>65</v>
      </c>
      <c r="K360" s="1">
        <f t="shared" si="15"/>
        <v>1500</v>
      </c>
      <c r="L360" s="1">
        <f t="shared" si="16"/>
        <v>1500</v>
      </c>
      <c r="M360" s="1">
        <f t="shared" si="17"/>
        <v>1500</v>
      </c>
    </row>
    <row r="361" spans="1:13" x14ac:dyDescent="0.3">
      <c r="A361" s="1" t="s">
        <v>695</v>
      </c>
      <c r="B361" s="1" t="s">
        <v>51</v>
      </c>
      <c r="C361" s="1" t="s">
        <v>24</v>
      </c>
      <c r="D361" s="1" t="s">
        <v>13</v>
      </c>
      <c r="E361" s="4">
        <v>17</v>
      </c>
      <c r="F361" s="4">
        <v>9</v>
      </c>
      <c r="G361" s="1" t="s">
        <v>32</v>
      </c>
      <c r="H361" s="1" t="s">
        <v>15</v>
      </c>
      <c r="I361" s="5" t="s">
        <v>696</v>
      </c>
      <c r="J361" s="4">
        <v>69</v>
      </c>
      <c r="K361" s="1">
        <f t="shared" si="15"/>
        <v>1000</v>
      </c>
      <c r="L361" s="1">
        <f t="shared" si="16"/>
        <v>1000</v>
      </c>
      <c r="M361" s="1">
        <f t="shared" si="17"/>
        <v>1000</v>
      </c>
    </row>
    <row r="362" spans="1:13" x14ac:dyDescent="0.3">
      <c r="A362" s="1" t="s">
        <v>697</v>
      </c>
      <c r="B362" s="1" t="s">
        <v>29</v>
      </c>
      <c r="C362" s="1" t="s">
        <v>30</v>
      </c>
      <c r="D362" s="1" t="s">
        <v>31</v>
      </c>
      <c r="E362" s="4">
        <v>19</v>
      </c>
      <c r="F362" s="4">
        <v>10</v>
      </c>
      <c r="G362" s="1" t="s">
        <v>25</v>
      </c>
      <c r="H362" s="1" t="s">
        <v>61</v>
      </c>
      <c r="I362" s="5" t="s">
        <v>698</v>
      </c>
      <c r="J362" s="4">
        <v>75</v>
      </c>
      <c r="K362" s="1">
        <f t="shared" si="15"/>
        <v>1200</v>
      </c>
      <c r="L362" s="1">
        <f t="shared" si="16"/>
        <v>1200</v>
      </c>
      <c r="M362" s="1">
        <f t="shared" si="17"/>
        <v>1200</v>
      </c>
    </row>
    <row r="363" spans="1:13" x14ac:dyDescent="0.3">
      <c r="A363" s="1" t="s">
        <v>699</v>
      </c>
      <c r="B363" s="1" t="s">
        <v>11</v>
      </c>
      <c r="C363" s="1" t="s">
        <v>30</v>
      </c>
      <c r="D363" s="1" t="s">
        <v>31</v>
      </c>
      <c r="E363" s="4">
        <v>16</v>
      </c>
      <c r="F363" s="4">
        <v>11</v>
      </c>
      <c r="G363" s="1" t="s">
        <v>43</v>
      </c>
      <c r="H363" s="1" t="s">
        <v>40</v>
      </c>
      <c r="I363" s="5" t="s">
        <v>97</v>
      </c>
      <c r="J363" s="4">
        <v>72</v>
      </c>
      <c r="K363" s="1">
        <f t="shared" si="15"/>
        <v>1500</v>
      </c>
      <c r="L363" s="1">
        <f t="shared" si="16"/>
        <v>1500</v>
      </c>
      <c r="M363" s="1">
        <f t="shared" si="17"/>
        <v>1500</v>
      </c>
    </row>
    <row r="364" spans="1:13" x14ac:dyDescent="0.3">
      <c r="A364" s="1" t="s">
        <v>700</v>
      </c>
      <c r="B364" s="1" t="s">
        <v>23</v>
      </c>
      <c r="C364" s="1" t="s">
        <v>55</v>
      </c>
      <c r="D364" s="1" t="s">
        <v>31</v>
      </c>
      <c r="E364" s="4">
        <v>20</v>
      </c>
      <c r="F364" s="4">
        <v>10</v>
      </c>
      <c r="G364" s="1" t="s">
        <v>14</v>
      </c>
      <c r="H364" s="1" t="s">
        <v>15</v>
      </c>
      <c r="I364" s="5" t="s">
        <v>678</v>
      </c>
      <c r="J364" s="4">
        <v>59</v>
      </c>
      <c r="K364" s="1">
        <f t="shared" si="15"/>
        <v>1200</v>
      </c>
      <c r="L364" s="1">
        <f t="shared" si="16"/>
        <v>1200</v>
      </c>
      <c r="M364" s="1">
        <f t="shared" si="17"/>
        <v>1200</v>
      </c>
    </row>
    <row r="365" spans="1:13" x14ac:dyDescent="0.3">
      <c r="A365" s="1" t="s">
        <v>701</v>
      </c>
      <c r="B365" s="1" t="s">
        <v>54</v>
      </c>
      <c r="C365" s="1" t="s">
        <v>30</v>
      </c>
      <c r="D365" s="1" t="s">
        <v>31</v>
      </c>
      <c r="E365" s="4">
        <v>15</v>
      </c>
      <c r="F365" s="4">
        <v>11</v>
      </c>
      <c r="G365" s="1" t="s">
        <v>14</v>
      </c>
      <c r="H365" s="1" t="s">
        <v>76</v>
      </c>
      <c r="I365" s="5" t="s">
        <v>702</v>
      </c>
      <c r="J365" s="4">
        <v>42</v>
      </c>
      <c r="K365" s="1">
        <f t="shared" si="15"/>
        <v>1500</v>
      </c>
      <c r="L365" s="1">
        <f t="shared" si="16"/>
        <v>1500</v>
      </c>
      <c r="M365" s="1">
        <f t="shared" si="17"/>
        <v>1500</v>
      </c>
    </row>
    <row r="366" spans="1:13" x14ac:dyDescent="0.3">
      <c r="A366" s="1" t="s">
        <v>703</v>
      </c>
      <c r="B366" s="1" t="s">
        <v>73</v>
      </c>
      <c r="C366" s="1" t="s">
        <v>30</v>
      </c>
      <c r="D366" s="1" t="s">
        <v>31</v>
      </c>
      <c r="E366" s="4">
        <v>17</v>
      </c>
      <c r="F366" s="4">
        <v>12</v>
      </c>
      <c r="G366" s="1" t="s">
        <v>32</v>
      </c>
      <c r="H366" s="1" t="s">
        <v>40</v>
      </c>
      <c r="I366" s="5" t="s">
        <v>704</v>
      </c>
      <c r="J366" s="4">
        <v>93</v>
      </c>
      <c r="K366" s="1">
        <f t="shared" si="15"/>
        <v>1800</v>
      </c>
      <c r="L366" s="1">
        <f t="shared" si="16"/>
        <v>1800</v>
      </c>
      <c r="M366" s="1">
        <f t="shared" si="17"/>
        <v>1800</v>
      </c>
    </row>
    <row r="367" spans="1:13" x14ac:dyDescent="0.3">
      <c r="A367" s="1" t="s">
        <v>705</v>
      </c>
      <c r="B367" s="1" t="s">
        <v>84</v>
      </c>
      <c r="C367" s="1" t="s">
        <v>55</v>
      </c>
      <c r="D367" s="1" t="s">
        <v>31</v>
      </c>
      <c r="E367" s="4">
        <v>14</v>
      </c>
      <c r="F367" s="4">
        <v>12</v>
      </c>
      <c r="G367" s="1" t="s">
        <v>43</v>
      </c>
      <c r="H367" s="1" t="s">
        <v>76</v>
      </c>
      <c r="I367" s="5" t="s">
        <v>706</v>
      </c>
      <c r="J367" s="4">
        <v>63</v>
      </c>
      <c r="K367" s="1">
        <f t="shared" si="15"/>
        <v>1800</v>
      </c>
      <c r="L367" s="1">
        <f t="shared" si="16"/>
        <v>1800</v>
      </c>
      <c r="M367" s="1">
        <f t="shared" si="17"/>
        <v>1800</v>
      </c>
    </row>
    <row r="368" spans="1:13" x14ac:dyDescent="0.3">
      <c r="A368" s="1" t="s">
        <v>707</v>
      </c>
      <c r="B368" s="1" t="s">
        <v>68</v>
      </c>
      <c r="C368" s="1" t="s">
        <v>96</v>
      </c>
      <c r="D368" s="1" t="s">
        <v>31</v>
      </c>
      <c r="E368" s="4">
        <v>20</v>
      </c>
      <c r="F368" s="4">
        <v>12</v>
      </c>
      <c r="G368" s="1" t="s">
        <v>43</v>
      </c>
      <c r="H368" s="1" t="s">
        <v>37</v>
      </c>
      <c r="I368" s="5" t="s">
        <v>708</v>
      </c>
      <c r="J368" s="4">
        <v>35</v>
      </c>
      <c r="K368" s="1">
        <f t="shared" si="15"/>
        <v>1800</v>
      </c>
      <c r="L368" s="1">
        <f t="shared" si="16"/>
        <v>1800</v>
      </c>
      <c r="M368" s="1">
        <f t="shared" si="17"/>
        <v>1800</v>
      </c>
    </row>
    <row r="369" spans="1:13" x14ac:dyDescent="0.3">
      <c r="A369" s="1" t="s">
        <v>709</v>
      </c>
      <c r="B369" s="1" t="s">
        <v>54</v>
      </c>
      <c r="C369" s="1" t="s">
        <v>19</v>
      </c>
      <c r="D369" s="1" t="s">
        <v>31</v>
      </c>
      <c r="E369" s="4">
        <v>18</v>
      </c>
      <c r="F369" s="4">
        <v>10</v>
      </c>
      <c r="G369" s="1" t="s">
        <v>43</v>
      </c>
      <c r="H369" s="1" t="s">
        <v>37</v>
      </c>
      <c r="I369" s="5" t="s">
        <v>710</v>
      </c>
      <c r="J369" s="4">
        <v>89</v>
      </c>
      <c r="K369" s="1">
        <f t="shared" si="15"/>
        <v>1200</v>
      </c>
      <c r="L369" s="1">
        <f t="shared" si="16"/>
        <v>1200</v>
      </c>
      <c r="M369" s="1">
        <f t="shared" si="17"/>
        <v>1200</v>
      </c>
    </row>
    <row r="370" spans="1:13" x14ac:dyDescent="0.3">
      <c r="A370" s="1" t="s">
        <v>711</v>
      </c>
      <c r="B370" s="1" t="s">
        <v>29</v>
      </c>
      <c r="C370" s="1" t="s">
        <v>79</v>
      </c>
      <c r="D370" s="1" t="s">
        <v>13</v>
      </c>
      <c r="E370" s="4">
        <v>14</v>
      </c>
      <c r="F370" s="4">
        <v>9</v>
      </c>
      <c r="G370" s="1" t="s">
        <v>32</v>
      </c>
      <c r="H370" s="1" t="s">
        <v>15</v>
      </c>
      <c r="I370" s="5" t="s">
        <v>712</v>
      </c>
      <c r="J370" s="4">
        <v>72</v>
      </c>
      <c r="K370" s="1">
        <f t="shared" si="15"/>
        <v>1000</v>
      </c>
      <c r="L370" s="1">
        <f t="shared" si="16"/>
        <v>1000</v>
      </c>
      <c r="M370" s="1">
        <f t="shared" si="17"/>
        <v>1000</v>
      </c>
    </row>
    <row r="371" spans="1:13" x14ac:dyDescent="0.3">
      <c r="A371" s="1" t="s">
        <v>713</v>
      </c>
      <c r="B371" s="1" t="s">
        <v>29</v>
      </c>
      <c r="C371" s="1" t="s">
        <v>24</v>
      </c>
      <c r="D371" s="1" t="s">
        <v>31</v>
      </c>
      <c r="E371" s="4">
        <v>16</v>
      </c>
      <c r="F371" s="4">
        <v>12</v>
      </c>
      <c r="G371" s="1" t="s">
        <v>32</v>
      </c>
      <c r="H371" s="1" t="s">
        <v>26</v>
      </c>
      <c r="I371" s="5" t="s">
        <v>714</v>
      </c>
      <c r="J371" s="4">
        <v>57</v>
      </c>
      <c r="K371" s="1">
        <f t="shared" si="15"/>
        <v>1800</v>
      </c>
      <c r="L371" s="1">
        <f t="shared" si="16"/>
        <v>1800</v>
      </c>
      <c r="M371" s="1">
        <f t="shared" si="17"/>
        <v>1800</v>
      </c>
    </row>
    <row r="372" spans="1:13" x14ac:dyDescent="0.3">
      <c r="A372" s="1" t="s">
        <v>715</v>
      </c>
      <c r="B372" s="1" t="s">
        <v>51</v>
      </c>
      <c r="C372" s="1" t="s">
        <v>79</v>
      </c>
      <c r="D372" s="1" t="s">
        <v>13</v>
      </c>
      <c r="E372" s="4">
        <v>19</v>
      </c>
      <c r="F372" s="4">
        <v>10</v>
      </c>
      <c r="G372" s="1" t="s">
        <v>32</v>
      </c>
      <c r="H372" s="1" t="s">
        <v>40</v>
      </c>
      <c r="I372" s="5" t="s">
        <v>702</v>
      </c>
      <c r="J372" s="4">
        <v>84</v>
      </c>
      <c r="K372" s="1">
        <f t="shared" si="15"/>
        <v>1200</v>
      </c>
      <c r="L372" s="1">
        <f t="shared" si="16"/>
        <v>1200</v>
      </c>
      <c r="M372" s="1">
        <f t="shared" si="17"/>
        <v>1200</v>
      </c>
    </row>
    <row r="373" spans="1:13" x14ac:dyDescent="0.3">
      <c r="A373" s="1" t="s">
        <v>716</v>
      </c>
      <c r="B373" s="1" t="s">
        <v>23</v>
      </c>
      <c r="C373" s="1" t="s">
        <v>58</v>
      </c>
      <c r="D373" s="1" t="s">
        <v>31</v>
      </c>
      <c r="E373" s="4">
        <v>17</v>
      </c>
      <c r="F373" s="4">
        <v>9</v>
      </c>
      <c r="G373" s="1" t="s">
        <v>25</v>
      </c>
      <c r="H373" s="1" t="s">
        <v>15</v>
      </c>
      <c r="I373" s="5" t="s">
        <v>717</v>
      </c>
      <c r="J373" s="4">
        <v>51</v>
      </c>
      <c r="K373" s="1">
        <f t="shared" si="15"/>
        <v>1000</v>
      </c>
      <c r="L373" s="1">
        <f t="shared" si="16"/>
        <v>1000</v>
      </c>
      <c r="M373" s="1">
        <f t="shared" si="17"/>
        <v>1000</v>
      </c>
    </row>
    <row r="374" spans="1:13" x14ac:dyDescent="0.3">
      <c r="A374" s="1" t="s">
        <v>718</v>
      </c>
      <c r="B374" s="1" t="s">
        <v>84</v>
      </c>
      <c r="C374" s="1" t="s">
        <v>12</v>
      </c>
      <c r="D374" s="1" t="s">
        <v>31</v>
      </c>
      <c r="E374" s="4">
        <v>20</v>
      </c>
      <c r="F374" s="4">
        <v>10</v>
      </c>
      <c r="G374" s="1" t="s">
        <v>25</v>
      </c>
      <c r="H374" s="1" t="s">
        <v>61</v>
      </c>
      <c r="I374" s="5" t="s">
        <v>639</v>
      </c>
      <c r="J374" s="4">
        <v>35</v>
      </c>
      <c r="K374" s="1">
        <f t="shared" si="15"/>
        <v>1200</v>
      </c>
      <c r="L374" s="1">
        <f t="shared" si="16"/>
        <v>1200</v>
      </c>
      <c r="M374" s="1">
        <f t="shared" si="17"/>
        <v>1200</v>
      </c>
    </row>
    <row r="375" spans="1:13" x14ac:dyDescent="0.3">
      <c r="A375" s="1" t="s">
        <v>719</v>
      </c>
      <c r="B375" s="1" t="s">
        <v>18</v>
      </c>
      <c r="C375" s="1" t="s">
        <v>24</v>
      </c>
      <c r="D375" s="1" t="s">
        <v>31</v>
      </c>
      <c r="E375" s="4">
        <v>18</v>
      </c>
      <c r="F375" s="4">
        <v>11</v>
      </c>
      <c r="G375" s="1" t="s">
        <v>43</v>
      </c>
      <c r="H375" s="1" t="s">
        <v>40</v>
      </c>
      <c r="I375" s="5" t="s">
        <v>720</v>
      </c>
      <c r="J375" s="4">
        <v>83</v>
      </c>
      <c r="K375" s="1">
        <f t="shared" si="15"/>
        <v>1500</v>
      </c>
      <c r="L375" s="1">
        <f t="shared" si="16"/>
        <v>1500</v>
      </c>
      <c r="M375" s="1">
        <f t="shared" si="17"/>
        <v>1500</v>
      </c>
    </row>
    <row r="376" spans="1:13" x14ac:dyDescent="0.3">
      <c r="A376" s="1" t="s">
        <v>721</v>
      </c>
      <c r="B376" s="1" t="s">
        <v>23</v>
      </c>
      <c r="C376" s="1" t="s">
        <v>19</v>
      </c>
      <c r="D376" s="1" t="s">
        <v>31</v>
      </c>
      <c r="E376" s="4">
        <v>18</v>
      </c>
      <c r="F376" s="4">
        <v>10</v>
      </c>
      <c r="G376" s="1" t="s">
        <v>14</v>
      </c>
      <c r="H376" s="1" t="s">
        <v>26</v>
      </c>
      <c r="I376" s="5" t="s">
        <v>722</v>
      </c>
      <c r="J376" s="4">
        <v>43</v>
      </c>
      <c r="K376" s="1">
        <f t="shared" si="15"/>
        <v>1200</v>
      </c>
      <c r="L376" s="1">
        <f t="shared" si="16"/>
        <v>1200</v>
      </c>
      <c r="M376" s="1">
        <f t="shared" si="17"/>
        <v>1200</v>
      </c>
    </row>
    <row r="377" spans="1:13" x14ac:dyDescent="0.3">
      <c r="A377" s="1" t="s">
        <v>723</v>
      </c>
      <c r="B377" s="1" t="s">
        <v>68</v>
      </c>
      <c r="C377" s="1" t="s">
        <v>79</v>
      </c>
      <c r="D377" s="1" t="s">
        <v>31</v>
      </c>
      <c r="E377" s="4">
        <v>19</v>
      </c>
      <c r="F377" s="4">
        <v>12</v>
      </c>
      <c r="G377" s="1" t="s">
        <v>25</v>
      </c>
      <c r="H377" s="1" t="s">
        <v>40</v>
      </c>
      <c r="I377" s="5" t="s">
        <v>724</v>
      </c>
      <c r="J377" s="4">
        <v>65</v>
      </c>
      <c r="K377" s="1">
        <f t="shared" si="15"/>
        <v>1800</v>
      </c>
      <c r="L377" s="1">
        <f t="shared" si="16"/>
        <v>1800</v>
      </c>
      <c r="M377" s="1">
        <f t="shared" si="17"/>
        <v>1800</v>
      </c>
    </row>
    <row r="378" spans="1:13" x14ac:dyDescent="0.3">
      <c r="A378" s="1" t="s">
        <v>725</v>
      </c>
      <c r="B378" s="1" t="s">
        <v>11</v>
      </c>
      <c r="C378" s="1" t="s">
        <v>55</v>
      </c>
      <c r="D378" s="1" t="s">
        <v>31</v>
      </c>
      <c r="E378" s="4">
        <v>15</v>
      </c>
      <c r="F378" s="4">
        <v>9</v>
      </c>
      <c r="G378" s="1" t="s">
        <v>25</v>
      </c>
      <c r="H378" s="1" t="s">
        <v>37</v>
      </c>
      <c r="I378" s="5" t="s">
        <v>726</v>
      </c>
      <c r="J378" s="4">
        <v>72</v>
      </c>
      <c r="K378" s="1">
        <f t="shared" si="15"/>
        <v>1000</v>
      </c>
      <c r="L378" s="1">
        <f t="shared" si="16"/>
        <v>1000</v>
      </c>
      <c r="M378" s="1">
        <f t="shared" si="17"/>
        <v>1000</v>
      </c>
    </row>
    <row r="379" spans="1:13" x14ac:dyDescent="0.3">
      <c r="A379" s="1" t="s">
        <v>727</v>
      </c>
      <c r="B379" s="1" t="s">
        <v>68</v>
      </c>
      <c r="C379" s="1" t="s">
        <v>12</v>
      </c>
      <c r="D379" s="1" t="s">
        <v>13</v>
      </c>
      <c r="E379" s="4">
        <v>14</v>
      </c>
      <c r="F379" s="4">
        <v>9</v>
      </c>
      <c r="G379" s="1" t="s">
        <v>14</v>
      </c>
      <c r="H379" s="1" t="s">
        <v>20</v>
      </c>
      <c r="I379" s="5" t="s">
        <v>728</v>
      </c>
      <c r="J379" s="4">
        <v>68</v>
      </c>
      <c r="K379" s="1">
        <f t="shared" si="15"/>
        <v>1000</v>
      </c>
      <c r="L379" s="1">
        <f t="shared" si="16"/>
        <v>1000</v>
      </c>
      <c r="M379" s="1">
        <f t="shared" si="17"/>
        <v>1000</v>
      </c>
    </row>
    <row r="380" spans="1:13" x14ac:dyDescent="0.3">
      <c r="A380" s="1" t="s">
        <v>729</v>
      </c>
      <c r="B380" s="1" t="s">
        <v>35</v>
      </c>
      <c r="C380" s="1" t="s">
        <v>79</v>
      </c>
      <c r="D380" s="1" t="s">
        <v>13</v>
      </c>
      <c r="E380" s="4">
        <v>15</v>
      </c>
      <c r="F380" s="4">
        <v>9</v>
      </c>
      <c r="G380" s="1" t="s">
        <v>43</v>
      </c>
      <c r="H380" s="1" t="s">
        <v>76</v>
      </c>
      <c r="I380" s="5" t="s">
        <v>730</v>
      </c>
      <c r="J380" s="4">
        <v>39</v>
      </c>
      <c r="K380" s="1">
        <f t="shared" si="15"/>
        <v>1000</v>
      </c>
      <c r="L380" s="1">
        <f t="shared" si="16"/>
        <v>1000</v>
      </c>
      <c r="M380" s="1">
        <f t="shared" si="17"/>
        <v>1000</v>
      </c>
    </row>
    <row r="381" spans="1:13" x14ac:dyDescent="0.3">
      <c r="A381" s="1" t="s">
        <v>731</v>
      </c>
      <c r="B381" s="1" t="s">
        <v>84</v>
      </c>
      <c r="C381" s="1" t="s">
        <v>85</v>
      </c>
      <c r="D381" s="1" t="s">
        <v>31</v>
      </c>
      <c r="E381" s="4">
        <v>17</v>
      </c>
      <c r="F381" s="4">
        <v>9</v>
      </c>
      <c r="G381" s="1" t="s">
        <v>43</v>
      </c>
      <c r="H381" s="1" t="s">
        <v>76</v>
      </c>
      <c r="I381" s="5" t="s">
        <v>732</v>
      </c>
      <c r="J381" s="4">
        <v>97</v>
      </c>
      <c r="K381" s="1">
        <f t="shared" si="15"/>
        <v>1000</v>
      </c>
      <c r="L381" s="1">
        <f t="shared" si="16"/>
        <v>1000</v>
      </c>
      <c r="M381" s="1">
        <f t="shared" si="17"/>
        <v>1000</v>
      </c>
    </row>
    <row r="382" spans="1:13" x14ac:dyDescent="0.3">
      <c r="A382" s="1" t="s">
        <v>733</v>
      </c>
      <c r="B382" s="1" t="s">
        <v>84</v>
      </c>
      <c r="C382" s="1" t="s">
        <v>85</v>
      </c>
      <c r="D382" s="1" t="s">
        <v>31</v>
      </c>
      <c r="E382" s="4">
        <v>17</v>
      </c>
      <c r="F382" s="4">
        <v>12</v>
      </c>
      <c r="G382" s="1" t="s">
        <v>43</v>
      </c>
      <c r="H382" s="1" t="s">
        <v>15</v>
      </c>
      <c r="I382" s="5" t="s">
        <v>734</v>
      </c>
      <c r="J382" s="4">
        <v>77</v>
      </c>
      <c r="K382" s="1">
        <f t="shared" si="15"/>
        <v>1800</v>
      </c>
      <c r="L382" s="1">
        <f t="shared" si="16"/>
        <v>1800</v>
      </c>
      <c r="M382" s="1">
        <f t="shared" si="17"/>
        <v>1800</v>
      </c>
    </row>
    <row r="383" spans="1:13" x14ac:dyDescent="0.3">
      <c r="A383" s="1" t="s">
        <v>735</v>
      </c>
      <c r="B383" s="1" t="s">
        <v>68</v>
      </c>
      <c r="C383" s="1" t="s">
        <v>24</v>
      </c>
      <c r="D383" s="1" t="s">
        <v>31</v>
      </c>
      <c r="E383" s="4">
        <v>16</v>
      </c>
      <c r="F383" s="4">
        <v>12</v>
      </c>
      <c r="G383" s="1" t="s">
        <v>43</v>
      </c>
      <c r="H383" s="1" t="s">
        <v>26</v>
      </c>
      <c r="I383" s="5" t="s">
        <v>736</v>
      </c>
      <c r="J383" s="4">
        <v>85</v>
      </c>
      <c r="K383" s="1">
        <f t="shared" si="15"/>
        <v>1800</v>
      </c>
      <c r="L383" s="1">
        <f t="shared" si="16"/>
        <v>1800</v>
      </c>
      <c r="M383" s="1">
        <f t="shared" si="17"/>
        <v>1800</v>
      </c>
    </row>
    <row r="384" spans="1:13" x14ac:dyDescent="0.3">
      <c r="A384" s="1" t="s">
        <v>737</v>
      </c>
      <c r="B384" s="1" t="s">
        <v>54</v>
      </c>
      <c r="C384" s="1" t="s">
        <v>96</v>
      </c>
      <c r="D384" s="1" t="s">
        <v>13</v>
      </c>
      <c r="E384" s="4">
        <v>19</v>
      </c>
      <c r="F384" s="4">
        <v>12</v>
      </c>
      <c r="G384" s="1" t="s">
        <v>25</v>
      </c>
      <c r="H384" s="1" t="s">
        <v>20</v>
      </c>
      <c r="I384" s="5" t="s">
        <v>738</v>
      </c>
      <c r="J384" s="4">
        <v>85</v>
      </c>
      <c r="K384" s="1">
        <f t="shared" si="15"/>
        <v>1800</v>
      </c>
      <c r="L384" s="1">
        <f t="shared" si="16"/>
        <v>1800</v>
      </c>
      <c r="M384" s="1">
        <f t="shared" si="17"/>
        <v>1800</v>
      </c>
    </row>
    <row r="385" spans="1:13" x14ac:dyDescent="0.3">
      <c r="A385" s="1" t="s">
        <v>739</v>
      </c>
      <c r="B385" s="1" t="s">
        <v>18</v>
      </c>
      <c r="C385" s="1" t="s">
        <v>79</v>
      </c>
      <c r="D385" s="1" t="s">
        <v>31</v>
      </c>
      <c r="E385" s="4">
        <v>14</v>
      </c>
      <c r="F385" s="4">
        <v>10</v>
      </c>
      <c r="G385" s="1" t="s">
        <v>32</v>
      </c>
      <c r="H385" s="1" t="s">
        <v>20</v>
      </c>
      <c r="I385" s="5" t="s">
        <v>740</v>
      </c>
      <c r="J385" s="4">
        <v>99</v>
      </c>
      <c r="K385" s="1">
        <f t="shared" si="15"/>
        <v>1200</v>
      </c>
      <c r="L385" s="1">
        <f t="shared" si="16"/>
        <v>1200</v>
      </c>
      <c r="M385" s="1">
        <f t="shared" si="17"/>
        <v>1200</v>
      </c>
    </row>
    <row r="386" spans="1:13" x14ac:dyDescent="0.3">
      <c r="A386" s="1" t="s">
        <v>741</v>
      </c>
      <c r="B386" s="1" t="s">
        <v>54</v>
      </c>
      <c r="C386" s="1" t="s">
        <v>24</v>
      </c>
      <c r="D386" s="1" t="s">
        <v>13</v>
      </c>
      <c r="E386" s="4">
        <v>14</v>
      </c>
      <c r="F386" s="4">
        <v>9</v>
      </c>
      <c r="G386" s="1" t="s">
        <v>14</v>
      </c>
      <c r="H386" s="1" t="s">
        <v>76</v>
      </c>
      <c r="I386" s="5" t="s">
        <v>742</v>
      </c>
      <c r="J386" s="4">
        <v>55</v>
      </c>
      <c r="K386" s="1">
        <f t="shared" si="15"/>
        <v>1000</v>
      </c>
      <c r="L386" s="1">
        <f t="shared" si="16"/>
        <v>1000</v>
      </c>
      <c r="M386" s="1">
        <f t="shared" si="17"/>
        <v>1000</v>
      </c>
    </row>
    <row r="387" spans="1:13" x14ac:dyDescent="0.3">
      <c r="A387" s="1" t="s">
        <v>743</v>
      </c>
      <c r="B387" s="1" t="s">
        <v>84</v>
      </c>
      <c r="C387" s="1" t="s">
        <v>19</v>
      </c>
      <c r="D387" s="1" t="s">
        <v>13</v>
      </c>
      <c r="E387" s="4">
        <v>15</v>
      </c>
      <c r="F387" s="4">
        <v>10</v>
      </c>
      <c r="G387" s="1" t="s">
        <v>43</v>
      </c>
      <c r="H387" s="1" t="s">
        <v>26</v>
      </c>
      <c r="I387" s="5" t="s">
        <v>744</v>
      </c>
      <c r="J387" s="4">
        <v>60</v>
      </c>
      <c r="K387" s="1">
        <f t="shared" si="15"/>
        <v>1200</v>
      </c>
      <c r="L387" s="1">
        <f t="shared" si="16"/>
        <v>1200</v>
      </c>
      <c r="M387" s="1">
        <f t="shared" si="17"/>
        <v>1200</v>
      </c>
    </row>
    <row r="388" spans="1:13" x14ac:dyDescent="0.3">
      <c r="A388" s="1" t="s">
        <v>745</v>
      </c>
      <c r="B388" s="1" t="s">
        <v>73</v>
      </c>
      <c r="C388" s="1" t="s">
        <v>36</v>
      </c>
      <c r="D388" s="1" t="s">
        <v>13</v>
      </c>
      <c r="E388" s="4">
        <v>16</v>
      </c>
      <c r="F388" s="4">
        <v>9</v>
      </c>
      <c r="G388" s="1" t="s">
        <v>32</v>
      </c>
      <c r="H388" s="1" t="s">
        <v>76</v>
      </c>
      <c r="I388" s="5" t="s">
        <v>746</v>
      </c>
      <c r="J388" s="4">
        <v>38</v>
      </c>
      <c r="K388" s="1">
        <f t="shared" si="15"/>
        <v>1000</v>
      </c>
      <c r="L388" s="1">
        <f t="shared" si="16"/>
        <v>1000</v>
      </c>
      <c r="M388" s="1">
        <f t="shared" si="17"/>
        <v>1000</v>
      </c>
    </row>
    <row r="389" spans="1:13" x14ac:dyDescent="0.3">
      <c r="A389" s="1" t="s">
        <v>747</v>
      </c>
      <c r="B389" s="1" t="s">
        <v>51</v>
      </c>
      <c r="C389" s="1" t="s">
        <v>96</v>
      </c>
      <c r="D389" s="1" t="s">
        <v>13</v>
      </c>
      <c r="E389" s="4">
        <v>17</v>
      </c>
      <c r="F389" s="4">
        <v>12</v>
      </c>
      <c r="G389" s="1" t="s">
        <v>14</v>
      </c>
      <c r="H389" s="1" t="s">
        <v>26</v>
      </c>
      <c r="I389" s="5" t="s">
        <v>748</v>
      </c>
      <c r="J389" s="4">
        <v>67</v>
      </c>
      <c r="K389" s="1">
        <f t="shared" si="15"/>
        <v>1800</v>
      </c>
      <c r="L389" s="1">
        <f t="shared" si="16"/>
        <v>1800</v>
      </c>
      <c r="M389" s="1">
        <f t="shared" si="17"/>
        <v>1800</v>
      </c>
    </row>
    <row r="390" spans="1:13" x14ac:dyDescent="0.3">
      <c r="A390" s="1" t="s">
        <v>749</v>
      </c>
      <c r="B390" s="1" t="s">
        <v>84</v>
      </c>
      <c r="C390" s="1" t="s">
        <v>30</v>
      </c>
      <c r="D390" s="1" t="s">
        <v>13</v>
      </c>
      <c r="E390" s="4">
        <v>15</v>
      </c>
      <c r="F390" s="4">
        <v>12</v>
      </c>
      <c r="G390" s="1" t="s">
        <v>25</v>
      </c>
      <c r="H390" s="1" t="s">
        <v>61</v>
      </c>
      <c r="I390" s="5" t="s">
        <v>750</v>
      </c>
      <c r="J390" s="4">
        <v>95</v>
      </c>
      <c r="K390" s="1">
        <f t="shared" si="15"/>
        <v>1800</v>
      </c>
      <c r="L390" s="1">
        <f t="shared" si="16"/>
        <v>1800</v>
      </c>
      <c r="M390" s="1">
        <f t="shared" si="17"/>
        <v>1800</v>
      </c>
    </row>
    <row r="391" spans="1:13" x14ac:dyDescent="0.3">
      <c r="A391" s="1" t="s">
        <v>751</v>
      </c>
      <c r="B391" s="1" t="s">
        <v>73</v>
      </c>
      <c r="C391" s="1" t="s">
        <v>79</v>
      </c>
      <c r="D391" s="1" t="s">
        <v>31</v>
      </c>
      <c r="E391" s="4">
        <v>20</v>
      </c>
      <c r="F391" s="4">
        <v>12</v>
      </c>
      <c r="G391" s="1" t="s">
        <v>25</v>
      </c>
      <c r="H391" s="1" t="s">
        <v>76</v>
      </c>
      <c r="I391" s="5" t="s">
        <v>752</v>
      </c>
      <c r="J391" s="4">
        <v>91</v>
      </c>
      <c r="K391" s="1">
        <f t="shared" si="15"/>
        <v>1800</v>
      </c>
      <c r="L391" s="1">
        <f t="shared" si="16"/>
        <v>1800</v>
      </c>
      <c r="M391" s="1">
        <f t="shared" si="17"/>
        <v>1800</v>
      </c>
    </row>
    <row r="392" spans="1:13" x14ac:dyDescent="0.3">
      <c r="A392" s="1" t="s">
        <v>753</v>
      </c>
      <c r="B392" s="1" t="s">
        <v>73</v>
      </c>
      <c r="C392" s="1" t="s">
        <v>24</v>
      </c>
      <c r="D392" s="1" t="s">
        <v>13</v>
      </c>
      <c r="E392" s="4">
        <v>18</v>
      </c>
      <c r="F392" s="4">
        <v>11</v>
      </c>
      <c r="G392" s="1" t="s">
        <v>32</v>
      </c>
      <c r="H392" s="1" t="s">
        <v>40</v>
      </c>
      <c r="I392" s="5" t="s">
        <v>313</v>
      </c>
      <c r="J392" s="4">
        <v>58</v>
      </c>
      <c r="K392" s="1">
        <f t="shared" si="15"/>
        <v>1500</v>
      </c>
      <c r="L392" s="1">
        <f t="shared" si="16"/>
        <v>1500</v>
      </c>
      <c r="M392" s="1">
        <f t="shared" si="17"/>
        <v>1500</v>
      </c>
    </row>
    <row r="393" spans="1:13" x14ac:dyDescent="0.3">
      <c r="A393" s="1" t="s">
        <v>754</v>
      </c>
      <c r="B393" s="1" t="s">
        <v>54</v>
      </c>
      <c r="C393" s="1" t="s">
        <v>12</v>
      </c>
      <c r="D393" s="1" t="s">
        <v>13</v>
      </c>
      <c r="E393" s="4">
        <v>14</v>
      </c>
      <c r="F393" s="4">
        <v>12</v>
      </c>
      <c r="G393" s="1" t="s">
        <v>32</v>
      </c>
      <c r="H393" s="1" t="s">
        <v>20</v>
      </c>
      <c r="I393" s="5" t="s">
        <v>755</v>
      </c>
      <c r="J393" s="4">
        <v>98</v>
      </c>
      <c r="K393" s="1">
        <f t="shared" ref="K393:K456" si="18">VLOOKUP($F393,$A$1:$B$5,2,0)</f>
        <v>1800</v>
      </c>
      <c r="L393" s="1">
        <f t="shared" ref="L393:L456" si="19">INDEX($B$2:$B$5,MATCH($F393,$A$2:$A$5,0))</f>
        <v>1800</v>
      </c>
      <c r="M393" s="1">
        <f t="shared" ref="M393:M456" si="20">_xlfn.XLOOKUP($F393,$A$2:$A$5,$B$2:$B$5)</f>
        <v>1800</v>
      </c>
    </row>
    <row r="394" spans="1:13" x14ac:dyDescent="0.3">
      <c r="A394" s="1" t="s">
        <v>756</v>
      </c>
      <c r="B394" s="1" t="s">
        <v>11</v>
      </c>
      <c r="C394" s="1" t="s">
        <v>30</v>
      </c>
      <c r="D394" s="1" t="s">
        <v>13</v>
      </c>
      <c r="E394" s="4">
        <v>15</v>
      </c>
      <c r="F394" s="4">
        <v>11</v>
      </c>
      <c r="G394" s="1" t="s">
        <v>14</v>
      </c>
      <c r="H394" s="1" t="s">
        <v>76</v>
      </c>
      <c r="I394" s="5" t="s">
        <v>757</v>
      </c>
      <c r="J394" s="4">
        <v>39</v>
      </c>
      <c r="K394" s="1">
        <f t="shared" si="18"/>
        <v>1500</v>
      </c>
      <c r="L394" s="1">
        <f t="shared" si="19"/>
        <v>1500</v>
      </c>
      <c r="M394" s="1">
        <f t="shared" si="20"/>
        <v>1500</v>
      </c>
    </row>
    <row r="395" spans="1:13" x14ac:dyDescent="0.3">
      <c r="A395" s="1" t="s">
        <v>758</v>
      </c>
      <c r="B395" s="1" t="s">
        <v>73</v>
      </c>
      <c r="C395" s="1" t="s">
        <v>12</v>
      </c>
      <c r="D395" s="1" t="s">
        <v>31</v>
      </c>
      <c r="E395" s="4">
        <v>16</v>
      </c>
      <c r="F395" s="4">
        <v>11</v>
      </c>
      <c r="G395" s="1" t="s">
        <v>43</v>
      </c>
      <c r="H395" s="1" t="s">
        <v>40</v>
      </c>
      <c r="I395" s="5" t="s">
        <v>759</v>
      </c>
      <c r="J395" s="4">
        <v>70</v>
      </c>
      <c r="K395" s="1">
        <f t="shared" si="18"/>
        <v>1500</v>
      </c>
      <c r="L395" s="1">
        <f t="shared" si="19"/>
        <v>1500</v>
      </c>
      <c r="M395" s="1">
        <f t="shared" si="20"/>
        <v>1500</v>
      </c>
    </row>
    <row r="396" spans="1:13" x14ac:dyDescent="0.3">
      <c r="A396" s="1" t="s">
        <v>760</v>
      </c>
      <c r="B396" s="1" t="s">
        <v>84</v>
      </c>
      <c r="C396" s="1" t="s">
        <v>96</v>
      </c>
      <c r="D396" s="1" t="s">
        <v>31</v>
      </c>
      <c r="E396" s="4">
        <v>16</v>
      </c>
      <c r="F396" s="4">
        <v>11</v>
      </c>
      <c r="G396" s="1" t="s">
        <v>32</v>
      </c>
      <c r="H396" s="1" t="s">
        <v>76</v>
      </c>
      <c r="I396" s="5" t="s">
        <v>761</v>
      </c>
      <c r="J396" s="4">
        <v>83</v>
      </c>
      <c r="K396" s="1">
        <f t="shared" si="18"/>
        <v>1500</v>
      </c>
      <c r="L396" s="1">
        <f t="shared" si="19"/>
        <v>1500</v>
      </c>
      <c r="M396" s="1">
        <f t="shared" si="20"/>
        <v>1500</v>
      </c>
    </row>
    <row r="397" spans="1:13" x14ac:dyDescent="0.3">
      <c r="A397" s="1" t="s">
        <v>762</v>
      </c>
      <c r="B397" s="1" t="s">
        <v>68</v>
      </c>
      <c r="C397" s="1" t="s">
        <v>85</v>
      </c>
      <c r="D397" s="1" t="s">
        <v>31</v>
      </c>
      <c r="E397" s="4">
        <v>20</v>
      </c>
      <c r="F397" s="4">
        <v>12</v>
      </c>
      <c r="G397" s="1" t="s">
        <v>43</v>
      </c>
      <c r="H397" s="1" t="s">
        <v>20</v>
      </c>
      <c r="I397" s="5" t="s">
        <v>763</v>
      </c>
      <c r="J397" s="4">
        <v>82</v>
      </c>
      <c r="K397" s="1">
        <f t="shared" si="18"/>
        <v>1800</v>
      </c>
      <c r="L397" s="1">
        <f t="shared" si="19"/>
        <v>1800</v>
      </c>
      <c r="M397" s="1">
        <f t="shared" si="20"/>
        <v>1800</v>
      </c>
    </row>
    <row r="398" spans="1:13" x14ac:dyDescent="0.3">
      <c r="A398" s="1" t="s">
        <v>764</v>
      </c>
      <c r="B398" s="1" t="s">
        <v>18</v>
      </c>
      <c r="C398" s="1" t="s">
        <v>55</v>
      </c>
      <c r="D398" s="1" t="s">
        <v>13</v>
      </c>
      <c r="E398" s="4">
        <v>16</v>
      </c>
      <c r="F398" s="4">
        <v>12</v>
      </c>
      <c r="G398" s="1" t="s">
        <v>14</v>
      </c>
      <c r="H398" s="1" t="s">
        <v>40</v>
      </c>
      <c r="I398" s="5" t="s">
        <v>765</v>
      </c>
      <c r="J398" s="4">
        <v>61</v>
      </c>
      <c r="K398" s="1">
        <f t="shared" si="18"/>
        <v>1800</v>
      </c>
      <c r="L398" s="1">
        <f t="shared" si="19"/>
        <v>1800</v>
      </c>
      <c r="M398" s="1">
        <f t="shared" si="20"/>
        <v>1800</v>
      </c>
    </row>
    <row r="399" spans="1:13" x14ac:dyDescent="0.3">
      <c r="A399" s="1" t="s">
        <v>766</v>
      </c>
      <c r="B399" s="1" t="s">
        <v>35</v>
      </c>
      <c r="C399" s="1" t="s">
        <v>58</v>
      </c>
      <c r="D399" s="1" t="s">
        <v>13</v>
      </c>
      <c r="E399" s="4">
        <v>20</v>
      </c>
      <c r="F399" s="4">
        <v>11</v>
      </c>
      <c r="G399" s="1" t="s">
        <v>32</v>
      </c>
      <c r="H399" s="1" t="s">
        <v>46</v>
      </c>
      <c r="I399" s="5" t="s">
        <v>767</v>
      </c>
      <c r="J399" s="4">
        <v>54</v>
      </c>
      <c r="K399" s="1">
        <f t="shared" si="18"/>
        <v>1500</v>
      </c>
      <c r="L399" s="1">
        <f t="shared" si="19"/>
        <v>1500</v>
      </c>
      <c r="M399" s="1">
        <f t="shared" si="20"/>
        <v>1500</v>
      </c>
    </row>
    <row r="400" spans="1:13" x14ac:dyDescent="0.3">
      <c r="A400" s="1" t="s">
        <v>768</v>
      </c>
      <c r="B400" s="1" t="s">
        <v>23</v>
      </c>
      <c r="C400" s="1" t="s">
        <v>24</v>
      </c>
      <c r="D400" s="1" t="s">
        <v>13</v>
      </c>
      <c r="E400" s="4">
        <v>17</v>
      </c>
      <c r="F400" s="4">
        <v>11</v>
      </c>
      <c r="G400" s="1" t="s">
        <v>25</v>
      </c>
      <c r="H400" s="1" t="s">
        <v>40</v>
      </c>
      <c r="I400" s="5" t="s">
        <v>258</v>
      </c>
      <c r="J400" s="4">
        <v>61</v>
      </c>
      <c r="K400" s="1">
        <f t="shared" si="18"/>
        <v>1500</v>
      </c>
      <c r="L400" s="1">
        <f t="shared" si="19"/>
        <v>1500</v>
      </c>
      <c r="M400" s="1">
        <f t="shared" si="20"/>
        <v>1500</v>
      </c>
    </row>
    <row r="401" spans="1:13" x14ac:dyDescent="0.3">
      <c r="A401" s="1" t="s">
        <v>769</v>
      </c>
      <c r="B401" s="1" t="s">
        <v>35</v>
      </c>
      <c r="C401" s="1" t="s">
        <v>30</v>
      </c>
      <c r="D401" s="1" t="s">
        <v>13</v>
      </c>
      <c r="E401" s="4">
        <v>16</v>
      </c>
      <c r="F401" s="4">
        <v>11</v>
      </c>
      <c r="G401" s="1" t="s">
        <v>32</v>
      </c>
      <c r="H401" s="1" t="s">
        <v>46</v>
      </c>
      <c r="I401" s="5" t="s">
        <v>770</v>
      </c>
      <c r="J401" s="4">
        <v>85</v>
      </c>
      <c r="K401" s="1">
        <f t="shared" si="18"/>
        <v>1500</v>
      </c>
      <c r="L401" s="1">
        <f t="shared" si="19"/>
        <v>1500</v>
      </c>
      <c r="M401" s="1">
        <f t="shared" si="20"/>
        <v>1500</v>
      </c>
    </row>
    <row r="402" spans="1:13" x14ac:dyDescent="0.3">
      <c r="A402" s="1" t="s">
        <v>771</v>
      </c>
      <c r="B402" s="1" t="s">
        <v>23</v>
      </c>
      <c r="C402" s="1" t="s">
        <v>24</v>
      </c>
      <c r="D402" s="1" t="s">
        <v>31</v>
      </c>
      <c r="E402" s="4">
        <v>18</v>
      </c>
      <c r="F402" s="4">
        <v>11</v>
      </c>
      <c r="G402" s="1" t="s">
        <v>25</v>
      </c>
      <c r="H402" s="1" t="s">
        <v>46</v>
      </c>
      <c r="I402" s="5" t="s">
        <v>772</v>
      </c>
      <c r="J402" s="4">
        <v>89</v>
      </c>
      <c r="K402" s="1">
        <f t="shared" si="18"/>
        <v>1500</v>
      </c>
      <c r="L402" s="1">
        <f t="shared" si="19"/>
        <v>1500</v>
      </c>
      <c r="M402" s="1">
        <f t="shared" si="20"/>
        <v>1500</v>
      </c>
    </row>
    <row r="403" spans="1:13" x14ac:dyDescent="0.3">
      <c r="A403" s="1" t="s">
        <v>773</v>
      </c>
      <c r="B403" s="1" t="s">
        <v>68</v>
      </c>
      <c r="C403" s="1" t="s">
        <v>19</v>
      </c>
      <c r="D403" s="1" t="s">
        <v>13</v>
      </c>
      <c r="E403" s="4">
        <v>14</v>
      </c>
      <c r="F403" s="4">
        <v>11</v>
      </c>
      <c r="G403" s="1" t="s">
        <v>14</v>
      </c>
      <c r="H403" s="1" t="s">
        <v>20</v>
      </c>
      <c r="I403" s="5" t="s">
        <v>774</v>
      </c>
      <c r="J403" s="4">
        <v>72</v>
      </c>
      <c r="K403" s="1">
        <f t="shared" si="18"/>
        <v>1500</v>
      </c>
      <c r="L403" s="1">
        <f t="shared" si="19"/>
        <v>1500</v>
      </c>
      <c r="M403" s="1">
        <f t="shared" si="20"/>
        <v>1500</v>
      </c>
    </row>
    <row r="404" spans="1:13" x14ac:dyDescent="0.3">
      <c r="A404" s="1" t="s">
        <v>775</v>
      </c>
      <c r="B404" s="1" t="s">
        <v>29</v>
      </c>
      <c r="C404" s="1" t="s">
        <v>85</v>
      </c>
      <c r="D404" s="1" t="s">
        <v>31</v>
      </c>
      <c r="E404" s="4">
        <v>20</v>
      </c>
      <c r="F404" s="4">
        <v>10</v>
      </c>
      <c r="G404" s="1" t="s">
        <v>14</v>
      </c>
      <c r="H404" s="1" t="s">
        <v>46</v>
      </c>
      <c r="I404" s="5" t="s">
        <v>366</v>
      </c>
      <c r="J404" s="4">
        <v>100</v>
      </c>
      <c r="K404" s="1">
        <f t="shared" si="18"/>
        <v>1200</v>
      </c>
      <c r="L404" s="1">
        <f t="shared" si="19"/>
        <v>1200</v>
      </c>
      <c r="M404" s="1">
        <f t="shared" si="20"/>
        <v>1200</v>
      </c>
    </row>
    <row r="405" spans="1:13" x14ac:dyDescent="0.3">
      <c r="A405" s="1" t="s">
        <v>776</v>
      </c>
      <c r="B405" s="1" t="s">
        <v>11</v>
      </c>
      <c r="C405" s="1" t="s">
        <v>12</v>
      </c>
      <c r="D405" s="1" t="s">
        <v>31</v>
      </c>
      <c r="E405" s="4">
        <v>20</v>
      </c>
      <c r="F405" s="4">
        <v>9</v>
      </c>
      <c r="G405" s="1" t="s">
        <v>14</v>
      </c>
      <c r="H405" s="1" t="s">
        <v>76</v>
      </c>
      <c r="I405" s="5" t="s">
        <v>777</v>
      </c>
      <c r="J405" s="4">
        <v>84</v>
      </c>
      <c r="K405" s="1">
        <f t="shared" si="18"/>
        <v>1000</v>
      </c>
      <c r="L405" s="1">
        <f t="shared" si="19"/>
        <v>1000</v>
      </c>
      <c r="M405" s="1">
        <f t="shared" si="20"/>
        <v>1000</v>
      </c>
    </row>
    <row r="406" spans="1:13" x14ac:dyDescent="0.3">
      <c r="A406" s="1" t="s">
        <v>778</v>
      </c>
      <c r="B406" s="1" t="s">
        <v>73</v>
      </c>
      <c r="C406" s="1" t="s">
        <v>19</v>
      </c>
      <c r="D406" s="1" t="s">
        <v>13</v>
      </c>
      <c r="E406" s="4">
        <v>17</v>
      </c>
      <c r="F406" s="4">
        <v>12</v>
      </c>
      <c r="G406" s="1" t="s">
        <v>14</v>
      </c>
      <c r="H406" s="1" t="s">
        <v>37</v>
      </c>
      <c r="I406" s="5" t="s">
        <v>779</v>
      </c>
      <c r="J406" s="4">
        <v>76</v>
      </c>
      <c r="K406" s="1">
        <f t="shared" si="18"/>
        <v>1800</v>
      </c>
      <c r="L406" s="1">
        <f t="shared" si="19"/>
        <v>1800</v>
      </c>
      <c r="M406" s="1">
        <f t="shared" si="20"/>
        <v>1800</v>
      </c>
    </row>
    <row r="407" spans="1:13" x14ac:dyDescent="0.3">
      <c r="A407" s="1" t="s">
        <v>780</v>
      </c>
      <c r="B407" s="1" t="s">
        <v>35</v>
      </c>
      <c r="C407" s="1" t="s">
        <v>36</v>
      </c>
      <c r="D407" s="1" t="s">
        <v>31</v>
      </c>
      <c r="E407" s="4">
        <v>14</v>
      </c>
      <c r="F407" s="4">
        <v>9</v>
      </c>
      <c r="G407" s="1" t="s">
        <v>25</v>
      </c>
      <c r="H407" s="1" t="s">
        <v>40</v>
      </c>
      <c r="I407" s="5" t="s">
        <v>781</v>
      </c>
      <c r="J407" s="4">
        <v>36</v>
      </c>
      <c r="K407" s="1">
        <f t="shared" si="18"/>
        <v>1000</v>
      </c>
      <c r="L407" s="1">
        <f t="shared" si="19"/>
        <v>1000</v>
      </c>
      <c r="M407" s="1">
        <f t="shared" si="20"/>
        <v>1000</v>
      </c>
    </row>
    <row r="408" spans="1:13" x14ac:dyDescent="0.3">
      <c r="A408" s="1" t="s">
        <v>782</v>
      </c>
      <c r="B408" s="1" t="s">
        <v>84</v>
      </c>
      <c r="C408" s="1" t="s">
        <v>12</v>
      </c>
      <c r="D408" s="1" t="s">
        <v>31</v>
      </c>
      <c r="E408" s="4">
        <v>14</v>
      </c>
      <c r="F408" s="4">
        <v>11</v>
      </c>
      <c r="G408" s="1" t="s">
        <v>14</v>
      </c>
      <c r="H408" s="1" t="s">
        <v>37</v>
      </c>
      <c r="I408" s="5" t="s">
        <v>252</v>
      </c>
      <c r="J408" s="4">
        <v>95</v>
      </c>
      <c r="K408" s="1">
        <f t="shared" si="18"/>
        <v>1500</v>
      </c>
      <c r="L408" s="1">
        <f t="shared" si="19"/>
        <v>1500</v>
      </c>
      <c r="M408" s="1">
        <f t="shared" si="20"/>
        <v>1500</v>
      </c>
    </row>
    <row r="409" spans="1:13" x14ac:dyDescent="0.3">
      <c r="A409" s="1" t="s">
        <v>783</v>
      </c>
      <c r="B409" s="1" t="s">
        <v>54</v>
      </c>
      <c r="C409" s="1" t="s">
        <v>79</v>
      </c>
      <c r="D409" s="1" t="s">
        <v>31</v>
      </c>
      <c r="E409" s="4">
        <v>15</v>
      </c>
      <c r="F409" s="4">
        <v>11</v>
      </c>
      <c r="G409" s="1" t="s">
        <v>25</v>
      </c>
      <c r="H409" s="1" t="s">
        <v>61</v>
      </c>
      <c r="I409" s="5" t="s">
        <v>628</v>
      </c>
      <c r="J409" s="4">
        <v>39</v>
      </c>
      <c r="K409" s="1">
        <f t="shared" si="18"/>
        <v>1500</v>
      </c>
      <c r="L409" s="1">
        <f t="shared" si="19"/>
        <v>1500</v>
      </c>
      <c r="M409" s="1">
        <f t="shared" si="20"/>
        <v>1500</v>
      </c>
    </row>
    <row r="410" spans="1:13" x14ac:dyDescent="0.3">
      <c r="A410" s="1" t="s">
        <v>784</v>
      </c>
      <c r="B410" s="1" t="s">
        <v>84</v>
      </c>
      <c r="C410" s="1" t="s">
        <v>12</v>
      </c>
      <c r="D410" s="1" t="s">
        <v>13</v>
      </c>
      <c r="E410" s="4">
        <v>17</v>
      </c>
      <c r="F410" s="4">
        <v>9</v>
      </c>
      <c r="G410" s="1" t="s">
        <v>43</v>
      </c>
      <c r="H410" s="1" t="s">
        <v>76</v>
      </c>
      <c r="I410" s="5" t="s">
        <v>685</v>
      </c>
      <c r="J410" s="4">
        <v>89</v>
      </c>
      <c r="K410" s="1">
        <f t="shared" si="18"/>
        <v>1000</v>
      </c>
      <c r="L410" s="1">
        <f t="shared" si="19"/>
        <v>1000</v>
      </c>
      <c r="M410" s="1">
        <f t="shared" si="20"/>
        <v>1000</v>
      </c>
    </row>
    <row r="411" spans="1:13" x14ac:dyDescent="0.3">
      <c r="A411" s="1" t="s">
        <v>785</v>
      </c>
      <c r="B411" s="1" t="s">
        <v>35</v>
      </c>
      <c r="C411" s="1" t="s">
        <v>58</v>
      </c>
      <c r="D411" s="1" t="s">
        <v>13</v>
      </c>
      <c r="E411" s="4">
        <v>18</v>
      </c>
      <c r="F411" s="4">
        <v>12</v>
      </c>
      <c r="G411" s="1" t="s">
        <v>43</v>
      </c>
      <c r="H411" s="1" t="s">
        <v>20</v>
      </c>
      <c r="I411" s="5" t="s">
        <v>786</v>
      </c>
      <c r="J411" s="4">
        <v>93</v>
      </c>
      <c r="K411" s="1">
        <f t="shared" si="18"/>
        <v>1800</v>
      </c>
      <c r="L411" s="1">
        <f t="shared" si="19"/>
        <v>1800</v>
      </c>
      <c r="M411" s="1">
        <f t="shared" si="20"/>
        <v>1800</v>
      </c>
    </row>
    <row r="412" spans="1:13" x14ac:dyDescent="0.3">
      <c r="A412" s="1" t="s">
        <v>787</v>
      </c>
      <c r="B412" s="1" t="s">
        <v>18</v>
      </c>
      <c r="C412" s="1" t="s">
        <v>36</v>
      </c>
      <c r="D412" s="1" t="s">
        <v>31</v>
      </c>
      <c r="E412" s="4">
        <v>16</v>
      </c>
      <c r="F412" s="4">
        <v>9</v>
      </c>
      <c r="G412" s="1" t="s">
        <v>14</v>
      </c>
      <c r="H412" s="1" t="s">
        <v>76</v>
      </c>
      <c r="I412" s="5" t="s">
        <v>788</v>
      </c>
      <c r="J412" s="4">
        <v>88</v>
      </c>
      <c r="K412" s="1">
        <f t="shared" si="18"/>
        <v>1000</v>
      </c>
      <c r="L412" s="1">
        <f t="shared" si="19"/>
        <v>1000</v>
      </c>
      <c r="M412" s="1">
        <f t="shared" si="20"/>
        <v>1000</v>
      </c>
    </row>
    <row r="413" spans="1:13" x14ac:dyDescent="0.3">
      <c r="A413" s="1" t="s">
        <v>789</v>
      </c>
      <c r="B413" s="1" t="s">
        <v>54</v>
      </c>
      <c r="C413" s="1" t="s">
        <v>12</v>
      </c>
      <c r="D413" s="1" t="s">
        <v>31</v>
      </c>
      <c r="E413" s="4">
        <v>18</v>
      </c>
      <c r="F413" s="4">
        <v>10</v>
      </c>
      <c r="G413" s="1" t="s">
        <v>25</v>
      </c>
      <c r="H413" s="1" t="s">
        <v>15</v>
      </c>
      <c r="I413" s="5" t="s">
        <v>790</v>
      </c>
      <c r="J413" s="4">
        <v>95</v>
      </c>
      <c r="K413" s="1">
        <f t="shared" si="18"/>
        <v>1200</v>
      </c>
      <c r="L413" s="1">
        <f t="shared" si="19"/>
        <v>1200</v>
      </c>
      <c r="M413" s="1">
        <f t="shared" si="20"/>
        <v>1200</v>
      </c>
    </row>
    <row r="414" spans="1:13" x14ac:dyDescent="0.3">
      <c r="A414" s="1" t="s">
        <v>791</v>
      </c>
      <c r="B414" s="1" t="s">
        <v>51</v>
      </c>
      <c r="C414" s="1" t="s">
        <v>85</v>
      </c>
      <c r="D414" s="1" t="s">
        <v>13</v>
      </c>
      <c r="E414" s="4">
        <v>14</v>
      </c>
      <c r="F414" s="4">
        <v>9</v>
      </c>
      <c r="G414" s="1" t="s">
        <v>43</v>
      </c>
      <c r="H414" s="1" t="s">
        <v>61</v>
      </c>
      <c r="I414" s="5" t="s">
        <v>792</v>
      </c>
      <c r="J414" s="4">
        <v>96</v>
      </c>
      <c r="K414" s="1">
        <f t="shared" si="18"/>
        <v>1000</v>
      </c>
      <c r="L414" s="1">
        <f t="shared" si="19"/>
        <v>1000</v>
      </c>
      <c r="M414" s="1">
        <f t="shared" si="20"/>
        <v>1000</v>
      </c>
    </row>
    <row r="415" spans="1:13" x14ac:dyDescent="0.3">
      <c r="A415" s="1" t="s">
        <v>793</v>
      </c>
      <c r="B415" s="1" t="s">
        <v>35</v>
      </c>
      <c r="C415" s="1" t="s">
        <v>19</v>
      </c>
      <c r="D415" s="1" t="s">
        <v>31</v>
      </c>
      <c r="E415" s="4">
        <v>20</v>
      </c>
      <c r="F415" s="4">
        <v>11</v>
      </c>
      <c r="G415" s="1" t="s">
        <v>32</v>
      </c>
      <c r="H415" s="1" t="s">
        <v>20</v>
      </c>
      <c r="I415" s="5" t="s">
        <v>794</v>
      </c>
      <c r="J415" s="4">
        <v>74</v>
      </c>
      <c r="K415" s="1">
        <f t="shared" si="18"/>
        <v>1500</v>
      </c>
      <c r="L415" s="1">
        <f t="shared" si="19"/>
        <v>1500</v>
      </c>
      <c r="M415" s="1">
        <f t="shared" si="20"/>
        <v>1500</v>
      </c>
    </row>
    <row r="416" spans="1:13" x14ac:dyDescent="0.3">
      <c r="A416" s="1" t="s">
        <v>795</v>
      </c>
      <c r="B416" s="1" t="s">
        <v>54</v>
      </c>
      <c r="C416" s="1" t="s">
        <v>30</v>
      </c>
      <c r="D416" s="1" t="s">
        <v>13</v>
      </c>
      <c r="E416" s="4">
        <v>18</v>
      </c>
      <c r="F416" s="4">
        <v>12</v>
      </c>
      <c r="G416" s="1" t="s">
        <v>32</v>
      </c>
      <c r="H416" s="1" t="s">
        <v>20</v>
      </c>
      <c r="I416" s="5" t="s">
        <v>796</v>
      </c>
      <c r="J416" s="4">
        <v>55</v>
      </c>
      <c r="K416" s="1">
        <f t="shared" si="18"/>
        <v>1800</v>
      </c>
      <c r="L416" s="1">
        <f t="shared" si="19"/>
        <v>1800</v>
      </c>
      <c r="M416" s="1">
        <f t="shared" si="20"/>
        <v>1800</v>
      </c>
    </row>
    <row r="417" spans="1:13" x14ac:dyDescent="0.3">
      <c r="A417" s="1" t="s">
        <v>797</v>
      </c>
      <c r="B417" s="1" t="s">
        <v>23</v>
      </c>
      <c r="C417" s="1" t="s">
        <v>85</v>
      </c>
      <c r="D417" s="1" t="s">
        <v>13</v>
      </c>
      <c r="E417" s="4">
        <v>17</v>
      </c>
      <c r="F417" s="4">
        <v>12</v>
      </c>
      <c r="G417" s="1" t="s">
        <v>14</v>
      </c>
      <c r="H417" s="1" t="s">
        <v>76</v>
      </c>
      <c r="I417" s="5" t="s">
        <v>71</v>
      </c>
      <c r="J417" s="4">
        <v>77</v>
      </c>
      <c r="K417" s="1">
        <f t="shared" si="18"/>
        <v>1800</v>
      </c>
      <c r="L417" s="1">
        <f t="shared" si="19"/>
        <v>1800</v>
      </c>
      <c r="M417" s="1">
        <f t="shared" si="20"/>
        <v>1800</v>
      </c>
    </row>
    <row r="418" spans="1:13" x14ac:dyDescent="0.3">
      <c r="A418" s="1" t="s">
        <v>798</v>
      </c>
      <c r="B418" s="1" t="s">
        <v>23</v>
      </c>
      <c r="C418" s="1" t="s">
        <v>19</v>
      </c>
      <c r="D418" s="1" t="s">
        <v>13</v>
      </c>
      <c r="E418" s="4">
        <v>17</v>
      </c>
      <c r="F418" s="4">
        <v>12</v>
      </c>
      <c r="G418" s="1" t="s">
        <v>14</v>
      </c>
      <c r="H418" s="1" t="s">
        <v>40</v>
      </c>
      <c r="I418" s="5" t="s">
        <v>159</v>
      </c>
      <c r="J418" s="4">
        <v>95</v>
      </c>
      <c r="K418" s="1">
        <f t="shared" si="18"/>
        <v>1800</v>
      </c>
      <c r="L418" s="1">
        <f t="shared" si="19"/>
        <v>1800</v>
      </c>
      <c r="M418" s="1">
        <f t="shared" si="20"/>
        <v>1800</v>
      </c>
    </row>
    <row r="419" spans="1:13" x14ac:dyDescent="0.3">
      <c r="A419" s="1" t="s">
        <v>799</v>
      </c>
      <c r="B419" s="1" t="s">
        <v>54</v>
      </c>
      <c r="C419" s="1" t="s">
        <v>36</v>
      </c>
      <c r="D419" s="1" t="s">
        <v>31</v>
      </c>
      <c r="E419" s="4">
        <v>17</v>
      </c>
      <c r="F419" s="4">
        <v>12</v>
      </c>
      <c r="G419" s="1" t="s">
        <v>14</v>
      </c>
      <c r="H419" s="1" t="s">
        <v>46</v>
      </c>
      <c r="I419" s="5" t="s">
        <v>533</v>
      </c>
      <c r="J419" s="4">
        <v>59</v>
      </c>
      <c r="K419" s="1">
        <f t="shared" si="18"/>
        <v>1800</v>
      </c>
      <c r="L419" s="1">
        <f t="shared" si="19"/>
        <v>1800</v>
      </c>
      <c r="M419" s="1">
        <f t="shared" si="20"/>
        <v>1800</v>
      </c>
    </row>
    <row r="420" spans="1:13" x14ac:dyDescent="0.3">
      <c r="A420" s="1" t="s">
        <v>800</v>
      </c>
      <c r="B420" s="1" t="s">
        <v>23</v>
      </c>
      <c r="C420" s="1" t="s">
        <v>79</v>
      </c>
      <c r="D420" s="1" t="s">
        <v>31</v>
      </c>
      <c r="E420" s="4">
        <v>18</v>
      </c>
      <c r="F420" s="4">
        <v>11</v>
      </c>
      <c r="G420" s="1" t="s">
        <v>32</v>
      </c>
      <c r="H420" s="1" t="s">
        <v>76</v>
      </c>
      <c r="I420" s="5" t="s">
        <v>801</v>
      </c>
      <c r="J420" s="4">
        <v>97</v>
      </c>
      <c r="K420" s="1">
        <f t="shared" si="18"/>
        <v>1500</v>
      </c>
      <c r="L420" s="1">
        <f t="shared" si="19"/>
        <v>1500</v>
      </c>
      <c r="M420" s="1">
        <f t="shared" si="20"/>
        <v>1500</v>
      </c>
    </row>
    <row r="421" spans="1:13" x14ac:dyDescent="0.3">
      <c r="A421" s="1" t="s">
        <v>802</v>
      </c>
      <c r="B421" s="1" t="s">
        <v>29</v>
      </c>
      <c r="C421" s="1" t="s">
        <v>96</v>
      </c>
      <c r="D421" s="1" t="s">
        <v>13</v>
      </c>
      <c r="E421" s="4">
        <v>14</v>
      </c>
      <c r="F421" s="4">
        <v>10</v>
      </c>
      <c r="G421" s="1" t="s">
        <v>25</v>
      </c>
      <c r="H421" s="1" t="s">
        <v>61</v>
      </c>
      <c r="I421" s="5" t="s">
        <v>803</v>
      </c>
      <c r="J421" s="4">
        <v>89</v>
      </c>
      <c r="K421" s="1">
        <f t="shared" si="18"/>
        <v>1200</v>
      </c>
      <c r="L421" s="1">
        <f t="shared" si="19"/>
        <v>1200</v>
      </c>
      <c r="M421" s="1">
        <f t="shared" si="20"/>
        <v>1200</v>
      </c>
    </row>
    <row r="422" spans="1:13" x14ac:dyDescent="0.3">
      <c r="A422" s="1" t="s">
        <v>804</v>
      </c>
      <c r="B422" s="1" t="s">
        <v>54</v>
      </c>
      <c r="C422" s="1" t="s">
        <v>79</v>
      </c>
      <c r="D422" s="1" t="s">
        <v>13</v>
      </c>
      <c r="E422" s="4">
        <v>19</v>
      </c>
      <c r="F422" s="4">
        <v>9</v>
      </c>
      <c r="G422" s="1" t="s">
        <v>25</v>
      </c>
      <c r="H422" s="1" t="s">
        <v>61</v>
      </c>
      <c r="I422" s="5" t="s">
        <v>56</v>
      </c>
      <c r="J422" s="4">
        <v>43</v>
      </c>
      <c r="K422" s="1">
        <f t="shared" si="18"/>
        <v>1000</v>
      </c>
      <c r="L422" s="1">
        <f t="shared" si="19"/>
        <v>1000</v>
      </c>
      <c r="M422" s="1">
        <f t="shared" si="20"/>
        <v>1000</v>
      </c>
    </row>
    <row r="423" spans="1:13" x14ac:dyDescent="0.3">
      <c r="A423" s="1" t="s">
        <v>805</v>
      </c>
      <c r="B423" s="1" t="s">
        <v>29</v>
      </c>
      <c r="C423" s="1" t="s">
        <v>36</v>
      </c>
      <c r="D423" s="1" t="s">
        <v>31</v>
      </c>
      <c r="E423" s="4">
        <v>17</v>
      </c>
      <c r="F423" s="4">
        <v>10</v>
      </c>
      <c r="G423" s="1" t="s">
        <v>25</v>
      </c>
      <c r="H423" s="1" t="s">
        <v>15</v>
      </c>
      <c r="I423" s="5" t="s">
        <v>806</v>
      </c>
      <c r="J423" s="4">
        <v>59</v>
      </c>
      <c r="K423" s="1">
        <f t="shared" si="18"/>
        <v>1200</v>
      </c>
      <c r="L423" s="1">
        <f t="shared" si="19"/>
        <v>1200</v>
      </c>
      <c r="M423" s="1">
        <f t="shared" si="20"/>
        <v>1200</v>
      </c>
    </row>
    <row r="424" spans="1:13" x14ac:dyDescent="0.3">
      <c r="A424" s="1" t="s">
        <v>807</v>
      </c>
      <c r="B424" s="1" t="s">
        <v>68</v>
      </c>
      <c r="C424" s="1" t="s">
        <v>79</v>
      </c>
      <c r="D424" s="1" t="s">
        <v>31</v>
      </c>
      <c r="E424" s="4">
        <v>16</v>
      </c>
      <c r="F424" s="4">
        <v>10</v>
      </c>
      <c r="G424" s="1" t="s">
        <v>43</v>
      </c>
      <c r="H424" s="1" t="s">
        <v>76</v>
      </c>
      <c r="I424" s="5" t="s">
        <v>305</v>
      </c>
      <c r="J424" s="4">
        <v>40</v>
      </c>
      <c r="K424" s="1">
        <f t="shared" si="18"/>
        <v>1200</v>
      </c>
      <c r="L424" s="1">
        <f t="shared" si="19"/>
        <v>1200</v>
      </c>
      <c r="M424" s="1">
        <f t="shared" si="20"/>
        <v>1200</v>
      </c>
    </row>
    <row r="425" spans="1:13" x14ac:dyDescent="0.3">
      <c r="A425" s="1" t="s">
        <v>808</v>
      </c>
      <c r="B425" s="1" t="s">
        <v>54</v>
      </c>
      <c r="C425" s="1" t="s">
        <v>24</v>
      </c>
      <c r="D425" s="1" t="s">
        <v>13</v>
      </c>
      <c r="E425" s="4">
        <v>14</v>
      </c>
      <c r="F425" s="4">
        <v>9</v>
      </c>
      <c r="G425" s="1" t="s">
        <v>25</v>
      </c>
      <c r="H425" s="1" t="s">
        <v>46</v>
      </c>
      <c r="I425" s="5" t="s">
        <v>809</v>
      </c>
      <c r="J425" s="4">
        <v>92</v>
      </c>
      <c r="K425" s="1">
        <f t="shared" si="18"/>
        <v>1000</v>
      </c>
      <c r="L425" s="1">
        <f t="shared" si="19"/>
        <v>1000</v>
      </c>
      <c r="M425" s="1">
        <f t="shared" si="20"/>
        <v>1000</v>
      </c>
    </row>
    <row r="426" spans="1:13" x14ac:dyDescent="0.3">
      <c r="A426" s="1" t="s">
        <v>810</v>
      </c>
      <c r="B426" s="1" t="s">
        <v>73</v>
      </c>
      <c r="C426" s="1" t="s">
        <v>12</v>
      </c>
      <c r="D426" s="1" t="s">
        <v>13</v>
      </c>
      <c r="E426" s="4">
        <v>14</v>
      </c>
      <c r="F426" s="4">
        <v>10</v>
      </c>
      <c r="G426" s="1" t="s">
        <v>14</v>
      </c>
      <c r="H426" s="1" t="s">
        <v>46</v>
      </c>
      <c r="I426" s="5" t="s">
        <v>385</v>
      </c>
      <c r="J426" s="4">
        <v>49</v>
      </c>
      <c r="K426" s="1">
        <f t="shared" si="18"/>
        <v>1200</v>
      </c>
      <c r="L426" s="1">
        <f t="shared" si="19"/>
        <v>1200</v>
      </c>
      <c r="M426" s="1">
        <f t="shared" si="20"/>
        <v>1200</v>
      </c>
    </row>
    <row r="427" spans="1:13" x14ac:dyDescent="0.3">
      <c r="A427" s="1" t="s">
        <v>811</v>
      </c>
      <c r="B427" s="1" t="s">
        <v>29</v>
      </c>
      <c r="C427" s="1" t="s">
        <v>58</v>
      </c>
      <c r="D427" s="1" t="s">
        <v>13</v>
      </c>
      <c r="E427" s="4">
        <v>20</v>
      </c>
      <c r="F427" s="4">
        <v>11</v>
      </c>
      <c r="G427" s="1" t="s">
        <v>14</v>
      </c>
      <c r="H427" s="1" t="s">
        <v>61</v>
      </c>
      <c r="I427" s="5" t="s">
        <v>358</v>
      </c>
      <c r="J427" s="4">
        <v>44</v>
      </c>
      <c r="K427" s="1">
        <f t="shared" si="18"/>
        <v>1500</v>
      </c>
      <c r="L427" s="1">
        <f t="shared" si="19"/>
        <v>1500</v>
      </c>
      <c r="M427" s="1">
        <f t="shared" si="20"/>
        <v>1500</v>
      </c>
    </row>
    <row r="428" spans="1:13" x14ac:dyDescent="0.3">
      <c r="A428" s="1" t="s">
        <v>812</v>
      </c>
      <c r="B428" s="1" t="s">
        <v>51</v>
      </c>
      <c r="C428" s="1" t="s">
        <v>55</v>
      </c>
      <c r="D428" s="1" t="s">
        <v>13</v>
      </c>
      <c r="E428" s="4">
        <v>15</v>
      </c>
      <c r="F428" s="4">
        <v>10</v>
      </c>
      <c r="G428" s="1" t="s">
        <v>43</v>
      </c>
      <c r="H428" s="1" t="s">
        <v>46</v>
      </c>
      <c r="I428" s="5" t="s">
        <v>82</v>
      </c>
      <c r="J428" s="4">
        <v>62</v>
      </c>
      <c r="K428" s="1">
        <f t="shared" si="18"/>
        <v>1200</v>
      </c>
      <c r="L428" s="1">
        <f t="shared" si="19"/>
        <v>1200</v>
      </c>
      <c r="M428" s="1">
        <f t="shared" si="20"/>
        <v>1200</v>
      </c>
    </row>
    <row r="429" spans="1:13" x14ac:dyDescent="0.3">
      <c r="A429" s="1" t="s">
        <v>813</v>
      </c>
      <c r="B429" s="1" t="s">
        <v>73</v>
      </c>
      <c r="C429" s="1" t="s">
        <v>58</v>
      </c>
      <c r="D429" s="1" t="s">
        <v>13</v>
      </c>
      <c r="E429" s="4">
        <v>17</v>
      </c>
      <c r="F429" s="4">
        <v>12</v>
      </c>
      <c r="G429" s="1" t="s">
        <v>32</v>
      </c>
      <c r="H429" s="1" t="s">
        <v>46</v>
      </c>
      <c r="I429" s="5" t="s">
        <v>346</v>
      </c>
      <c r="J429" s="4">
        <v>60</v>
      </c>
      <c r="K429" s="1">
        <f t="shared" si="18"/>
        <v>1800</v>
      </c>
      <c r="L429" s="1">
        <f t="shared" si="19"/>
        <v>1800</v>
      </c>
      <c r="M429" s="1">
        <f t="shared" si="20"/>
        <v>1800</v>
      </c>
    </row>
    <row r="430" spans="1:13" x14ac:dyDescent="0.3">
      <c r="A430" s="1" t="s">
        <v>814</v>
      </c>
      <c r="B430" s="1" t="s">
        <v>18</v>
      </c>
      <c r="C430" s="1" t="s">
        <v>24</v>
      </c>
      <c r="D430" s="1" t="s">
        <v>31</v>
      </c>
      <c r="E430" s="4">
        <v>17</v>
      </c>
      <c r="F430" s="4">
        <v>10</v>
      </c>
      <c r="G430" s="1" t="s">
        <v>14</v>
      </c>
      <c r="H430" s="1" t="s">
        <v>76</v>
      </c>
      <c r="I430" s="5" t="s">
        <v>815</v>
      </c>
      <c r="J430" s="4">
        <v>47</v>
      </c>
      <c r="K430" s="1">
        <f t="shared" si="18"/>
        <v>1200</v>
      </c>
      <c r="L430" s="1">
        <f t="shared" si="19"/>
        <v>1200</v>
      </c>
      <c r="M430" s="1">
        <f t="shared" si="20"/>
        <v>1200</v>
      </c>
    </row>
    <row r="431" spans="1:13" x14ac:dyDescent="0.3">
      <c r="A431" s="1" t="s">
        <v>816</v>
      </c>
      <c r="B431" s="1" t="s">
        <v>23</v>
      </c>
      <c r="C431" s="1" t="s">
        <v>79</v>
      </c>
      <c r="D431" s="1" t="s">
        <v>31</v>
      </c>
      <c r="E431" s="4">
        <v>15</v>
      </c>
      <c r="F431" s="4">
        <v>9</v>
      </c>
      <c r="G431" s="1" t="s">
        <v>25</v>
      </c>
      <c r="H431" s="1" t="s">
        <v>76</v>
      </c>
      <c r="I431" s="5" t="s">
        <v>149</v>
      </c>
      <c r="J431" s="4">
        <v>79</v>
      </c>
      <c r="K431" s="1">
        <f t="shared" si="18"/>
        <v>1000</v>
      </c>
      <c r="L431" s="1">
        <f t="shared" si="19"/>
        <v>1000</v>
      </c>
      <c r="M431" s="1">
        <f t="shared" si="20"/>
        <v>1000</v>
      </c>
    </row>
    <row r="432" spans="1:13" x14ac:dyDescent="0.3">
      <c r="A432" s="1" t="s">
        <v>817</v>
      </c>
      <c r="B432" s="1" t="s">
        <v>51</v>
      </c>
      <c r="C432" s="1" t="s">
        <v>55</v>
      </c>
      <c r="D432" s="1" t="s">
        <v>31</v>
      </c>
      <c r="E432" s="4">
        <v>19</v>
      </c>
      <c r="F432" s="4">
        <v>11</v>
      </c>
      <c r="G432" s="1" t="s">
        <v>14</v>
      </c>
      <c r="H432" s="1" t="s">
        <v>26</v>
      </c>
      <c r="I432" s="5" t="s">
        <v>818</v>
      </c>
      <c r="J432" s="4">
        <v>56</v>
      </c>
      <c r="K432" s="1">
        <f t="shared" si="18"/>
        <v>1500</v>
      </c>
      <c r="L432" s="1">
        <f t="shared" si="19"/>
        <v>1500</v>
      </c>
      <c r="M432" s="1">
        <f t="shared" si="20"/>
        <v>1500</v>
      </c>
    </row>
    <row r="433" spans="1:13" x14ac:dyDescent="0.3">
      <c r="A433" s="1" t="s">
        <v>819</v>
      </c>
      <c r="B433" s="1" t="s">
        <v>18</v>
      </c>
      <c r="C433" s="1" t="s">
        <v>36</v>
      </c>
      <c r="D433" s="1" t="s">
        <v>31</v>
      </c>
      <c r="E433" s="4">
        <v>14</v>
      </c>
      <c r="F433" s="4">
        <v>10</v>
      </c>
      <c r="G433" s="1" t="s">
        <v>43</v>
      </c>
      <c r="H433" s="1" t="s">
        <v>76</v>
      </c>
      <c r="I433" s="5" t="s">
        <v>820</v>
      </c>
      <c r="J433" s="4">
        <v>56</v>
      </c>
      <c r="K433" s="1">
        <f t="shared" si="18"/>
        <v>1200</v>
      </c>
      <c r="L433" s="1">
        <f t="shared" si="19"/>
        <v>1200</v>
      </c>
      <c r="M433" s="1">
        <f t="shared" si="20"/>
        <v>1200</v>
      </c>
    </row>
    <row r="434" spans="1:13" x14ac:dyDescent="0.3">
      <c r="A434" s="1" t="s">
        <v>821</v>
      </c>
      <c r="B434" s="1" t="s">
        <v>18</v>
      </c>
      <c r="C434" s="1" t="s">
        <v>79</v>
      </c>
      <c r="D434" s="1" t="s">
        <v>13</v>
      </c>
      <c r="E434" s="4">
        <v>20</v>
      </c>
      <c r="F434" s="4">
        <v>12</v>
      </c>
      <c r="G434" s="1" t="s">
        <v>32</v>
      </c>
      <c r="H434" s="1" t="s">
        <v>26</v>
      </c>
      <c r="I434" s="5" t="s">
        <v>822</v>
      </c>
      <c r="J434" s="4">
        <v>52</v>
      </c>
      <c r="K434" s="1">
        <f t="shared" si="18"/>
        <v>1800</v>
      </c>
      <c r="L434" s="1">
        <f t="shared" si="19"/>
        <v>1800</v>
      </c>
      <c r="M434" s="1">
        <f t="shared" si="20"/>
        <v>1800</v>
      </c>
    </row>
    <row r="435" spans="1:13" x14ac:dyDescent="0.3">
      <c r="A435" s="1" t="s">
        <v>823</v>
      </c>
      <c r="B435" s="1" t="s">
        <v>11</v>
      </c>
      <c r="C435" s="1" t="s">
        <v>79</v>
      </c>
      <c r="D435" s="1" t="s">
        <v>31</v>
      </c>
      <c r="E435" s="4">
        <v>18</v>
      </c>
      <c r="F435" s="4">
        <v>12</v>
      </c>
      <c r="G435" s="1" t="s">
        <v>43</v>
      </c>
      <c r="H435" s="1" t="s">
        <v>37</v>
      </c>
      <c r="I435" s="5" t="s">
        <v>292</v>
      </c>
      <c r="J435" s="4">
        <v>94</v>
      </c>
      <c r="K435" s="1">
        <f t="shared" si="18"/>
        <v>1800</v>
      </c>
      <c r="L435" s="1">
        <f t="shared" si="19"/>
        <v>1800</v>
      </c>
      <c r="M435" s="1">
        <f t="shared" si="20"/>
        <v>1800</v>
      </c>
    </row>
    <row r="436" spans="1:13" x14ac:dyDescent="0.3">
      <c r="A436" s="1" t="s">
        <v>824</v>
      </c>
      <c r="B436" s="1" t="s">
        <v>54</v>
      </c>
      <c r="C436" s="1" t="s">
        <v>19</v>
      </c>
      <c r="D436" s="1" t="s">
        <v>31</v>
      </c>
      <c r="E436" s="4">
        <v>20</v>
      </c>
      <c r="F436" s="4">
        <v>9</v>
      </c>
      <c r="G436" s="1" t="s">
        <v>14</v>
      </c>
      <c r="H436" s="1" t="s">
        <v>37</v>
      </c>
      <c r="I436" s="5" t="s">
        <v>825</v>
      </c>
      <c r="J436" s="4">
        <v>43</v>
      </c>
      <c r="K436" s="1">
        <f t="shared" si="18"/>
        <v>1000</v>
      </c>
      <c r="L436" s="1">
        <f t="shared" si="19"/>
        <v>1000</v>
      </c>
      <c r="M436" s="1">
        <f t="shared" si="20"/>
        <v>1000</v>
      </c>
    </row>
    <row r="437" spans="1:13" x14ac:dyDescent="0.3">
      <c r="A437" s="1" t="s">
        <v>826</v>
      </c>
      <c r="B437" s="1" t="s">
        <v>51</v>
      </c>
      <c r="C437" s="1" t="s">
        <v>55</v>
      </c>
      <c r="D437" s="1" t="s">
        <v>31</v>
      </c>
      <c r="E437" s="4">
        <v>15</v>
      </c>
      <c r="F437" s="4">
        <v>10</v>
      </c>
      <c r="G437" s="1" t="s">
        <v>43</v>
      </c>
      <c r="H437" s="1" t="s">
        <v>37</v>
      </c>
      <c r="I437" s="5" t="s">
        <v>174</v>
      </c>
      <c r="J437" s="4">
        <v>42</v>
      </c>
      <c r="K437" s="1">
        <f t="shared" si="18"/>
        <v>1200</v>
      </c>
      <c r="L437" s="1">
        <f t="shared" si="19"/>
        <v>1200</v>
      </c>
      <c r="M437" s="1">
        <f t="shared" si="20"/>
        <v>1200</v>
      </c>
    </row>
    <row r="438" spans="1:13" x14ac:dyDescent="0.3">
      <c r="A438" s="1" t="s">
        <v>827</v>
      </c>
      <c r="B438" s="1" t="s">
        <v>35</v>
      </c>
      <c r="C438" s="1" t="s">
        <v>12</v>
      </c>
      <c r="D438" s="1" t="s">
        <v>13</v>
      </c>
      <c r="E438" s="4">
        <v>14</v>
      </c>
      <c r="F438" s="4">
        <v>12</v>
      </c>
      <c r="G438" s="1" t="s">
        <v>25</v>
      </c>
      <c r="H438" s="1" t="s">
        <v>61</v>
      </c>
      <c r="I438" s="5" t="s">
        <v>570</v>
      </c>
      <c r="J438" s="4">
        <v>65</v>
      </c>
      <c r="K438" s="1">
        <f t="shared" si="18"/>
        <v>1800</v>
      </c>
      <c r="L438" s="1">
        <f t="shared" si="19"/>
        <v>1800</v>
      </c>
      <c r="M438" s="1">
        <f t="shared" si="20"/>
        <v>1800</v>
      </c>
    </row>
    <row r="439" spans="1:13" x14ac:dyDescent="0.3">
      <c r="A439" s="1" t="s">
        <v>828</v>
      </c>
      <c r="B439" s="1" t="s">
        <v>29</v>
      </c>
      <c r="C439" s="1" t="s">
        <v>55</v>
      </c>
      <c r="D439" s="1" t="s">
        <v>13</v>
      </c>
      <c r="E439" s="4">
        <v>15</v>
      </c>
      <c r="F439" s="4">
        <v>9</v>
      </c>
      <c r="G439" s="1" t="s">
        <v>32</v>
      </c>
      <c r="H439" s="1" t="s">
        <v>40</v>
      </c>
      <c r="I439" s="5" t="s">
        <v>829</v>
      </c>
      <c r="J439" s="4">
        <v>64</v>
      </c>
      <c r="K439" s="1">
        <f t="shared" si="18"/>
        <v>1000</v>
      </c>
      <c r="L439" s="1">
        <f t="shared" si="19"/>
        <v>1000</v>
      </c>
      <c r="M439" s="1">
        <f t="shared" si="20"/>
        <v>1000</v>
      </c>
    </row>
    <row r="440" spans="1:13" x14ac:dyDescent="0.3">
      <c r="A440" s="1" t="s">
        <v>830</v>
      </c>
      <c r="B440" s="1" t="s">
        <v>23</v>
      </c>
      <c r="C440" s="1" t="s">
        <v>58</v>
      </c>
      <c r="D440" s="1" t="s">
        <v>31</v>
      </c>
      <c r="E440" s="4">
        <v>17</v>
      </c>
      <c r="F440" s="4">
        <v>9</v>
      </c>
      <c r="G440" s="1" t="s">
        <v>43</v>
      </c>
      <c r="H440" s="1" t="s">
        <v>61</v>
      </c>
      <c r="I440" s="5" t="s">
        <v>820</v>
      </c>
      <c r="J440" s="4">
        <v>59</v>
      </c>
      <c r="K440" s="1">
        <f t="shared" si="18"/>
        <v>1000</v>
      </c>
      <c r="L440" s="1">
        <f t="shared" si="19"/>
        <v>1000</v>
      </c>
      <c r="M440" s="1">
        <f t="shared" si="20"/>
        <v>1000</v>
      </c>
    </row>
    <row r="441" spans="1:13" x14ac:dyDescent="0.3">
      <c r="A441" s="1" t="s">
        <v>831</v>
      </c>
      <c r="B441" s="1" t="s">
        <v>54</v>
      </c>
      <c r="C441" s="1" t="s">
        <v>36</v>
      </c>
      <c r="D441" s="1" t="s">
        <v>31</v>
      </c>
      <c r="E441" s="4">
        <v>19</v>
      </c>
      <c r="F441" s="4">
        <v>9</v>
      </c>
      <c r="G441" s="1" t="s">
        <v>32</v>
      </c>
      <c r="H441" s="1" t="s">
        <v>15</v>
      </c>
      <c r="I441" s="5" t="s">
        <v>832</v>
      </c>
      <c r="J441" s="4">
        <v>35</v>
      </c>
      <c r="K441" s="1">
        <f t="shared" si="18"/>
        <v>1000</v>
      </c>
      <c r="L441" s="1">
        <f t="shared" si="19"/>
        <v>1000</v>
      </c>
      <c r="M441" s="1">
        <f t="shared" si="20"/>
        <v>1000</v>
      </c>
    </row>
    <row r="442" spans="1:13" x14ac:dyDescent="0.3">
      <c r="A442" s="1" t="s">
        <v>833</v>
      </c>
      <c r="B442" s="1" t="s">
        <v>73</v>
      </c>
      <c r="C442" s="1" t="s">
        <v>96</v>
      </c>
      <c r="D442" s="1" t="s">
        <v>31</v>
      </c>
      <c r="E442" s="4">
        <v>15</v>
      </c>
      <c r="F442" s="4">
        <v>10</v>
      </c>
      <c r="G442" s="1" t="s">
        <v>43</v>
      </c>
      <c r="H442" s="1" t="s">
        <v>76</v>
      </c>
      <c r="I442" s="5" t="s">
        <v>834</v>
      </c>
      <c r="J442" s="4">
        <v>37</v>
      </c>
      <c r="K442" s="1">
        <f t="shared" si="18"/>
        <v>1200</v>
      </c>
      <c r="L442" s="1">
        <f t="shared" si="19"/>
        <v>1200</v>
      </c>
      <c r="M442" s="1">
        <f t="shared" si="20"/>
        <v>1200</v>
      </c>
    </row>
    <row r="443" spans="1:13" x14ac:dyDescent="0.3">
      <c r="A443" s="1" t="s">
        <v>835</v>
      </c>
      <c r="B443" s="1" t="s">
        <v>18</v>
      </c>
      <c r="C443" s="1" t="s">
        <v>55</v>
      </c>
      <c r="D443" s="1" t="s">
        <v>31</v>
      </c>
      <c r="E443" s="4">
        <v>16</v>
      </c>
      <c r="F443" s="4">
        <v>10</v>
      </c>
      <c r="G443" s="1" t="s">
        <v>14</v>
      </c>
      <c r="H443" s="1" t="s">
        <v>61</v>
      </c>
      <c r="I443" s="5" t="s">
        <v>411</v>
      </c>
      <c r="J443" s="4">
        <v>52</v>
      </c>
      <c r="K443" s="1">
        <f t="shared" si="18"/>
        <v>1200</v>
      </c>
      <c r="L443" s="1">
        <f t="shared" si="19"/>
        <v>1200</v>
      </c>
      <c r="M443" s="1">
        <f t="shared" si="20"/>
        <v>1200</v>
      </c>
    </row>
    <row r="444" spans="1:13" x14ac:dyDescent="0.3">
      <c r="A444" s="1" t="s">
        <v>836</v>
      </c>
      <c r="B444" s="1" t="s">
        <v>18</v>
      </c>
      <c r="C444" s="1" t="s">
        <v>58</v>
      </c>
      <c r="D444" s="1" t="s">
        <v>13</v>
      </c>
      <c r="E444" s="4">
        <v>16</v>
      </c>
      <c r="F444" s="4">
        <v>9</v>
      </c>
      <c r="G444" s="1" t="s">
        <v>14</v>
      </c>
      <c r="H444" s="1" t="s">
        <v>37</v>
      </c>
      <c r="I444" s="5" t="s">
        <v>837</v>
      </c>
      <c r="J444" s="4">
        <v>64</v>
      </c>
      <c r="K444" s="1">
        <f t="shared" si="18"/>
        <v>1000</v>
      </c>
      <c r="L444" s="1">
        <f t="shared" si="19"/>
        <v>1000</v>
      </c>
      <c r="M444" s="1">
        <f t="shared" si="20"/>
        <v>1000</v>
      </c>
    </row>
    <row r="445" spans="1:13" x14ac:dyDescent="0.3">
      <c r="A445" s="1" t="s">
        <v>838</v>
      </c>
      <c r="B445" s="1" t="s">
        <v>29</v>
      </c>
      <c r="C445" s="1" t="s">
        <v>36</v>
      </c>
      <c r="D445" s="1" t="s">
        <v>31</v>
      </c>
      <c r="E445" s="4">
        <v>17</v>
      </c>
      <c r="F445" s="4">
        <v>10</v>
      </c>
      <c r="G445" s="1" t="s">
        <v>25</v>
      </c>
      <c r="H445" s="1" t="s">
        <v>15</v>
      </c>
      <c r="I445" s="5" t="s">
        <v>839</v>
      </c>
      <c r="J445" s="4">
        <v>35</v>
      </c>
      <c r="K445" s="1">
        <f t="shared" si="18"/>
        <v>1200</v>
      </c>
      <c r="L445" s="1">
        <f t="shared" si="19"/>
        <v>1200</v>
      </c>
      <c r="M445" s="1">
        <f t="shared" si="20"/>
        <v>1200</v>
      </c>
    </row>
    <row r="446" spans="1:13" x14ac:dyDescent="0.3">
      <c r="A446" s="1" t="s">
        <v>840</v>
      </c>
      <c r="B446" s="1" t="s">
        <v>29</v>
      </c>
      <c r="C446" s="1" t="s">
        <v>12</v>
      </c>
      <c r="D446" s="1" t="s">
        <v>31</v>
      </c>
      <c r="E446" s="4">
        <v>20</v>
      </c>
      <c r="F446" s="4">
        <v>10</v>
      </c>
      <c r="G446" s="1" t="s">
        <v>43</v>
      </c>
      <c r="H446" s="1" t="s">
        <v>15</v>
      </c>
      <c r="I446" s="5" t="s">
        <v>841</v>
      </c>
      <c r="J446" s="4">
        <v>37</v>
      </c>
      <c r="K446" s="1">
        <f t="shared" si="18"/>
        <v>1200</v>
      </c>
      <c r="L446" s="1">
        <f t="shared" si="19"/>
        <v>1200</v>
      </c>
      <c r="M446" s="1">
        <f t="shared" si="20"/>
        <v>1200</v>
      </c>
    </row>
    <row r="447" spans="1:13" x14ac:dyDescent="0.3">
      <c r="A447" s="1" t="s">
        <v>842</v>
      </c>
      <c r="B447" s="1" t="s">
        <v>23</v>
      </c>
      <c r="C447" s="1" t="s">
        <v>30</v>
      </c>
      <c r="D447" s="1" t="s">
        <v>13</v>
      </c>
      <c r="E447" s="4">
        <v>15</v>
      </c>
      <c r="F447" s="4">
        <v>9</v>
      </c>
      <c r="G447" s="1" t="s">
        <v>32</v>
      </c>
      <c r="H447" s="1" t="s">
        <v>37</v>
      </c>
      <c r="I447" s="5" t="s">
        <v>477</v>
      </c>
      <c r="J447" s="4">
        <v>51</v>
      </c>
      <c r="K447" s="1">
        <f t="shared" si="18"/>
        <v>1000</v>
      </c>
      <c r="L447" s="1">
        <f t="shared" si="19"/>
        <v>1000</v>
      </c>
      <c r="M447" s="1">
        <f t="shared" si="20"/>
        <v>1000</v>
      </c>
    </row>
    <row r="448" spans="1:13" x14ac:dyDescent="0.3">
      <c r="A448" s="1" t="s">
        <v>843</v>
      </c>
      <c r="B448" s="1" t="s">
        <v>54</v>
      </c>
      <c r="C448" s="1" t="s">
        <v>12</v>
      </c>
      <c r="D448" s="1" t="s">
        <v>31</v>
      </c>
      <c r="E448" s="4">
        <v>17</v>
      </c>
      <c r="F448" s="4">
        <v>10</v>
      </c>
      <c r="G448" s="1" t="s">
        <v>25</v>
      </c>
      <c r="H448" s="1" t="s">
        <v>40</v>
      </c>
      <c r="I448" s="5" t="s">
        <v>844</v>
      </c>
      <c r="J448" s="4">
        <v>43</v>
      </c>
      <c r="K448" s="1">
        <f t="shared" si="18"/>
        <v>1200</v>
      </c>
      <c r="L448" s="1">
        <f t="shared" si="19"/>
        <v>1200</v>
      </c>
      <c r="M448" s="1">
        <f t="shared" si="20"/>
        <v>1200</v>
      </c>
    </row>
    <row r="449" spans="1:13" x14ac:dyDescent="0.3">
      <c r="A449" s="1" t="s">
        <v>845</v>
      </c>
      <c r="B449" s="1" t="s">
        <v>11</v>
      </c>
      <c r="C449" s="1" t="s">
        <v>19</v>
      </c>
      <c r="D449" s="1" t="s">
        <v>31</v>
      </c>
      <c r="E449" s="4">
        <v>19</v>
      </c>
      <c r="F449" s="4">
        <v>11</v>
      </c>
      <c r="G449" s="1" t="s">
        <v>43</v>
      </c>
      <c r="H449" s="1" t="s">
        <v>76</v>
      </c>
      <c r="I449" s="5" t="s">
        <v>282</v>
      </c>
      <c r="J449" s="4">
        <v>44</v>
      </c>
      <c r="K449" s="1">
        <f t="shared" si="18"/>
        <v>1500</v>
      </c>
      <c r="L449" s="1">
        <f t="shared" si="19"/>
        <v>1500</v>
      </c>
      <c r="M449" s="1">
        <f t="shared" si="20"/>
        <v>1500</v>
      </c>
    </row>
    <row r="450" spans="1:13" x14ac:dyDescent="0.3">
      <c r="A450" s="1" t="s">
        <v>846</v>
      </c>
      <c r="B450" s="1" t="s">
        <v>35</v>
      </c>
      <c r="C450" s="1" t="s">
        <v>79</v>
      </c>
      <c r="D450" s="1" t="s">
        <v>13</v>
      </c>
      <c r="E450" s="4">
        <v>17</v>
      </c>
      <c r="F450" s="4">
        <v>12</v>
      </c>
      <c r="G450" s="1" t="s">
        <v>25</v>
      </c>
      <c r="H450" s="1" t="s">
        <v>46</v>
      </c>
      <c r="I450" s="5" t="s">
        <v>847</v>
      </c>
      <c r="J450" s="4">
        <v>41</v>
      </c>
      <c r="K450" s="1">
        <f t="shared" si="18"/>
        <v>1800</v>
      </c>
      <c r="L450" s="1">
        <f t="shared" si="19"/>
        <v>1800</v>
      </c>
      <c r="M450" s="1">
        <f t="shared" si="20"/>
        <v>1800</v>
      </c>
    </row>
    <row r="451" spans="1:13" x14ac:dyDescent="0.3">
      <c r="A451" s="1" t="s">
        <v>848</v>
      </c>
      <c r="B451" s="1" t="s">
        <v>18</v>
      </c>
      <c r="C451" s="1" t="s">
        <v>24</v>
      </c>
      <c r="D451" s="1" t="s">
        <v>31</v>
      </c>
      <c r="E451" s="4">
        <v>16</v>
      </c>
      <c r="F451" s="4">
        <v>10</v>
      </c>
      <c r="G451" s="1" t="s">
        <v>25</v>
      </c>
      <c r="H451" s="1" t="s">
        <v>61</v>
      </c>
      <c r="I451" s="5" t="s">
        <v>849</v>
      </c>
      <c r="J451" s="4">
        <v>78</v>
      </c>
      <c r="K451" s="1">
        <f t="shared" si="18"/>
        <v>1200</v>
      </c>
      <c r="L451" s="1">
        <f t="shared" si="19"/>
        <v>1200</v>
      </c>
      <c r="M451" s="1">
        <f t="shared" si="20"/>
        <v>1200</v>
      </c>
    </row>
    <row r="452" spans="1:13" x14ac:dyDescent="0.3">
      <c r="A452" s="1" t="s">
        <v>850</v>
      </c>
      <c r="B452" s="1" t="s">
        <v>51</v>
      </c>
      <c r="C452" s="1" t="s">
        <v>96</v>
      </c>
      <c r="D452" s="1" t="s">
        <v>13</v>
      </c>
      <c r="E452" s="4">
        <v>14</v>
      </c>
      <c r="F452" s="4">
        <v>9</v>
      </c>
      <c r="G452" s="1" t="s">
        <v>25</v>
      </c>
      <c r="H452" s="1" t="s">
        <v>26</v>
      </c>
      <c r="I452" s="5" t="s">
        <v>851</v>
      </c>
      <c r="J452" s="4">
        <v>90</v>
      </c>
      <c r="K452" s="1">
        <f t="shared" si="18"/>
        <v>1000</v>
      </c>
      <c r="L452" s="1">
        <f t="shared" si="19"/>
        <v>1000</v>
      </c>
      <c r="M452" s="1">
        <f t="shared" si="20"/>
        <v>1000</v>
      </c>
    </row>
    <row r="453" spans="1:13" x14ac:dyDescent="0.3">
      <c r="A453" s="1" t="s">
        <v>852</v>
      </c>
      <c r="B453" s="1" t="s">
        <v>29</v>
      </c>
      <c r="C453" s="1" t="s">
        <v>55</v>
      </c>
      <c r="D453" s="1" t="s">
        <v>13</v>
      </c>
      <c r="E453" s="4">
        <v>15</v>
      </c>
      <c r="F453" s="4">
        <v>9</v>
      </c>
      <c r="G453" s="1" t="s">
        <v>14</v>
      </c>
      <c r="H453" s="1" t="s">
        <v>20</v>
      </c>
      <c r="I453" s="5" t="s">
        <v>853</v>
      </c>
      <c r="J453" s="4">
        <v>74</v>
      </c>
      <c r="K453" s="1">
        <f t="shared" si="18"/>
        <v>1000</v>
      </c>
      <c r="L453" s="1">
        <f t="shared" si="19"/>
        <v>1000</v>
      </c>
      <c r="M453" s="1">
        <f t="shared" si="20"/>
        <v>1000</v>
      </c>
    </row>
    <row r="454" spans="1:13" x14ac:dyDescent="0.3">
      <c r="A454" s="1" t="s">
        <v>854</v>
      </c>
      <c r="B454" s="1" t="s">
        <v>51</v>
      </c>
      <c r="C454" s="1" t="s">
        <v>55</v>
      </c>
      <c r="D454" s="1" t="s">
        <v>13</v>
      </c>
      <c r="E454" s="4">
        <v>15</v>
      </c>
      <c r="F454" s="4">
        <v>11</v>
      </c>
      <c r="G454" s="1" t="s">
        <v>14</v>
      </c>
      <c r="H454" s="1" t="s">
        <v>61</v>
      </c>
      <c r="I454" s="5" t="s">
        <v>855</v>
      </c>
      <c r="J454" s="4">
        <v>84</v>
      </c>
      <c r="K454" s="1">
        <f t="shared" si="18"/>
        <v>1500</v>
      </c>
      <c r="L454" s="1">
        <f t="shared" si="19"/>
        <v>1500</v>
      </c>
      <c r="M454" s="1">
        <f t="shared" si="20"/>
        <v>1500</v>
      </c>
    </row>
    <row r="455" spans="1:13" x14ac:dyDescent="0.3">
      <c r="A455" s="1" t="s">
        <v>856</v>
      </c>
      <c r="B455" s="1" t="s">
        <v>29</v>
      </c>
      <c r="C455" s="1" t="s">
        <v>85</v>
      </c>
      <c r="D455" s="1" t="s">
        <v>13</v>
      </c>
      <c r="E455" s="4">
        <v>16</v>
      </c>
      <c r="F455" s="4">
        <v>9</v>
      </c>
      <c r="G455" s="1" t="s">
        <v>14</v>
      </c>
      <c r="H455" s="1" t="s">
        <v>61</v>
      </c>
      <c r="I455" s="5" t="s">
        <v>262</v>
      </c>
      <c r="J455" s="4">
        <v>78</v>
      </c>
      <c r="K455" s="1">
        <f t="shared" si="18"/>
        <v>1000</v>
      </c>
      <c r="L455" s="1">
        <f t="shared" si="19"/>
        <v>1000</v>
      </c>
      <c r="M455" s="1">
        <f t="shared" si="20"/>
        <v>1000</v>
      </c>
    </row>
    <row r="456" spans="1:13" x14ac:dyDescent="0.3">
      <c r="A456" s="1" t="s">
        <v>857</v>
      </c>
      <c r="B456" s="1" t="s">
        <v>18</v>
      </c>
      <c r="C456" s="1" t="s">
        <v>96</v>
      </c>
      <c r="D456" s="1" t="s">
        <v>13</v>
      </c>
      <c r="E456" s="4">
        <v>20</v>
      </c>
      <c r="F456" s="4">
        <v>11</v>
      </c>
      <c r="G456" s="1" t="s">
        <v>32</v>
      </c>
      <c r="H456" s="1" t="s">
        <v>61</v>
      </c>
      <c r="I456" s="5" t="s">
        <v>570</v>
      </c>
      <c r="J456" s="4">
        <v>94</v>
      </c>
      <c r="K456" s="1">
        <f t="shared" si="18"/>
        <v>1500</v>
      </c>
      <c r="L456" s="1">
        <f t="shared" si="19"/>
        <v>1500</v>
      </c>
      <c r="M456" s="1">
        <f t="shared" si="20"/>
        <v>1500</v>
      </c>
    </row>
    <row r="457" spans="1:13" x14ac:dyDescent="0.3">
      <c r="A457" s="1" t="s">
        <v>858</v>
      </c>
      <c r="B457" s="1" t="s">
        <v>35</v>
      </c>
      <c r="C457" s="1" t="s">
        <v>12</v>
      </c>
      <c r="D457" s="1" t="s">
        <v>31</v>
      </c>
      <c r="E457" s="4">
        <v>19</v>
      </c>
      <c r="F457" s="4">
        <v>9</v>
      </c>
      <c r="G457" s="1" t="s">
        <v>43</v>
      </c>
      <c r="H457" s="1" t="s">
        <v>26</v>
      </c>
      <c r="I457" s="5" t="s">
        <v>859</v>
      </c>
      <c r="J457" s="4">
        <v>88</v>
      </c>
      <c r="K457" s="1">
        <f t="shared" ref="K457:K507" si="21">VLOOKUP($F457,$A$1:$B$5,2,0)</f>
        <v>1000</v>
      </c>
      <c r="L457" s="1">
        <f t="shared" ref="L457:L507" si="22">INDEX($B$2:$B$5,MATCH($F457,$A$2:$A$5,0))</f>
        <v>1000</v>
      </c>
      <c r="M457" s="1">
        <f t="shared" ref="M457:M507" si="23">_xlfn.XLOOKUP($F457,$A$2:$A$5,$B$2:$B$5)</f>
        <v>1000</v>
      </c>
    </row>
    <row r="458" spans="1:13" x14ac:dyDescent="0.3">
      <c r="A458" s="1" t="s">
        <v>860</v>
      </c>
      <c r="B458" s="1" t="s">
        <v>68</v>
      </c>
      <c r="C458" s="1" t="s">
        <v>12</v>
      </c>
      <c r="D458" s="1" t="s">
        <v>13</v>
      </c>
      <c r="E458" s="4">
        <v>16</v>
      </c>
      <c r="F458" s="4">
        <v>12</v>
      </c>
      <c r="G458" s="1" t="s">
        <v>14</v>
      </c>
      <c r="H458" s="1" t="s">
        <v>37</v>
      </c>
      <c r="I458" s="5" t="s">
        <v>861</v>
      </c>
      <c r="J458" s="4">
        <v>84</v>
      </c>
      <c r="K458" s="1">
        <f t="shared" si="21"/>
        <v>1800</v>
      </c>
      <c r="L458" s="1">
        <f t="shared" si="22"/>
        <v>1800</v>
      </c>
      <c r="M458" s="1">
        <f t="shared" si="23"/>
        <v>1800</v>
      </c>
    </row>
    <row r="459" spans="1:13" x14ac:dyDescent="0.3">
      <c r="A459" s="1" t="s">
        <v>862</v>
      </c>
      <c r="B459" s="1" t="s">
        <v>51</v>
      </c>
      <c r="C459" s="1" t="s">
        <v>24</v>
      </c>
      <c r="D459" s="1" t="s">
        <v>13</v>
      </c>
      <c r="E459" s="4">
        <v>17</v>
      </c>
      <c r="F459" s="4">
        <v>9</v>
      </c>
      <c r="G459" s="1" t="s">
        <v>43</v>
      </c>
      <c r="H459" s="1" t="s">
        <v>15</v>
      </c>
      <c r="I459" s="5" t="s">
        <v>863</v>
      </c>
      <c r="J459" s="4">
        <v>86</v>
      </c>
      <c r="K459" s="1">
        <f t="shared" si="21"/>
        <v>1000</v>
      </c>
      <c r="L459" s="1">
        <f t="shared" si="22"/>
        <v>1000</v>
      </c>
      <c r="M459" s="1">
        <f t="shared" si="23"/>
        <v>1000</v>
      </c>
    </row>
    <row r="460" spans="1:13" x14ac:dyDescent="0.3">
      <c r="A460" s="1" t="s">
        <v>864</v>
      </c>
      <c r="B460" s="1" t="s">
        <v>35</v>
      </c>
      <c r="C460" s="1" t="s">
        <v>58</v>
      </c>
      <c r="D460" s="1" t="s">
        <v>13</v>
      </c>
      <c r="E460" s="4">
        <v>17</v>
      </c>
      <c r="F460" s="4">
        <v>10</v>
      </c>
      <c r="G460" s="1" t="s">
        <v>14</v>
      </c>
      <c r="H460" s="1" t="s">
        <v>20</v>
      </c>
      <c r="I460" s="5" t="s">
        <v>865</v>
      </c>
      <c r="J460" s="4">
        <v>92</v>
      </c>
      <c r="K460" s="1">
        <f t="shared" si="21"/>
        <v>1200</v>
      </c>
      <c r="L460" s="1">
        <f t="shared" si="22"/>
        <v>1200</v>
      </c>
      <c r="M460" s="1">
        <f t="shared" si="23"/>
        <v>1200</v>
      </c>
    </row>
    <row r="461" spans="1:13" x14ac:dyDescent="0.3">
      <c r="A461" s="1" t="s">
        <v>866</v>
      </c>
      <c r="B461" s="1" t="s">
        <v>18</v>
      </c>
      <c r="C461" s="1" t="s">
        <v>24</v>
      </c>
      <c r="D461" s="1" t="s">
        <v>13</v>
      </c>
      <c r="E461" s="4">
        <v>15</v>
      </c>
      <c r="F461" s="4">
        <v>11</v>
      </c>
      <c r="G461" s="1" t="s">
        <v>14</v>
      </c>
      <c r="H461" s="1" t="s">
        <v>61</v>
      </c>
      <c r="I461" s="5" t="s">
        <v>867</v>
      </c>
      <c r="J461" s="4">
        <v>97</v>
      </c>
      <c r="K461" s="1">
        <f t="shared" si="21"/>
        <v>1500</v>
      </c>
      <c r="L461" s="1">
        <f t="shared" si="22"/>
        <v>1500</v>
      </c>
      <c r="M461" s="1">
        <f t="shared" si="23"/>
        <v>1500</v>
      </c>
    </row>
    <row r="462" spans="1:13" x14ac:dyDescent="0.3">
      <c r="A462" s="1" t="s">
        <v>868</v>
      </c>
      <c r="B462" s="1" t="s">
        <v>84</v>
      </c>
      <c r="C462" s="1" t="s">
        <v>30</v>
      </c>
      <c r="D462" s="1" t="s">
        <v>31</v>
      </c>
      <c r="E462" s="4">
        <v>15</v>
      </c>
      <c r="F462" s="4">
        <v>9</v>
      </c>
      <c r="G462" s="1" t="s">
        <v>43</v>
      </c>
      <c r="H462" s="1" t="s">
        <v>61</v>
      </c>
      <c r="I462" s="5" t="s">
        <v>151</v>
      </c>
      <c r="J462" s="4">
        <v>45</v>
      </c>
      <c r="K462" s="1">
        <f t="shared" si="21"/>
        <v>1000</v>
      </c>
      <c r="L462" s="1">
        <f t="shared" si="22"/>
        <v>1000</v>
      </c>
      <c r="M462" s="1">
        <f t="shared" si="23"/>
        <v>1000</v>
      </c>
    </row>
    <row r="463" spans="1:13" x14ac:dyDescent="0.3">
      <c r="A463" s="1" t="s">
        <v>869</v>
      </c>
      <c r="B463" s="1" t="s">
        <v>73</v>
      </c>
      <c r="C463" s="1" t="s">
        <v>96</v>
      </c>
      <c r="D463" s="1" t="s">
        <v>31</v>
      </c>
      <c r="E463" s="4">
        <v>17</v>
      </c>
      <c r="F463" s="4">
        <v>9</v>
      </c>
      <c r="G463" s="1" t="s">
        <v>43</v>
      </c>
      <c r="H463" s="1" t="s">
        <v>26</v>
      </c>
      <c r="I463" s="5" t="s">
        <v>870</v>
      </c>
      <c r="J463" s="4">
        <v>53</v>
      </c>
      <c r="K463" s="1">
        <f t="shared" si="21"/>
        <v>1000</v>
      </c>
      <c r="L463" s="1">
        <f t="shared" si="22"/>
        <v>1000</v>
      </c>
      <c r="M463" s="1">
        <f t="shared" si="23"/>
        <v>1000</v>
      </c>
    </row>
    <row r="464" spans="1:13" x14ac:dyDescent="0.3">
      <c r="A464" s="1" t="s">
        <v>871</v>
      </c>
      <c r="B464" s="1" t="s">
        <v>11</v>
      </c>
      <c r="C464" s="1" t="s">
        <v>12</v>
      </c>
      <c r="D464" s="1" t="s">
        <v>13</v>
      </c>
      <c r="E464" s="4">
        <v>20</v>
      </c>
      <c r="F464" s="4">
        <v>10</v>
      </c>
      <c r="G464" s="1" t="s">
        <v>25</v>
      </c>
      <c r="H464" s="1" t="s">
        <v>76</v>
      </c>
      <c r="I464" s="5" t="s">
        <v>872</v>
      </c>
      <c r="J464" s="4">
        <v>66</v>
      </c>
      <c r="K464" s="1">
        <f t="shared" si="21"/>
        <v>1200</v>
      </c>
      <c r="L464" s="1">
        <f t="shared" si="22"/>
        <v>1200</v>
      </c>
      <c r="M464" s="1">
        <f t="shared" si="23"/>
        <v>1200</v>
      </c>
    </row>
    <row r="465" spans="1:13" x14ac:dyDescent="0.3">
      <c r="A465" s="1" t="s">
        <v>873</v>
      </c>
      <c r="B465" s="1" t="s">
        <v>18</v>
      </c>
      <c r="C465" s="1" t="s">
        <v>79</v>
      </c>
      <c r="D465" s="1" t="s">
        <v>31</v>
      </c>
      <c r="E465" s="4">
        <v>19</v>
      </c>
      <c r="F465" s="4">
        <v>12</v>
      </c>
      <c r="G465" s="1" t="s">
        <v>32</v>
      </c>
      <c r="H465" s="1" t="s">
        <v>76</v>
      </c>
      <c r="I465" s="5" t="s">
        <v>742</v>
      </c>
      <c r="J465" s="4">
        <v>83</v>
      </c>
      <c r="K465" s="1">
        <f t="shared" si="21"/>
        <v>1800</v>
      </c>
      <c r="L465" s="1">
        <f t="shared" si="22"/>
        <v>1800</v>
      </c>
      <c r="M465" s="1">
        <f t="shared" si="23"/>
        <v>1800</v>
      </c>
    </row>
    <row r="466" spans="1:13" x14ac:dyDescent="0.3">
      <c r="A466" s="1" t="s">
        <v>874</v>
      </c>
      <c r="B466" s="1" t="s">
        <v>35</v>
      </c>
      <c r="C466" s="1" t="s">
        <v>36</v>
      </c>
      <c r="D466" s="1" t="s">
        <v>13</v>
      </c>
      <c r="E466" s="4">
        <v>16</v>
      </c>
      <c r="F466" s="4">
        <v>10</v>
      </c>
      <c r="G466" s="1" t="s">
        <v>14</v>
      </c>
      <c r="H466" s="1" t="s">
        <v>61</v>
      </c>
      <c r="I466" s="5" t="s">
        <v>875</v>
      </c>
      <c r="J466" s="4">
        <v>35</v>
      </c>
      <c r="K466" s="1">
        <f t="shared" si="21"/>
        <v>1200</v>
      </c>
      <c r="L466" s="1">
        <f t="shared" si="22"/>
        <v>1200</v>
      </c>
      <c r="M466" s="1">
        <f t="shared" si="23"/>
        <v>1200</v>
      </c>
    </row>
    <row r="467" spans="1:13" x14ac:dyDescent="0.3">
      <c r="A467" s="1" t="s">
        <v>876</v>
      </c>
      <c r="B467" s="1" t="s">
        <v>18</v>
      </c>
      <c r="C467" s="1" t="s">
        <v>24</v>
      </c>
      <c r="D467" s="1" t="s">
        <v>31</v>
      </c>
      <c r="E467" s="4">
        <v>16</v>
      </c>
      <c r="F467" s="4">
        <v>9</v>
      </c>
      <c r="G467" s="1" t="s">
        <v>43</v>
      </c>
      <c r="H467" s="1" t="s">
        <v>26</v>
      </c>
      <c r="I467" s="5" t="s">
        <v>515</v>
      </c>
      <c r="J467" s="4">
        <v>48</v>
      </c>
      <c r="K467" s="1">
        <f t="shared" si="21"/>
        <v>1000</v>
      </c>
      <c r="L467" s="1">
        <f t="shared" si="22"/>
        <v>1000</v>
      </c>
      <c r="M467" s="1">
        <f t="shared" si="23"/>
        <v>1000</v>
      </c>
    </row>
    <row r="468" spans="1:13" x14ac:dyDescent="0.3">
      <c r="A468" s="1" t="s">
        <v>877</v>
      </c>
      <c r="B468" s="1" t="s">
        <v>73</v>
      </c>
      <c r="C468" s="1" t="s">
        <v>85</v>
      </c>
      <c r="D468" s="1" t="s">
        <v>13</v>
      </c>
      <c r="E468" s="4">
        <v>19</v>
      </c>
      <c r="F468" s="4">
        <v>10</v>
      </c>
      <c r="G468" s="1" t="s">
        <v>25</v>
      </c>
      <c r="H468" s="1" t="s">
        <v>26</v>
      </c>
      <c r="I468" s="5" t="s">
        <v>878</v>
      </c>
      <c r="J468" s="4">
        <v>81</v>
      </c>
      <c r="K468" s="1">
        <f t="shared" si="21"/>
        <v>1200</v>
      </c>
      <c r="L468" s="1">
        <f t="shared" si="22"/>
        <v>1200</v>
      </c>
      <c r="M468" s="1">
        <f t="shared" si="23"/>
        <v>1200</v>
      </c>
    </row>
    <row r="469" spans="1:13" x14ac:dyDescent="0.3">
      <c r="A469" s="1" t="s">
        <v>879</v>
      </c>
      <c r="B469" s="1" t="s">
        <v>18</v>
      </c>
      <c r="C469" s="1" t="s">
        <v>85</v>
      </c>
      <c r="D469" s="1" t="s">
        <v>13</v>
      </c>
      <c r="E469" s="4">
        <v>15</v>
      </c>
      <c r="F469" s="4">
        <v>11</v>
      </c>
      <c r="G469" s="1" t="s">
        <v>32</v>
      </c>
      <c r="H469" s="1" t="s">
        <v>37</v>
      </c>
      <c r="I469" s="5" t="s">
        <v>880</v>
      </c>
      <c r="J469" s="4">
        <v>86</v>
      </c>
      <c r="K469" s="1">
        <f t="shared" si="21"/>
        <v>1500</v>
      </c>
      <c r="L469" s="1">
        <f t="shared" si="22"/>
        <v>1500</v>
      </c>
      <c r="M469" s="1">
        <f t="shared" si="23"/>
        <v>1500</v>
      </c>
    </row>
    <row r="470" spans="1:13" x14ac:dyDescent="0.3">
      <c r="A470" s="1" t="s">
        <v>881</v>
      </c>
      <c r="B470" s="1" t="s">
        <v>73</v>
      </c>
      <c r="C470" s="1" t="s">
        <v>24</v>
      </c>
      <c r="D470" s="1" t="s">
        <v>31</v>
      </c>
      <c r="E470" s="4">
        <v>14</v>
      </c>
      <c r="F470" s="4">
        <v>12</v>
      </c>
      <c r="G470" s="1" t="s">
        <v>25</v>
      </c>
      <c r="H470" s="1" t="s">
        <v>46</v>
      </c>
      <c r="I470" s="5" t="s">
        <v>882</v>
      </c>
      <c r="J470" s="4">
        <v>58</v>
      </c>
      <c r="K470" s="1">
        <f t="shared" si="21"/>
        <v>1800</v>
      </c>
      <c r="L470" s="1">
        <f t="shared" si="22"/>
        <v>1800</v>
      </c>
      <c r="M470" s="1">
        <f t="shared" si="23"/>
        <v>1800</v>
      </c>
    </row>
    <row r="471" spans="1:13" x14ac:dyDescent="0.3">
      <c r="A471" s="1" t="s">
        <v>883</v>
      </c>
      <c r="B471" s="1" t="s">
        <v>23</v>
      </c>
      <c r="C471" s="1" t="s">
        <v>85</v>
      </c>
      <c r="D471" s="1" t="s">
        <v>13</v>
      </c>
      <c r="E471" s="4">
        <v>19</v>
      </c>
      <c r="F471" s="4">
        <v>9</v>
      </c>
      <c r="G471" s="1" t="s">
        <v>43</v>
      </c>
      <c r="H471" s="1" t="s">
        <v>20</v>
      </c>
      <c r="I471" s="5" t="s">
        <v>884</v>
      </c>
      <c r="J471" s="4">
        <v>69</v>
      </c>
      <c r="K471" s="1">
        <f t="shared" si="21"/>
        <v>1000</v>
      </c>
      <c r="L471" s="1">
        <f t="shared" si="22"/>
        <v>1000</v>
      </c>
      <c r="M471" s="1">
        <f t="shared" si="23"/>
        <v>1000</v>
      </c>
    </row>
    <row r="472" spans="1:13" x14ac:dyDescent="0.3">
      <c r="A472" s="1" t="s">
        <v>885</v>
      </c>
      <c r="B472" s="1" t="s">
        <v>51</v>
      </c>
      <c r="C472" s="1" t="s">
        <v>55</v>
      </c>
      <c r="D472" s="1" t="s">
        <v>13</v>
      </c>
      <c r="E472" s="4">
        <v>16</v>
      </c>
      <c r="F472" s="4">
        <v>11</v>
      </c>
      <c r="G472" s="1" t="s">
        <v>32</v>
      </c>
      <c r="H472" s="1" t="s">
        <v>76</v>
      </c>
      <c r="I472" s="5" t="s">
        <v>886</v>
      </c>
      <c r="J472" s="4">
        <v>65</v>
      </c>
      <c r="K472" s="1">
        <f t="shared" si="21"/>
        <v>1500</v>
      </c>
      <c r="L472" s="1">
        <f t="shared" si="22"/>
        <v>1500</v>
      </c>
      <c r="M472" s="1">
        <f t="shared" si="23"/>
        <v>1500</v>
      </c>
    </row>
    <row r="473" spans="1:13" x14ac:dyDescent="0.3">
      <c r="A473" s="1" t="s">
        <v>887</v>
      </c>
      <c r="B473" s="1" t="s">
        <v>11</v>
      </c>
      <c r="C473" s="1" t="s">
        <v>30</v>
      </c>
      <c r="D473" s="1" t="s">
        <v>31</v>
      </c>
      <c r="E473" s="4">
        <v>17</v>
      </c>
      <c r="F473" s="4">
        <v>9</v>
      </c>
      <c r="G473" s="1" t="s">
        <v>14</v>
      </c>
      <c r="H473" s="1" t="s">
        <v>76</v>
      </c>
      <c r="I473" s="5" t="s">
        <v>653</v>
      </c>
      <c r="J473" s="4">
        <v>53</v>
      </c>
      <c r="K473" s="1">
        <f t="shared" si="21"/>
        <v>1000</v>
      </c>
      <c r="L473" s="1">
        <f t="shared" si="22"/>
        <v>1000</v>
      </c>
      <c r="M473" s="1">
        <f t="shared" si="23"/>
        <v>1000</v>
      </c>
    </row>
    <row r="474" spans="1:13" x14ac:dyDescent="0.3">
      <c r="A474" s="1" t="s">
        <v>888</v>
      </c>
      <c r="B474" s="1" t="s">
        <v>23</v>
      </c>
      <c r="C474" s="1" t="s">
        <v>58</v>
      </c>
      <c r="D474" s="1" t="s">
        <v>31</v>
      </c>
      <c r="E474" s="4">
        <v>18</v>
      </c>
      <c r="F474" s="4">
        <v>10</v>
      </c>
      <c r="G474" s="1" t="s">
        <v>14</v>
      </c>
      <c r="H474" s="1" t="s">
        <v>20</v>
      </c>
      <c r="I474" s="5" t="s">
        <v>153</v>
      </c>
      <c r="J474" s="4">
        <v>92</v>
      </c>
      <c r="K474" s="1">
        <f t="shared" si="21"/>
        <v>1200</v>
      </c>
      <c r="L474" s="1">
        <f t="shared" si="22"/>
        <v>1200</v>
      </c>
      <c r="M474" s="1">
        <f t="shared" si="23"/>
        <v>1200</v>
      </c>
    </row>
    <row r="475" spans="1:13" x14ac:dyDescent="0.3">
      <c r="A475" s="1" t="s">
        <v>889</v>
      </c>
      <c r="B475" s="1" t="s">
        <v>68</v>
      </c>
      <c r="C475" s="1" t="s">
        <v>19</v>
      </c>
      <c r="D475" s="1" t="s">
        <v>31</v>
      </c>
      <c r="E475" s="4">
        <v>18</v>
      </c>
      <c r="F475" s="4">
        <v>12</v>
      </c>
      <c r="G475" s="1" t="s">
        <v>32</v>
      </c>
      <c r="H475" s="1" t="s">
        <v>46</v>
      </c>
      <c r="I475" s="5" t="s">
        <v>890</v>
      </c>
      <c r="J475" s="4">
        <v>88</v>
      </c>
      <c r="K475" s="1">
        <f t="shared" si="21"/>
        <v>1800</v>
      </c>
      <c r="L475" s="1">
        <f t="shared" si="22"/>
        <v>1800</v>
      </c>
      <c r="M475" s="1">
        <f t="shared" si="23"/>
        <v>1800</v>
      </c>
    </row>
    <row r="476" spans="1:13" x14ac:dyDescent="0.3">
      <c r="A476" s="1" t="s">
        <v>891</v>
      </c>
      <c r="B476" s="1" t="s">
        <v>68</v>
      </c>
      <c r="C476" s="1" t="s">
        <v>79</v>
      </c>
      <c r="D476" s="1" t="s">
        <v>31</v>
      </c>
      <c r="E476" s="4">
        <v>17</v>
      </c>
      <c r="F476" s="4">
        <v>10</v>
      </c>
      <c r="G476" s="1" t="s">
        <v>32</v>
      </c>
      <c r="H476" s="1" t="s">
        <v>61</v>
      </c>
      <c r="I476" s="5" t="s">
        <v>892</v>
      </c>
      <c r="J476" s="4">
        <v>56</v>
      </c>
      <c r="K476" s="1">
        <f t="shared" si="21"/>
        <v>1200</v>
      </c>
      <c r="L476" s="1">
        <f t="shared" si="22"/>
        <v>1200</v>
      </c>
      <c r="M476" s="1">
        <f t="shared" si="23"/>
        <v>1200</v>
      </c>
    </row>
    <row r="477" spans="1:13" x14ac:dyDescent="0.3">
      <c r="A477" s="1" t="s">
        <v>893</v>
      </c>
      <c r="B477" s="1" t="s">
        <v>29</v>
      </c>
      <c r="C477" s="1" t="s">
        <v>30</v>
      </c>
      <c r="D477" s="1" t="s">
        <v>13</v>
      </c>
      <c r="E477" s="4">
        <v>17</v>
      </c>
      <c r="F477" s="4">
        <v>9</v>
      </c>
      <c r="G477" s="1" t="s">
        <v>14</v>
      </c>
      <c r="H477" s="1" t="s">
        <v>46</v>
      </c>
      <c r="I477" s="5" t="s">
        <v>423</v>
      </c>
      <c r="J477" s="4">
        <v>46</v>
      </c>
      <c r="K477" s="1">
        <f t="shared" si="21"/>
        <v>1000</v>
      </c>
      <c r="L477" s="1">
        <f t="shared" si="22"/>
        <v>1000</v>
      </c>
      <c r="M477" s="1">
        <f t="shared" si="23"/>
        <v>1000</v>
      </c>
    </row>
    <row r="478" spans="1:13" x14ac:dyDescent="0.3">
      <c r="A478" s="1" t="s">
        <v>894</v>
      </c>
      <c r="B478" s="1" t="s">
        <v>23</v>
      </c>
      <c r="C478" s="1" t="s">
        <v>79</v>
      </c>
      <c r="D478" s="1" t="s">
        <v>31</v>
      </c>
      <c r="E478" s="4">
        <v>20</v>
      </c>
      <c r="F478" s="4">
        <v>9</v>
      </c>
      <c r="G478" s="1" t="s">
        <v>14</v>
      </c>
      <c r="H478" s="1" t="s">
        <v>26</v>
      </c>
      <c r="I478" s="5" t="s">
        <v>895</v>
      </c>
      <c r="J478" s="4">
        <v>36</v>
      </c>
      <c r="K478" s="1">
        <f t="shared" si="21"/>
        <v>1000</v>
      </c>
      <c r="L478" s="1">
        <f t="shared" si="22"/>
        <v>1000</v>
      </c>
      <c r="M478" s="1">
        <f t="shared" si="23"/>
        <v>1000</v>
      </c>
    </row>
    <row r="479" spans="1:13" x14ac:dyDescent="0.3">
      <c r="A479" s="1" t="s">
        <v>896</v>
      </c>
      <c r="B479" s="1" t="s">
        <v>11</v>
      </c>
      <c r="C479" s="1" t="s">
        <v>36</v>
      </c>
      <c r="D479" s="1" t="s">
        <v>13</v>
      </c>
      <c r="E479" s="4">
        <v>15</v>
      </c>
      <c r="F479" s="4">
        <v>11</v>
      </c>
      <c r="G479" s="1" t="s">
        <v>14</v>
      </c>
      <c r="H479" s="1" t="s">
        <v>26</v>
      </c>
      <c r="I479" s="5" t="s">
        <v>897</v>
      </c>
      <c r="J479" s="4">
        <v>95</v>
      </c>
      <c r="K479" s="1">
        <f t="shared" si="21"/>
        <v>1500</v>
      </c>
      <c r="L479" s="1">
        <f t="shared" si="22"/>
        <v>1500</v>
      </c>
      <c r="M479" s="1">
        <f t="shared" si="23"/>
        <v>1500</v>
      </c>
    </row>
    <row r="480" spans="1:13" x14ac:dyDescent="0.3">
      <c r="A480" s="1" t="s">
        <v>898</v>
      </c>
      <c r="B480" s="1" t="s">
        <v>18</v>
      </c>
      <c r="C480" s="1" t="s">
        <v>19</v>
      </c>
      <c r="D480" s="1" t="s">
        <v>13</v>
      </c>
      <c r="E480" s="4">
        <v>17</v>
      </c>
      <c r="F480" s="4">
        <v>10</v>
      </c>
      <c r="G480" s="1" t="s">
        <v>25</v>
      </c>
      <c r="H480" s="1" t="s">
        <v>61</v>
      </c>
      <c r="I480" s="5" t="s">
        <v>471</v>
      </c>
      <c r="J480" s="4">
        <v>58</v>
      </c>
      <c r="K480" s="1">
        <f t="shared" si="21"/>
        <v>1200</v>
      </c>
      <c r="L480" s="1">
        <f t="shared" si="22"/>
        <v>1200</v>
      </c>
      <c r="M480" s="1">
        <f t="shared" si="23"/>
        <v>1200</v>
      </c>
    </row>
    <row r="481" spans="1:13" x14ac:dyDescent="0.3">
      <c r="A481" s="1" t="s">
        <v>899</v>
      </c>
      <c r="B481" s="1" t="s">
        <v>11</v>
      </c>
      <c r="C481" s="1" t="s">
        <v>79</v>
      </c>
      <c r="D481" s="1" t="s">
        <v>13</v>
      </c>
      <c r="E481" s="4">
        <v>15</v>
      </c>
      <c r="F481" s="4">
        <v>10</v>
      </c>
      <c r="G481" s="1" t="s">
        <v>14</v>
      </c>
      <c r="H481" s="1" t="s">
        <v>37</v>
      </c>
      <c r="I481" s="5" t="s">
        <v>900</v>
      </c>
      <c r="J481" s="4">
        <v>88</v>
      </c>
      <c r="K481" s="1">
        <f t="shared" si="21"/>
        <v>1200</v>
      </c>
      <c r="L481" s="1">
        <f t="shared" si="22"/>
        <v>1200</v>
      </c>
      <c r="M481" s="1">
        <f t="shared" si="23"/>
        <v>1200</v>
      </c>
    </row>
    <row r="482" spans="1:13" x14ac:dyDescent="0.3">
      <c r="A482" s="1" t="s">
        <v>901</v>
      </c>
      <c r="B482" s="1" t="s">
        <v>68</v>
      </c>
      <c r="C482" s="1" t="s">
        <v>19</v>
      </c>
      <c r="D482" s="1" t="s">
        <v>31</v>
      </c>
      <c r="E482" s="4">
        <v>18</v>
      </c>
      <c r="F482" s="4">
        <v>11</v>
      </c>
      <c r="G482" s="1" t="s">
        <v>14</v>
      </c>
      <c r="H482" s="1" t="s">
        <v>40</v>
      </c>
      <c r="I482" s="5" t="s">
        <v>139</v>
      </c>
      <c r="J482" s="4">
        <v>75</v>
      </c>
      <c r="K482" s="1">
        <f t="shared" si="21"/>
        <v>1500</v>
      </c>
      <c r="L482" s="1">
        <f t="shared" si="22"/>
        <v>1500</v>
      </c>
      <c r="M482" s="1">
        <f t="shared" si="23"/>
        <v>1500</v>
      </c>
    </row>
    <row r="483" spans="1:13" x14ac:dyDescent="0.3">
      <c r="A483" s="1" t="s">
        <v>902</v>
      </c>
      <c r="B483" s="1" t="s">
        <v>35</v>
      </c>
      <c r="C483" s="1" t="s">
        <v>12</v>
      </c>
      <c r="D483" s="1" t="s">
        <v>31</v>
      </c>
      <c r="E483" s="4">
        <v>14</v>
      </c>
      <c r="F483" s="4">
        <v>11</v>
      </c>
      <c r="G483" s="1" t="s">
        <v>14</v>
      </c>
      <c r="H483" s="1" t="s">
        <v>37</v>
      </c>
      <c r="I483" s="5" t="s">
        <v>271</v>
      </c>
      <c r="J483" s="4">
        <v>59</v>
      </c>
      <c r="K483" s="1">
        <f t="shared" si="21"/>
        <v>1500</v>
      </c>
      <c r="L483" s="1">
        <f t="shared" si="22"/>
        <v>1500</v>
      </c>
      <c r="M483" s="1">
        <f t="shared" si="23"/>
        <v>1500</v>
      </c>
    </row>
    <row r="484" spans="1:13" x14ac:dyDescent="0.3">
      <c r="A484" s="1" t="s">
        <v>903</v>
      </c>
      <c r="B484" s="1" t="s">
        <v>54</v>
      </c>
      <c r="C484" s="1" t="s">
        <v>30</v>
      </c>
      <c r="D484" s="1" t="s">
        <v>31</v>
      </c>
      <c r="E484" s="4">
        <v>20</v>
      </c>
      <c r="F484" s="4">
        <v>12</v>
      </c>
      <c r="G484" s="1" t="s">
        <v>43</v>
      </c>
      <c r="H484" s="1" t="s">
        <v>40</v>
      </c>
      <c r="I484" s="5" t="s">
        <v>904</v>
      </c>
      <c r="J484" s="4">
        <v>55</v>
      </c>
      <c r="K484" s="1">
        <f t="shared" si="21"/>
        <v>1800</v>
      </c>
      <c r="L484" s="1">
        <f t="shared" si="22"/>
        <v>1800</v>
      </c>
      <c r="M484" s="1">
        <f t="shared" si="23"/>
        <v>1800</v>
      </c>
    </row>
    <row r="485" spans="1:13" x14ac:dyDescent="0.3">
      <c r="A485" s="1" t="s">
        <v>905</v>
      </c>
      <c r="B485" s="1" t="s">
        <v>54</v>
      </c>
      <c r="C485" s="1" t="s">
        <v>30</v>
      </c>
      <c r="D485" s="1" t="s">
        <v>13</v>
      </c>
      <c r="E485" s="4">
        <v>16</v>
      </c>
      <c r="F485" s="4">
        <v>12</v>
      </c>
      <c r="G485" s="1" t="s">
        <v>43</v>
      </c>
      <c r="H485" s="1" t="s">
        <v>40</v>
      </c>
      <c r="I485" s="5" t="s">
        <v>556</v>
      </c>
      <c r="J485" s="4">
        <v>81</v>
      </c>
      <c r="K485" s="1">
        <f t="shared" si="21"/>
        <v>1800</v>
      </c>
      <c r="L485" s="1">
        <f t="shared" si="22"/>
        <v>1800</v>
      </c>
      <c r="M485" s="1">
        <f t="shared" si="23"/>
        <v>1800</v>
      </c>
    </row>
    <row r="486" spans="1:13" x14ac:dyDescent="0.3">
      <c r="A486" s="1" t="s">
        <v>906</v>
      </c>
      <c r="B486" s="1" t="s">
        <v>73</v>
      </c>
      <c r="C486" s="1" t="s">
        <v>36</v>
      </c>
      <c r="D486" s="1" t="s">
        <v>13</v>
      </c>
      <c r="E486" s="4">
        <v>17</v>
      </c>
      <c r="F486" s="4">
        <v>12</v>
      </c>
      <c r="G486" s="1" t="s">
        <v>25</v>
      </c>
      <c r="H486" s="1" t="s">
        <v>76</v>
      </c>
      <c r="I486" s="5" t="s">
        <v>907</v>
      </c>
      <c r="J486" s="4">
        <v>75</v>
      </c>
      <c r="K486" s="1">
        <f t="shared" si="21"/>
        <v>1800</v>
      </c>
      <c r="L486" s="1">
        <f t="shared" si="22"/>
        <v>1800</v>
      </c>
      <c r="M486" s="1">
        <f t="shared" si="23"/>
        <v>1800</v>
      </c>
    </row>
    <row r="487" spans="1:13" x14ac:dyDescent="0.3">
      <c r="A487" s="1" t="s">
        <v>908</v>
      </c>
      <c r="B487" s="1" t="s">
        <v>11</v>
      </c>
      <c r="C487" s="1" t="s">
        <v>79</v>
      </c>
      <c r="D487" s="1" t="s">
        <v>31</v>
      </c>
      <c r="E487" s="4">
        <v>14</v>
      </c>
      <c r="F487" s="4">
        <v>10</v>
      </c>
      <c r="G487" s="1" t="s">
        <v>14</v>
      </c>
      <c r="H487" s="1" t="s">
        <v>46</v>
      </c>
      <c r="I487" s="5" t="s">
        <v>909</v>
      </c>
      <c r="J487" s="4">
        <v>55</v>
      </c>
      <c r="K487" s="1">
        <f t="shared" si="21"/>
        <v>1200</v>
      </c>
      <c r="L487" s="1">
        <f t="shared" si="22"/>
        <v>1200</v>
      </c>
      <c r="M487" s="1">
        <f t="shared" si="23"/>
        <v>1200</v>
      </c>
    </row>
    <row r="488" spans="1:13" x14ac:dyDescent="0.3">
      <c r="A488" s="1" t="s">
        <v>910</v>
      </c>
      <c r="B488" s="1" t="s">
        <v>84</v>
      </c>
      <c r="C488" s="1" t="s">
        <v>12</v>
      </c>
      <c r="D488" s="1" t="s">
        <v>31</v>
      </c>
      <c r="E488" s="4">
        <v>18</v>
      </c>
      <c r="F488" s="4">
        <v>11</v>
      </c>
      <c r="G488" s="1" t="s">
        <v>25</v>
      </c>
      <c r="H488" s="1" t="s">
        <v>15</v>
      </c>
      <c r="I488" s="5" t="s">
        <v>911</v>
      </c>
      <c r="J488" s="4">
        <v>87</v>
      </c>
      <c r="K488" s="1">
        <f t="shared" si="21"/>
        <v>1500</v>
      </c>
      <c r="L488" s="1">
        <f t="shared" si="22"/>
        <v>1500</v>
      </c>
      <c r="M488" s="1">
        <f t="shared" si="23"/>
        <v>1500</v>
      </c>
    </row>
    <row r="489" spans="1:13" x14ac:dyDescent="0.3">
      <c r="A489" s="1" t="s">
        <v>912</v>
      </c>
      <c r="B489" s="1" t="s">
        <v>23</v>
      </c>
      <c r="C489" s="1" t="s">
        <v>79</v>
      </c>
      <c r="D489" s="1" t="s">
        <v>31</v>
      </c>
      <c r="E489" s="4">
        <v>17</v>
      </c>
      <c r="F489" s="4">
        <v>12</v>
      </c>
      <c r="G489" s="1" t="s">
        <v>32</v>
      </c>
      <c r="H489" s="1" t="s">
        <v>46</v>
      </c>
      <c r="I489" s="5" t="s">
        <v>400</v>
      </c>
      <c r="J489" s="4">
        <v>70</v>
      </c>
      <c r="K489" s="1">
        <f t="shared" si="21"/>
        <v>1800</v>
      </c>
      <c r="L489" s="1">
        <f t="shared" si="22"/>
        <v>1800</v>
      </c>
      <c r="M489" s="1">
        <f t="shared" si="23"/>
        <v>1800</v>
      </c>
    </row>
    <row r="490" spans="1:13" x14ac:dyDescent="0.3">
      <c r="A490" s="1" t="s">
        <v>913</v>
      </c>
      <c r="B490" s="1" t="s">
        <v>68</v>
      </c>
      <c r="C490" s="1" t="s">
        <v>58</v>
      </c>
      <c r="D490" s="1" t="s">
        <v>13</v>
      </c>
      <c r="E490" s="4">
        <v>14</v>
      </c>
      <c r="F490" s="4">
        <v>10</v>
      </c>
      <c r="G490" s="1" t="s">
        <v>14</v>
      </c>
      <c r="H490" s="1" t="s">
        <v>15</v>
      </c>
      <c r="I490" s="5" t="s">
        <v>914</v>
      </c>
      <c r="J490" s="4">
        <v>69</v>
      </c>
      <c r="K490" s="1">
        <f t="shared" si="21"/>
        <v>1200</v>
      </c>
      <c r="L490" s="1">
        <f t="shared" si="22"/>
        <v>1200</v>
      </c>
      <c r="M490" s="1">
        <f t="shared" si="23"/>
        <v>1200</v>
      </c>
    </row>
    <row r="491" spans="1:13" x14ac:dyDescent="0.3">
      <c r="A491" s="1" t="s">
        <v>915</v>
      </c>
      <c r="B491" s="1" t="s">
        <v>23</v>
      </c>
      <c r="C491" s="1" t="s">
        <v>58</v>
      </c>
      <c r="D491" s="1" t="s">
        <v>31</v>
      </c>
      <c r="E491" s="4">
        <v>17</v>
      </c>
      <c r="F491" s="4">
        <v>9</v>
      </c>
      <c r="G491" s="1" t="s">
        <v>25</v>
      </c>
      <c r="H491" s="1" t="s">
        <v>46</v>
      </c>
      <c r="I491" s="5" t="s">
        <v>916</v>
      </c>
      <c r="J491" s="4">
        <v>85</v>
      </c>
      <c r="K491" s="1">
        <f t="shared" si="21"/>
        <v>1000</v>
      </c>
      <c r="L491" s="1">
        <f t="shared" si="22"/>
        <v>1000</v>
      </c>
      <c r="M491" s="1">
        <f t="shared" si="23"/>
        <v>1000</v>
      </c>
    </row>
    <row r="492" spans="1:13" x14ac:dyDescent="0.3">
      <c r="A492" s="1" t="s">
        <v>917</v>
      </c>
      <c r="B492" s="1" t="s">
        <v>11</v>
      </c>
      <c r="C492" s="1" t="s">
        <v>96</v>
      </c>
      <c r="D492" s="1" t="s">
        <v>31</v>
      </c>
      <c r="E492" s="4">
        <v>19</v>
      </c>
      <c r="F492" s="4">
        <v>11</v>
      </c>
      <c r="G492" s="1" t="s">
        <v>43</v>
      </c>
      <c r="H492" s="1" t="s">
        <v>26</v>
      </c>
      <c r="I492" s="5" t="s">
        <v>918</v>
      </c>
      <c r="J492" s="4">
        <v>87</v>
      </c>
      <c r="K492" s="1">
        <f t="shared" si="21"/>
        <v>1500</v>
      </c>
      <c r="L492" s="1">
        <f t="shared" si="22"/>
        <v>1500</v>
      </c>
      <c r="M492" s="1">
        <f t="shared" si="23"/>
        <v>1500</v>
      </c>
    </row>
    <row r="493" spans="1:13" x14ac:dyDescent="0.3">
      <c r="A493" s="1" t="s">
        <v>919</v>
      </c>
      <c r="B493" s="1" t="s">
        <v>23</v>
      </c>
      <c r="C493" s="1" t="s">
        <v>19</v>
      </c>
      <c r="D493" s="1" t="s">
        <v>13</v>
      </c>
      <c r="E493" s="4">
        <v>14</v>
      </c>
      <c r="F493" s="4">
        <v>12</v>
      </c>
      <c r="G493" s="1" t="s">
        <v>14</v>
      </c>
      <c r="H493" s="1" t="s">
        <v>15</v>
      </c>
      <c r="I493" s="5" t="s">
        <v>920</v>
      </c>
      <c r="J493" s="4">
        <v>92</v>
      </c>
      <c r="K493" s="1">
        <f t="shared" si="21"/>
        <v>1800</v>
      </c>
      <c r="L493" s="1">
        <f t="shared" si="22"/>
        <v>1800</v>
      </c>
      <c r="M493" s="1">
        <f t="shared" si="23"/>
        <v>1800</v>
      </c>
    </row>
    <row r="494" spans="1:13" x14ac:dyDescent="0.3">
      <c r="A494" s="1" t="s">
        <v>921</v>
      </c>
      <c r="B494" s="1" t="s">
        <v>18</v>
      </c>
      <c r="C494" s="1" t="s">
        <v>24</v>
      </c>
      <c r="D494" s="1" t="s">
        <v>13</v>
      </c>
      <c r="E494" s="4">
        <v>19</v>
      </c>
      <c r="F494" s="4">
        <v>10</v>
      </c>
      <c r="G494" s="1" t="s">
        <v>14</v>
      </c>
      <c r="H494" s="1" t="s">
        <v>20</v>
      </c>
      <c r="I494" s="5" t="s">
        <v>922</v>
      </c>
      <c r="J494" s="4">
        <v>58</v>
      </c>
      <c r="K494" s="1">
        <f t="shared" si="21"/>
        <v>1200</v>
      </c>
      <c r="L494" s="1">
        <f t="shared" si="22"/>
        <v>1200</v>
      </c>
      <c r="M494" s="1">
        <f t="shared" si="23"/>
        <v>1200</v>
      </c>
    </row>
    <row r="495" spans="1:13" x14ac:dyDescent="0.3">
      <c r="A495" s="1" t="s">
        <v>923</v>
      </c>
      <c r="B495" s="1" t="s">
        <v>68</v>
      </c>
      <c r="C495" s="1" t="s">
        <v>55</v>
      </c>
      <c r="D495" s="1" t="s">
        <v>31</v>
      </c>
      <c r="E495" s="4">
        <v>16</v>
      </c>
      <c r="F495" s="4">
        <v>12</v>
      </c>
      <c r="G495" s="1" t="s">
        <v>43</v>
      </c>
      <c r="H495" s="1" t="s">
        <v>37</v>
      </c>
      <c r="I495" s="5" t="s">
        <v>924</v>
      </c>
      <c r="J495" s="4">
        <v>77</v>
      </c>
      <c r="K495" s="1">
        <f t="shared" si="21"/>
        <v>1800</v>
      </c>
      <c r="L495" s="1">
        <f t="shared" si="22"/>
        <v>1800</v>
      </c>
      <c r="M495" s="1">
        <f t="shared" si="23"/>
        <v>1800</v>
      </c>
    </row>
    <row r="496" spans="1:13" x14ac:dyDescent="0.3">
      <c r="A496" s="1" t="s">
        <v>925</v>
      </c>
      <c r="B496" s="1" t="s">
        <v>68</v>
      </c>
      <c r="C496" s="1" t="s">
        <v>30</v>
      </c>
      <c r="D496" s="1" t="s">
        <v>31</v>
      </c>
      <c r="E496" s="4">
        <v>18</v>
      </c>
      <c r="F496" s="4">
        <v>9</v>
      </c>
      <c r="G496" s="1" t="s">
        <v>32</v>
      </c>
      <c r="H496" s="1" t="s">
        <v>20</v>
      </c>
      <c r="I496" s="5" t="s">
        <v>732</v>
      </c>
      <c r="J496" s="4">
        <v>86</v>
      </c>
      <c r="K496" s="1">
        <f t="shared" si="21"/>
        <v>1000</v>
      </c>
      <c r="L496" s="1">
        <f t="shared" si="22"/>
        <v>1000</v>
      </c>
      <c r="M496" s="1">
        <f t="shared" si="23"/>
        <v>1000</v>
      </c>
    </row>
    <row r="497" spans="1:13" x14ac:dyDescent="0.3">
      <c r="A497" s="1" t="s">
        <v>926</v>
      </c>
      <c r="B497" s="1" t="s">
        <v>73</v>
      </c>
      <c r="C497" s="1" t="s">
        <v>85</v>
      </c>
      <c r="D497" s="1" t="s">
        <v>13</v>
      </c>
      <c r="E497" s="4">
        <v>14</v>
      </c>
      <c r="F497" s="4">
        <v>9</v>
      </c>
      <c r="G497" s="1" t="s">
        <v>32</v>
      </c>
      <c r="H497" s="1" t="s">
        <v>20</v>
      </c>
      <c r="I497" s="5" t="s">
        <v>927</v>
      </c>
      <c r="J497" s="4">
        <v>94</v>
      </c>
      <c r="K497" s="1">
        <f t="shared" si="21"/>
        <v>1000</v>
      </c>
      <c r="L497" s="1">
        <f t="shared" si="22"/>
        <v>1000</v>
      </c>
      <c r="M497" s="1">
        <f t="shared" si="23"/>
        <v>1000</v>
      </c>
    </row>
    <row r="498" spans="1:13" x14ac:dyDescent="0.3">
      <c r="A498" s="1" t="s">
        <v>928</v>
      </c>
      <c r="B498" s="1" t="s">
        <v>23</v>
      </c>
      <c r="C498" s="1" t="s">
        <v>55</v>
      </c>
      <c r="D498" s="1" t="s">
        <v>13</v>
      </c>
      <c r="E498" s="4">
        <v>20</v>
      </c>
      <c r="F498" s="4">
        <v>11</v>
      </c>
      <c r="G498" s="1" t="s">
        <v>14</v>
      </c>
      <c r="H498" s="1" t="s">
        <v>15</v>
      </c>
      <c r="I498" s="5" t="s">
        <v>608</v>
      </c>
      <c r="J498" s="4">
        <v>49</v>
      </c>
      <c r="K498" s="1">
        <f t="shared" si="21"/>
        <v>1500</v>
      </c>
      <c r="L498" s="1">
        <f t="shared" si="22"/>
        <v>1500</v>
      </c>
      <c r="M498" s="1">
        <f t="shared" si="23"/>
        <v>1500</v>
      </c>
    </row>
    <row r="499" spans="1:13" x14ac:dyDescent="0.3">
      <c r="A499" s="1" t="s">
        <v>929</v>
      </c>
      <c r="B499" s="1" t="s">
        <v>35</v>
      </c>
      <c r="C499" s="1" t="s">
        <v>30</v>
      </c>
      <c r="D499" s="1" t="s">
        <v>13</v>
      </c>
      <c r="E499" s="4">
        <v>15</v>
      </c>
      <c r="F499" s="4">
        <v>12</v>
      </c>
      <c r="G499" s="1" t="s">
        <v>32</v>
      </c>
      <c r="H499" s="1" t="s">
        <v>26</v>
      </c>
      <c r="I499" s="5" t="s">
        <v>262</v>
      </c>
      <c r="J499" s="4">
        <v>55</v>
      </c>
      <c r="K499" s="1">
        <f t="shared" si="21"/>
        <v>1800</v>
      </c>
      <c r="L499" s="1">
        <f t="shared" si="22"/>
        <v>1800</v>
      </c>
      <c r="M499" s="1">
        <f t="shared" si="23"/>
        <v>1800</v>
      </c>
    </row>
    <row r="500" spans="1:13" x14ac:dyDescent="0.3">
      <c r="A500" s="1" t="s">
        <v>930</v>
      </c>
      <c r="B500" s="1" t="s">
        <v>35</v>
      </c>
      <c r="C500" s="1" t="s">
        <v>96</v>
      </c>
      <c r="D500" s="1" t="s">
        <v>31</v>
      </c>
      <c r="E500" s="4">
        <v>20</v>
      </c>
      <c r="F500" s="4">
        <v>9</v>
      </c>
      <c r="G500" s="1" t="s">
        <v>25</v>
      </c>
      <c r="H500" s="1" t="s">
        <v>61</v>
      </c>
      <c r="I500" s="5" t="s">
        <v>342</v>
      </c>
      <c r="J500" s="4">
        <v>62</v>
      </c>
      <c r="K500" s="1">
        <f t="shared" si="21"/>
        <v>1000</v>
      </c>
      <c r="L500" s="1">
        <f t="shared" si="22"/>
        <v>1000</v>
      </c>
      <c r="M500" s="1">
        <f t="shared" si="23"/>
        <v>1000</v>
      </c>
    </row>
    <row r="501" spans="1:13" x14ac:dyDescent="0.3">
      <c r="A501" s="1" t="s">
        <v>931</v>
      </c>
      <c r="B501" s="1" t="s">
        <v>23</v>
      </c>
      <c r="C501" s="1" t="s">
        <v>36</v>
      </c>
      <c r="D501" s="1" t="s">
        <v>13</v>
      </c>
      <c r="E501" s="4">
        <v>20</v>
      </c>
      <c r="F501" s="4">
        <v>9</v>
      </c>
      <c r="G501" s="1" t="s">
        <v>43</v>
      </c>
      <c r="H501" s="1" t="s">
        <v>40</v>
      </c>
      <c r="I501" s="5" t="s">
        <v>932</v>
      </c>
      <c r="J501" s="4">
        <v>85</v>
      </c>
      <c r="K501" s="1">
        <f t="shared" si="21"/>
        <v>1000</v>
      </c>
      <c r="L501" s="1">
        <f t="shared" si="22"/>
        <v>1000</v>
      </c>
      <c r="M501" s="1">
        <f t="shared" si="23"/>
        <v>1000</v>
      </c>
    </row>
    <row r="502" spans="1:13" x14ac:dyDescent="0.3">
      <c r="A502" s="1" t="s">
        <v>933</v>
      </c>
      <c r="B502" s="1" t="s">
        <v>51</v>
      </c>
      <c r="C502" s="1" t="s">
        <v>96</v>
      </c>
      <c r="D502" s="1" t="s">
        <v>13</v>
      </c>
      <c r="E502" s="4">
        <v>20</v>
      </c>
      <c r="F502" s="4">
        <v>11</v>
      </c>
      <c r="G502" s="1" t="s">
        <v>25</v>
      </c>
      <c r="H502" s="1" t="s">
        <v>15</v>
      </c>
      <c r="I502" s="5" t="s">
        <v>494</v>
      </c>
      <c r="J502" s="4">
        <v>42</v>
      </c>
      <c r="K502" s="1">
        <f t="shared" si="21"/>
        <v>1500</v>
      </c>
      <c r="L502" s="1">
        <f t="shared" si="22"/>
        <v>1500</v>
      </c>
      <c r="M502" s="1">
        <f t="shared" si="23"/>
        <v>1500</v>
      </c>
    </row>
    <row r="503" spans="1:13" x14ac:dyDescent="0.3">
      <c r="A503" s="1" t="s">
        <v>934</v>
      </c>
      <c r="B503" s="1" t="s">
        <v>51</v>
      </c>
      <c r="C503" s="1" t="s">
        <v>58</v>
      </c>
      <c r="D503" s="1" t="s">
        <v>31</v>
      </c>
      <c r="E503" s="4">
        <v>18</v>
      </c>
      <c r="F503" s="4">
        <v>11</v>
      </c>
      <c r="G503" s="1" t="s">
        <v>14</v>
      </c>
      <c r="H503" s="1" t="s">
        <v>37</v>
      </c>
      <c r="I503" s="5" t="s">
        <v>806</v>
      </c>
      <c r="J503" s="4">
        <v>88</v>
      </c>
      <c r="K503" s="1">
        <f t="shared" si="21"/>
        <v>1500</v>
      </c>
      <c r="L503" s="1">
        <f t="shared" si="22"/>
        <v>1500</v>
      </c>
      <c r="M503" s="1">
        <f t="shared" si="23"/>
        <v>1500</v>
      </c>
    </row>
    <row r="504" spans="1:13" x14ac:dyDescent="0.3">
      <c r="A504" s="1" t="s">
        <v>935</v>
      </c>
      <c r="B504" s="1" t="s">
        <v>18</v>
      </c>
      <c r="C504" s="1" t="s">
        <v>12</v>
      </c>
      <c r="D504" s="1" t="s">
        <v>13</v>
      </c>
      <c r="E504" s="4">
        <v>20</v>
      </c>
      <c r="F504" s="4">
        <v>11</v>
      </c>
      <c r="G504" s="1" t="s">
        <v>43</v>
      </c>
      <c r="H504" s="1" t="s">
        <v>46</v>
      </c>
      <c r="I504" s="5" t="s">
        <v>936</v>
      </c>
      <c r="J504" s="4">
        <v>94</v>
      </c>
      <c r="K504" s="1">
        <f t="shared" si="21"/>
        <v>1500</v>
      </c>
      <c r="L504" s="1">
        <f t="shared" si="22"/>
        <v>1500</v>
      </c>
      <c r="M504" s="1">
        <f t="shared" si="23"/>
        <v>1500</v>
      </c>
    </row>
    <row r="505" spans="1:13" x14ac:dyDescent="0.3">
      <c r="A505" s="1" t="s">
        <v>937</v>
      </c>
      <c r="B505" s="1" t="s">
        <v>73</v>
      </c>
      <c r="C505" s="1" t="s">
        <v>85</v>
      </c>
      <c r="D505" s="1" t="s">
        <v>31</v>
      </c>
      <c r="E505" s="4">
        <v>16</v>
      </c>
      <c r="F505" s="4">
        <v>10</v>
      </c>
      <c r="G505" s="1" t="s">
        <v>25</v>
      </c>
      <c r="H505" s="1" t="s">
        <v>76</v>
      </c>
      <c r="I505" s="5" t="s">
        <v>305</v>
      </c>
      <c r="J505" s="4">
        <v>90</v>
      </c>
      <c r="K505" s="1">
        <f t="shared" si="21"/>
        <v>1200</v>
      </c>
      <c r="L505" s="1">
        <f t="shared" si="22"/>
        <v>1200</v>
      </c>
      <c r="M505" s="1">
        <f t="shared" si="23"/>
        <v>1200</v>
      </c>
    </row>
    <row r="506" spans="1:13" x14ac:dyDescent="0.3">
      <c r="A506" s="1" t="s">
        <v>938</v>
      </c>
      <c r="B506" s="1" t="s">
        <v>18</v>
      </c>
      <c r="C506" s="1" t="s">
        <v>58</v>
      </c>
      <c r="D506" s="1" t="s">
        <v>13</v>
      </c>
      <c r="E506" s="4">
        <v>16</v>
      </c>
      <c r="F506" s="4">
        <v>12</v>
      </c>
      <c r="G506" s="1" t="s">
        <v>25</v>
      </c>
      <c r="H506" s="1" t="s">
        <v>26</v>
      </c>
      <c r="I506" s="5" t="s">
        <v>939</v>
      </c>
      <c r="J506" s="4">
        <v>41</v>
      </c>
      <c r="K506" s="1">
        <f t="shared" si="21"/>
        <v>1800</v>
      </c>
      <c r="L506" s="1">
        <f t="shared" si="22"/>
        <v>1800</v>
      </c>
      <c r="M506" s="1">
        <f t="shared" si="23"/>
        <v>1800</v>
      </c>
    </row>
    <row r="507" spans="1:13" x14ac:dyDescent="0.3">
      <c r="A507" s="1" t="s">
        <v>940</v>
      </c>
      <c r="B507" s="1" t="s">
        <v>51</v>
      </c>
      <c r="C507" s="1" t="s">
        <v>96</v>
      </c>
      <c r="D507" s="1" t="s">
        <v>31</v>
      </c>
      <c r="E507" s="4">
        <v>18</v>
      </c>
      <c r="F507" s="4">
        <v>9</v>
      </c>
      <c r="G507" s="1" t="s">
        <v>43</v>
      </c>
      <c r="H507" s="1" t="s">
        <v>76</v>
      </c>
      <c r="I507" s="5" t="s">
        <v>506</v>
      </c>
      <c r="J507" s="4">
        <v>36</v>
      </c>
      <c r="K507" s="1">
        <f t="shared" si="21"/>
        <v>1000</v>
      </c>
      <c r="L507" s="1">
        <f t="shared" si="22"/>
        <v>1000</v>
      </c>
      <c r="M507" s="1">
        <f t="shared" si="23"/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Student</vt:lpstr>
      <vt:lpstr>FORMULAS</vt:lpstr>
      <vt:lpstr>newcolumns</vt:lpstr>
      <vt:lpstr>sorting</vt:lpstr>
      <vt:lpstr>filter</vt:lpstr>
      <vt:lpstr>conditional_format</vt:lpstr>
      <vt:lpstr>pivottables</vt:lpstr>
      <vt:lpstr>dashboard</vt:lpstr>
      <vt:lpstr>class_details</vt:lpstr>
      <vt:lpstr>filter!Criteria</vt:lpstr>
      <vt:lpstr>filter!Extract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AISWARJA ROY</cp:lastModifiedBy>
  <dcterms:created xsi:type="dcterms:W3CDTF">2026-06-02T04:38:47Z</dcterms:created>
  <dcterms:modified xsi:type="dcterms:W3CDTF">2026-06-02T19:39:52Z</dcterms:modified>
</cp:coreProperties>
</file>